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5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8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19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20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21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22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23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24.xml" ContentType="application/vnd.openxmlformats-officedocument.themeOverrid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ormand\Code\FlashMe\"/>
    </mc:Choice>
  </mc:AlternateContent>
  <xr:revisionPtr revIDLastSave="0" documentId="13_ncr:1_{E63DE681-4E94-491F-81FC-EADA32ED0566}" xr6:coauthVersionLast="47" xr6:coauthVersionMax="47" xr10:uidLastSave="{00000000-0000-0000-0000-000000000000}"/>
  <bookViews>
    <workbookView xWindow="-38520" yWindow="-120" windowWidth="38640" windowHeight="21120" tabRatio="833" activeTab="12" xr2:uid="{00000000-000D-0000-FFFF-FFFF00000000}"/>
  </bookViews>
  <sheets>
    <sheet name="CO Daily Flash Report" sheetId="2" r:id="rId1"/>
    <sheet name="AFS" sheetId="18" r:id="rId2"/>
    <sheet name="AFS_Backlog" sheetId="31" r:id="rId3"/>
    <sheet name="Ungrounding" sheetId="19" r:id="rId4"/>
    <sheet name="PM" sheetId="20" r:id="rId5"/>
    <sheet name="VFC" sheetId="21" r:id="rId6"/>
    <sheet name="Reimbursement" sheetId="22" r:id="rId7"/>
    <sheet name="FIF" sheetId="25" r:id="rId8"/>
    <sheet name="SWA_Paragon" sheetId="29" r:id="rId9"/>
    <sheet name="ORSA_Intervention" sheetId="30" r:id="rId10"/>
    <sheet name="ORSA_Valids" sheetId="34" r:id="rId11"/>
    <sheet name="ORSA_Invalids" sheetId="35" r:id="rId12"/>
    <sheet name="ORSA_Warnings_Miss" sheetId="36" r:id="rId13"/>
    <sheet name="MOPAR_Manual_Captures" sheetId="32" r:id="rId14"/>
    <sheet name="Py_Variables" sheetId="23" r:id="rId15"/>
    <sheet name="Template" sheetId="28" r:id="rId16"/>
    <sheet name="CI_NCI" sheetId="33" r:id="rId17"/>
    <sheet name="Notes" sheetId="10" r:id="rId18"/>
    <sheet name="Change Log" sheetId="14" r:id="rId19"/>
    <sheet name="CRC_War_Room" sheetId="26" r:id="rId20"/>
    <sheet name="CRC_Severe_Weather" sheetId="27" r:id="rId21"/>
  </sheets>
  <definedNames>
    <definedName name="_xlpm.dateValue" hidden="1" xlm="1">#NAME?</definedName>
    <definedName name="_xlpm.k" hidden="1" xlm="1">#NAME?</definedName>
    <definedName name="_xlpm.monthNum" hidden="1" xlm="1">#NAME?</definedName>
    <definedName name="_xlpm.p" hidden="1" xlm="1">#NAME?</definedName>
    <definedName name="_xlpm.pr" hidden="1" xlm="1">#NAME?</definedName>
    <definedName name="_xlpm.pro" hidden="1" xlm="1">#NAME?</definedName>
    <definedName name="_xlpm.prot" hidden="1" xlm="1">#NAME?</definedName>
    <definedName name="_xlpm.proto" hidden="1" xlm="1">#NAME?</definedName>
    <definedName name="_xlpm.protoK" hidden="1" xlm="1">#NAME?</definedName>
    <definedName name="_xlpm.protoKe" hidden="1" xlm="1">#NAME?</definedName>
    <definedName name="_xlpm.protoKey" hidden="1" xlm="1">#NAME?</definedName>
    <definedName name="_xlpm.rlYearCheck" hidden="1" xlm="1">#NAME?</definedName>
    <definedName name="_xlpm.weekNum" hidden="1" xlm="1">#NAME?</definedName>
    <definedName name="AFS_Backlog_Daily_Cell">'CO Daily Flash Report'!$E$70</definedName>
    <definedName name="AFS_Backlog_Date">'CO Daily Flash Report'!$P$3</definedName>
    <definedName name="AFS_Backlog_Weekly_Cell">'CO Daily Flash Report'!$A$70</definedName>
    <definedName name="AFS_Daily_Cell">'CO Daily Flash Report'!$E$46</definedName>
    <definedName name="AFS_Date">'CO Daily Flash Report'!$P$2</definedName>
    <definedName name="AFS_Weekly_Cell">'CO Daily Flash Report'!$A$46</definedName>
    <definedName name="end">'CO Daily Flash Report'!$K$330</definedName>
    <definedName name="FIF_Daily_Cell">'CO Daily Flash Report'!$E$190</definedName>
    <definedName name="FIF_Date">'CO Daily Flash Report'!$P$8</definedName>
    <definedName name="FIF_Weekly_Cell">'CO Daily Flash Report'!$A$190</definedName>
    <definedName name="MOPAR_Manual_Captures_Daily_Cell">'CO Daily Flash Report'!$E$304</definedName>
    <definedName name="MOPAR_Manual_Captures_Date">'CO Daily Flash Report'!$P$13</definedName>
    <definedName name="MOPAR_Manual_Captures_Weekly_Cell">'CO Daily Flash Report'!$A$304</definedName>
    <definedName name="ORSA_Intervention_Daily_Cell">'CO Daily Flash Report'!$E$235</definedName>
    <definedName name="ORSA_Intervention_Date">'CO Daily Flash Report'!$P$10</definedName>
    <definedName name="ORSA_Intervention_Weekly_Cell">'CO Daily Flash Report'!$A$235</definedName>
    <definedName name="ORSA_Invalids_Daily_Cell">'CO Daily Flash Report'!$E$280</definedName>
    <definedName name="ORSA_Invalids_Date">'CO Daily Flash Report'!$P$12</definedName>
    <definedName name="ORSA_Invalids_Weekly_Cell">'CO Daily Flash Report'!$A$280</definedName>
    <definedName name="ORSA_Valids_Daily_Cell">'CO Daily Flash Report'!$E$256</definedName>
    <definedName name="ORSA_Valids_Date">'CO Daily Flash Report'!$P$11</definedName>
    <definedName name="ORSA_Valids_Weekly_Cell">'CO Daily Flash Report'!$A$256</definedName>
    <definedName name="PM_Daily_Cell">'CO Daily Flash Report'!$E$118</definedName>
    <definedName name="PM_Date">'CO Daily Flash Report'!$P$5</definedName>
    <definedName name="PM_Weekly_Cell">'CO Daily Flash Report'!$A$118:$D$118</definedName>
    <definedName name="Reimbursement_Daily_Cell">'CO Daily Flash Report'!$E$166</definedName>
    <definedName name="Reimbursement_Date">'CO Daily Flash Report'!$P$7</definedName>
    <definedName name="Reimbursement_Weekly_Cell">'CO Daily Flash Report'!$A$166</definedName>
    <definedName name="Report_Date">'CO Daily Flash Report'!$M$2</definedName>
    <definedName name="start">'CO Daily Flash Report'!$A$1</definedName>
    <definedName name="SWA_Paragon_Daily_Cell">'CO Daily Flash Report'!$E$211</definedName>
    <definedName name="SWA_Paragon_Date">'CO Daily Flash Report'!$P$9</definedName>
    <definedName name="SWA_Paragon_Weekly_Cell">'CO Daily Flash Report'!$A$211</definedName>
    <definedName name="Ungrounding_Daily_Cell">'CO Daily Flash Report'!$E$94</definedName>
    <definedName name="Ungrounding_Date">'CO Daily Flash Report'!$P$4</definedName>
    <definedName name="Ungrounding_Weekly_Cell">'CO Daily Flash Report'!$A$94</definedName>
    <definedName name="VFC_Daily_Cell">'CO Daily Flash Report'!$E$142</definedName>
    <definedName name="VFC_Date">'CO Daily Flash Report'!$P$6</definedName>
    <definedName name="VFC_Weekly_Cell">'CO Daily Flash Report'!$A$142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36" l="1"/>
  <c r="K3" i="36" s="1"/>
  <c r="J4" i="36"/>
  <c r="K4" i="36" s="1"/>
  <c r="J5" i="36"/>
  <c r="K5" i="36" s="1"/>
  <c r="J6" i="36"/>
  <c r="L6" i="36" s="1"/>
  <c r="J7" i="36"/>
  <c r="L7" i="36" s="1"/>
  <c r="J8" i="36"/>
  <c r="K8" i="36" s="1"/>
  <c r="J9" i="36"/>
  <c r="K9" i="36" s="1"/>
  <c r="J10" i="36"/>
  <c r="K10" i="36" s="1"/>
  <c r="J11" i="36"/>
  <c r="K11" i="36" s="1"/>
  <c r="J12" i="36"/>
  <c r="K12" i="36" s="1"/>
  <c r="J13" i="36"/>
  <c r="L13" i="36" s="1"/>
  <c r="J14" i="36"/>
  <c r="K14" i="36" s="1"/>
  <c r="J15" i="36"/>
  <c r="K15" i="36" s="1"/>
  <c r="J16" i="36"/>
  <c r="L16" i="36" s="1"/>
  <c r="J17" i="36"/>
  <c r="K17" i="36" s="1"/>
  <c r="J18" i="36"/>
  <c r="K18" i="36" s="1"/>
  <c r="J19" i="36"/>
  <c r="K19" i="36" s="1"/>
  <c r="J20" i="36"/>
  <c r="L20" i="36" s="1"/>
  <c r="J21" i="36"/>
  <c r="L21" i="36" s="1"/>
  <c r="J22" i="36"/>
  <c r="L22" i="36" s="1"/>
  <c r="J23" i="36"/>
  <c r="L23" i="36" s="1"/>
  <c r="J24" i="36"/>
  <c r="L24" i="36" s="1"/>
  <c r="J25" i="36"/>
  <c r="K25" i="36" s="1"/>
  <c r="J26" i="36"/>
  <c r="L26" i="36" s="1"/>
  <c r="J27" i="36"/>
  <c r="L27" i="36" s="1"/>
  <c r="J28" i="36"/>
  <c r="K28" i="36" s="1"/>
  <c r="J29" i="36"/>
  <c r="K29" i="36" s="1"/>
  <c r="J30" i="36"/>
  <c r="L30" i="36" s="1"/>
  <c r="J31" i="36"/>
  <c r="K31" i="36" s="1"/>
  <c r="J32" i="36"/>
  <c r="K32" i="36" s="1"/>
  <c r="J33" i="36"/>
  <c r="K33" i="36" s="1"/>
  <c r="J34" i="36"/>
  <c r="K34" i="36" s="1"/>
  <c r="J35" i="36"/>
  <c r="K35" i="36" s="1"/>
  <c r="J36" i="36"/>
  <c r="K36" i="36" s="1"/>
  <c r="J37" i="36"/>
  <c r="K37" i="36" s="1"/>
  <c r="J38" i="36"/>
  <c r="K38" i="36" s="1"/>
  <c r="J39" i="36"/>
  <c r="L39" i="36" s="1"/>
  <c r="J40" i="36"/>
  <c r="L40" i="36" s="1"/>
  <c r="J41" i="36"/>
  <c r="L41" i="36" s="1"/>
  <c r="J42" i="36"/>
  <c r="L42" i="36" s="1"/>
  <c r="J43" i="36"/>
  <c r="K43" i="36" s="1"/>
  <c r="J44" i="36"/>
  <c r="L44" i="36" s="1"/>
  <c r="J45" i="36"/>
  <c r="K45" i="36" s="1"/>
  <c r="J46" i="36"/>
  <c r="K46" i="36" s="1"/>
  <c r="J47" i="36"/>
  <c r="L47" i="36" s="1"/>
  <c r="J48" i="36"/>
  <c r="L48" i="36" s="1"/>
  <c r="J49" i="36"/>
  <c r="K49" i="36" s="1"/>
  <c r="J50" i="36"/>
  <c r="K50" i="36" s="1"/>
  <c r="J51" i="36"/>
  <c r="L51" i="36" s="1"/>
  <c r="J52" i="36"/>
  <c r="L52" i="36" s="1"/>
  <c r="J53" i="36"/>
  <c r="K53" i="36" s="1"/>
  <c r="J54" i="36"/>
  <c r="L54" i="36" s="1"/>
  <c r="J55" i="36"/>
  <c r="L55" i="36" s="1"/>
  <c r="J56" i="36"/>
  <c r="K56" i="36" s="1"/>
  <c r="J57" i="36"/>
  <c r="L57" i="36" s="1"/>
  <c r="J58" i="36"/>
  <c r="L58" i="36" s="1"/>
  <c r="J59" i="36"/>
  <c r="L59" i="36" s="1"/>
  <c r="J60" i="36"/>
  <c r="L60" i="36" s="1"/>
  <c r="J61" i="36"/>
  <c r="K61" i="36" s="1"/>
  <c r="J62" i="36"/>
  <c r="L62" i="36" s="1"/>
  <c r="J63" i="36"/>
  <c r="K63" i="36" s="1"/>
  <c r="J64" i="36"/>
  <c r="K64" i="36" s="1"/>
  <c r="J65" i="36"/>
  <c r="L65" i="36" s="1"/>
  <c r="J66" i="36"/>
  <c r="L66" i="36" s="1"/>
  <c r="J67" i="36"/>
  <c r="L67" i="36" s="1"/>
  <c r="J68" i="36"/>
  <c r="L68" i="36" s="1"/>
  <c r="J69" i="36"/>
  <c r="L69" i="36" s="1"/>
  <c r="M3" i="36"/>
  <c r="M4" i="36"/>
  <c r="S4" i="36" s="1"/>
  <c r="M5" i="36"/>
  <c r="M6" i="36"/>
  <c r="M7" i="36"/>
  <c r="M8" i="36"/>
  <c r="S8" i="36" s="1"/>
  <c r="M9" i="36"/>
  <c r="M10" i="36"/>
  <c r="Q10" i="36" s="1"/>
  <c r="M11" i="36"/>
  <c r="Q11" i="36" s="1"/>
  <c r="M12" i="36"/>
  <c r="Q12" i="36" s="1"/>
  <c r="M13" i="36"/>
  <c r="S13" i="36" s="1"/>
  <c r="N13" i="36" s="1"/>
  <c r="O13" i="36" s="1"/>
  <c r="P13" i="36" s="1"/>
  <c r="M14" i="36"/>
  <c r="M15" i="36"/>
  <c r="M16" i="36"/>
  <c r="M17" i="36"/>
  <c r="M18" i="36"/>
  <c r="S18" i="36" s="1"/>
  <c r="M19" i="36"/>
  <c r="M20" i="36"/>
  <c r="M21" i="36"/>
  <c r="M22" i="36"/>
  <c r="S22" i="36" s="1"/>
  <c r="M23" i="36"/>
  <c r="M24" i="36"/>
  <c r="Q24" i="36" s="1"/>
  <c r="M25" i="36"/>
  <c r="Q25" i="36" s="1"/>
  <c r="M26" i="36"/>
  <c r="Q26" i="36" s="1"/>
  <c r="M27" i="36"/>
  <c r="S27" i="36" s="1"/>
  <c r="N27" i="36" s="1"/>
  <c r="O27" i="36" s="1"/>
  <c r="P27" i="36" s="1"/>
  <c r="M28" i="36"/>
  <c r="M29" i="36"/>
  <c r="M30" i="36"/>
  <c r="M31" i="36"/>
  <c r="M32" i="36"/>
  <c r="S32" i="36" s="1"/>
  <c r="M33" i="36"/>
  <c r="M34" i="36"/>
  <c r="M35" i="36"/>
  <c r="M36" i="36"/>
  <c r="S36" i="36" s="1"/>
  <c r="M37" i="36"/>
  <c r="M38" i="36"/>
  <c r="Q38" i="36" s="1"/>
  <c r="M39" i="36"/>
  <c r="Q39" i="36" s="1"/>
  <c r="M40" i="36"/>
  <c r="Q40" i="36" s="1"/>
  <c r="M41" i="36"/>
  <c r="S41" i="36" s="1"/>
  <c r="M42" i="36"/>
  <c r="M43" i="36"/>
  <c r="M44" i="36"/>
  <c r="M45" i="36"/>
  <c r="M46" i="36"/>
  <c r="S46" i="36" s="1"/>
  <c r="M47" i="36"/>
  <c r="M48" i="36"/>
  <c r="M49" i="36"/>
  <c r="M50" i="36"/>
  <c r="S50" i="36" s="1"/>
  <c r="M51" i="36"/>
  <c r="M52" i="36"/>
  <c r="Q52" i="36" s="1"/>
  <c r="M53" i="36"/>
  <c r="Q53" i="36" s="1"/>
  <c r="M54" i="36"/>
  <c r="Q54" i="36" s="1"/>
  <c r="M55" i="36"/>
  <c r="S55" i="36" s="1"/>
  <c r="M56" i="36"/>
  <c r="M57" i="36"/>
  <c r="M58" i="36"/>
  <c r="M59" i="36"/>
  <c r="M60" i="36"/>
  <c r="S60" i="36" s="1"/>
  <c r="M61" i="36"/>
  <c r="M62" i="36"/>
  <c r="M63" i="36"/>
  <c r="S63" i="36" s="1"/>
  <c r="M64" i="36"/>
  <c r="S64" i="36" s="1"/>
  <c r="M65" i="36"/>
  <c r="M66" i="36"/>
  <c r="Q66" i="36" s="1"/>
  <c r="M67" i="36"/>
  <c r="Q67" i="36" s="1"/>
  <c r="M68" i="36"/>
  <c r="Q68" i="36" s="1"/>
  <c r="M69" i="36"/>
  <c r="S69" i="36" s="1"/>
  <c r="N14" i="36"/>
  <c r="O14" i="36" s="1"/>
  <c r="P14" i="36" s="1"/>
  <c r="N28" i="36"/>
  <c r="O28" i="36" s="1"/>
  <c r="P28" i="36" s="1"/>
  <c r="N42" i="36"/>
  <c r="O42" i="36" s="1"/>
  <c r="P42" i="36" s="1"/>
  <c r="N56" i="36"/>
  <c r="O56" i="36" s="1"/>
  <c r="P56" i="36" s="1"/>
  <c r="Q5" i="36"/>
  <c r="N5" i="36" s="1"/>
  <c r="O5" i="36" s="1"/>
  <c r="P5" i="36" s="1"/>
  <c r="Q6" i="36"/>
  <c r="N6" i="36" s="1"/>
  <c r="O6" i="36" s="1"/>
  <c r="P6" i="36" s="1"/>
  <c r="Q9" i="36"/>
  <c r="N9" i="36" s="1"/>
  <c r="O9" i="36" s="1"/>
  <c r="P9" i="36" s="1"/>
  <c r="Q13" i="36"/>
  <c r="Q14" i="36"/>
  <c r="Q15" i="36"/>
  <c r="N15" i="36" s="1"/>
  <c r="O15" i="36" s="1"/>
  <c r="P15" i="36" s="1"/>
  <c r="Q16" i="36"/>
  <c r="Q19" i="36"/>
  <c r="N19" i="36" s="1"/>
  <c r="O19" i="36" s="1"/>
  <c r="P19" i="36" s="1"/>
  <c r="Q20" i="36"/>
  <c r="N20" i="36" s="1"/>
  <c r="O20" i="36" s="1"/>
  <c r="P20" i="36" s="1"/>
  <c r="Q23" i="36"/>
  <c r="N23" i="36" s="1"/>
  <c r="O23" i="36" s="1"/>
  <c r="P23" i="36" s="1"/>
  <c r="Q27" i="36"/>
  <c r="Q28" i="36"/>
  <c r="Q29" i="36"/>
  <c r="N29" i="36" s="1"/>
  <c r="O29" i="36" s="1"/>
  <c r="P29" i="36" s="1"/>
  <c r="Q30" i="36"/>
  <c r="Q33" i="36"/>
  <c r="N33" i="36" s="1"/>
  <c r="O33" i="36" s="1"/>
  <c r="P33" i="36" s="1"/>
  <c r="Q34" i="36"/>
  <c r="N34" i="36" s="1"/>
  <c r="O34" i="36" s="1"/>
  <c r="P34" i="36" s="1"/>
  <c r="Q37" i="36"/>
  <c r="N37" i="36" s="1"/>
  <c r="O37" i="36" s="1"/>
  <c r="P37" i="36" s="1"/>
  <c r="Q41" i="36"/>
  <c r="Q42" i="36"/>
  <c r="Q43" i="36"/>
  <c r="N43" i="36" s="1"/>
  <c r="O43" i="36" s="1"/>
  <c r="P43" i="36" s="1"/>
  <c r="Q44" i="36"/>
  <c r="Q47" i="36"/>
  <c r="N47" i="36" s="1"/>
  <c r="O47" i="36" s="1"/>
  <c r="P47" i="36" s="1"/>
  <c r="Q48" i="36"/>
  <c r="N48" i="36" s="1"/>
  <c r="O48" i="36" s="1"/>
  <c r="P48" i="36" s="1"/>
  <c r="Q51" i="36"/>
  <c r="N51" i="36" s="1"/>
  <c r="O51" i="36" s="1"/>
  <c r="P51" i="36" s="1"/>
  <c r="Q55" i="36"/>
  <c r="Q56" i="36"/>
  <c r="Q57" i="36"/>
  <c r="N57" i="36" s="1"/>
  <c r="O57" i="36" s="1"/>
  <c r="P57" i="36" s="1"/>
  <c r="Q58" i="36"/>
  <c r="Q61" i="36"/>
  <c r="N61" i="36" s="1"/>
  <c r="O61" i="36" s="1"/>
  <c r="P61" i="36" s="1"/>
  <c r="Q62" i="36"/>
  <c r="N62" i="36" s="1"/>
  <c r="O62" i="36" s="1"/>
  <c r="P62" i="36" s="1"/>
  <c r="Q65" i="36"/>
  <c r="N65" i="36" s="1"/>
  <c r="O65" i="36" s="1"/>
  <c r="P65" i="36" s="1"/>
  <c r="Q69" i="36"/>
  <c r="R3" i="36"/>
  <c r="R4" i="36"/>
  <c r="R5" i="36"/>
  <c r="R6" i="36"/>
  <c r="R9" i="36"/>
  <c r="R12" i="36"/>
  <c r="R13" i="36"/>
  <c r="R14" i="36"/>
  <c r="R15" i="36"/>
  <c r="R17" i="36"/>
  <c r="R18" i="36"/>
  <c r="R19" i="36"/>
  <c r="R20" i="36"/>
  <c r="R23" i="36"/>
  <c r="R26" i="36"/>
  <c r="R27" i="36"/>
  <c r="R28" i="36"/>
  <c r="R29" i="36"/>
  <c r="R31" i="36"/>
  <c r="R32" i="36"/>
  <c r="R33" i="36"/>
  <c r="R34" i="36"/>
  <c r="R37" i="36"/>
  <c r="R40" i="36"/>
  <c r="R41" i="36"/>
  <c r="R42" i="36"/>
  <c r="R43" i="36"/>
  <c r="R45" i="36"/>
  <c r="R46" i="36"/>
  <c r="R47" i="36"/>
  <c r="R48" i="36"/>
  <c r="R51" i="36"/>
  <c r="R54" i="36"/>
  <c r="R55" i="36"/>
  <c r="R56" i="36"/>
  <c r="R57" i="36"/>
  <c r="R59" i="36"/>
  <c r="R60" i="36"/>
  <c r="R61" i="36"/>
  <c r="R62" i="36"/>
  <c r="R65" i="36"/>
  <c r="R68" i="36"/>
  <c r="R69" i="36"/>
  <c r="S3" i="36"/>
  <c r="S5" i="36"/>
  <c r="S6" i="36"/>
  <c r="S7" i="36"/>
  <c r="S9" i="36"/>
  <c r="S12" i="36"/>
  <c r="S14" i="36"/>
  <c r="S15" i="36"/>
  <c r="S16" i="36"/>
  <c r="S17" i="36"/>
  <c r="S19" i="36"/>
  <c r="S20" i="36"/>
  <c r="S21" i="36"/>
  <c r="S23" i="36"/>
  <c r="S26" i="36"/>
  <c r="S28" i="36"/>
  <c r="S29" i="36"/>
  <c r="S30" i="36"/>
  <c r="S31" i="36"/>
  <c r="S33" i="36"/>
  <c r="S34" i="36"/>
  <c r="S35" i="36"/>
  <c r="S37" i="36"/>
  <c r="S40" i="36"/>
  <c r="S42" i="36"/>
  <c r="S43" i="36"/>
  <c r="S44" i="36"/>
  <c r="S45" i="36"/>
  <c r="S47" i="36"/>
  <c r="S48" i="36"/>
  <c r="S49" i="36"/>
  <c r="S51" i="36"/>
  <c r="S54" i="36"/>
  <c r="S56" i="36"/>
  <c r="S57" i="36"/>
  <c r="S58" i="36"/>
  <c r="S59" i="36"/>
  <c r="S61" i="36"/>
  <c r="S62" i="36"/>
  <c r="S65" i="36"/>
  <c r="S68" i="36"/>
  <c r="M2" i="36"/>
  <c r="J2" i="36"/>
  <c r="K2" i="36" s="1"/>
  <c r="M2" i="35"/>
  <c r="S2" i="35" s="1"/>
  <c r="J2" i="35"/>
  <c r="K2" i="35" s="1"/>
  <c r="M2" i="34"/>
  <c r="S2" i="34" s="1"/>
  <c r="J2" i="34"/>
  <c r="K2" i="34" s="1"/>
  <c r="J2" i="32"/>
  <c r="P2" i="32" s="1"/>
  <c r="H2" i="32"/>
  <c r="I2" i="32" s="1"/>
  <c r="L17" i="36" l="1"/>
  <c r="L3" i="36"/>
  <c r="L18" i="36"/>
  <c r="L34" i="36"/>
  <c r="L33" i="36"/>
  <c r="L19" i="36"/>
  <c r="L5" i="36"/>
  <c r="K47" i="36"/>
  <c r="L31" i="36"/>
  <c r="L4" i="36"/>
  <c r="K22" i="36"/>
  <c r="K21" i="36"/>
  <c r="K20" i="36"/>
  <c r="L35" i="36"/>
  <c r="K6" i="36"/>
  <c r="K7" i="36"/>
  <c r="K23" i="36"/>
  <c r="L61" i="36"/>
  <c r="L8" i="36"/>
  <c r="L46" i="36"/>
  <c r="L45" i="36"/>
  <c r="L36" i="36"/>
  <c r="L32" i="36"/>
  <c r="K48" i="36"/>
  <c r="L9" i="36"/>
  <c r="K62" i="36"/>
  <c r="L50" i="36"/>
  <c r="L37" i="36"/>
  <c r="L56" i="36"/>
  <c r="L53" i="36"/>
  <c r="K67" i="36"/>
  <c r="K42" i="36"/>
  <c r="K39" i="36"/>
  <c r="K66" i="36"/>
  <c r="K24" i="36"/>
  <c r="L38" i="36"/>
  <c r="K52" i="36"/>
  <c r="L10" i="36"/>
  <c r="L49" i="36"/>
  <c r="L64" i="36"/>
  <c r="K60" i="36"/>
  <c r="L12" i="36"/>
  <c r="L14" i="36"/>
  <c r="K16" i="36"/>
  <c r="L15" i="36"/>
  <c r="L29" i="36"/>
  <c r="L11" i="36"/>
  <c r="K57" i="36"/>
  <c r="L28" i="36"/>
  <c r="K30" i="36"/>
  <c r="L25" i="36"/>
  <c r="L43" i="36"/>
  <c r="N10" i="36"/>
  <c r="O10" i="36" s="1"/>
  <c r="P10" i="36" s="1"/>
  <c r="N69" i="36"/>
  <c r="O69" i="36" s="1"/>
  <c r="P69" i="36" s="1"/>
  <c r="N41" i="36"/>
  <c r="O41" i="36" s="1"/>
  <c r="P41" i="36" s="1"/>
  <c r="N3" i="36"/>
  <c r="O3" i="36" s="1"/>
  <c r="P3" i="36" s="1"/>
  <c r="N21" i="36"/>
  <c r="O21" i="36" s="1"/>
  <c r="P21" i="36" s="1"/>
  <c r="N59" i="36"/>
  <c r="O59" i="36" s="1"/>
  <c r="P59" i="36" s="1"/>
  <c r="N31" i="36"/>
  <c r="O31" i="36" s="1"/>
  <c r="P31" i="36" s="1"/>
  <c r="N58" i="36"/>
  <c r="O58" i="36" s="1"/>
  <c r="P58" i="36" s="1"/>
  <c r="N55" i="36"/>
  <c r="O55" i="36" s="1"/>
  <c r="P55" i="36" s="1"/>
  <c r="R67" i="36"/>
  <c r="R53" i="36"/>
  <c r="R39" i="36"/>
  <c r="R25" i="36"/>
  <c r="R11" i="36"/>
  <c r="N11" i="36" s="1"/>
  <c r="O11" i="36" s="1"/>
  <c r="P11" i="36" s="1"/>
  <c r="Q64" i="36"/>
  <c r="Q50" i="36"/>
  <c r="N50" i="36" s="1"/>
  <c r="O50" i="36" s="1"/>
  <c r="P50" i="36" s="1"/>
  <c r="Q36" i="36"/>
  <c r="N36" i="36" s="1"/>
  <c r="O36" i="36" s="1"/>
  <c r="P36" i="36" s="1"/>
  <c r="Q22" i="36"/>
  <c r="N22" i="36" s="1"/>
  <c r="O22" i="36" s="1"/>
  <c r="P22" i="36" s="1"/>
  <c r="Q8" i="36"/>
  <c r="L63" i="36"/>
  <c r="R66" i="36"/>
  <c r="N66" i="36" s="1"/>
  <c r="O66" i="36" s="1"/>
  <c r="P66" i="36" s="1"/>
  <c r="R52" i="36"/>
  <c r="N52" i="36" s="1"/>
  <c r="O52" i="36" s="1"/>
  <c r="P52" i="36" s="1"/>
  <c r="R38" i="36"/>
  <c r="N38" i="36" s="1"/>
  <c r="O38" i="36" s="1"/>
  <c r="P38" i="36" s="1"/>
  <c r="R24" i="36"/>
  <c r="N24" i="36" s="1"/>
  <c r="O24" i="36" s="1"/>
  <c r="P24" i="36" s="1"/>
  <c r="R10" i="36"/>
  <c r="Q63" i="36"/>
  <c r="Q49" i="36"/>
  <c r="N49" i="36" s="1"/>
  <c r="O49" i="36" s="1"/>
  <c r="P49" i="36" s="1"/>
  <c r="Q35" i="36"/>
  <c r="N35" i="36" s="1"/>
  <c r="O35" i="36" s="1"/>
  <c r="P35" i="36" s="1"/>
  <c r="Q21" i="36"/>
  <c r="Q7" i="36"/>
  <c r="N7" i="36" s="1"/>
  <c r="O7" i="36" s="1"/>
  <c r="P7" i="36" s="1"/>
  <c r="N68" i="36"/>
  <c r="O68" i="36" s="1"/>
  <c r="P68" i="36" s="1"/>
  <c r="N54" i="36"/>
  <c r="O54" i="36" s="1"/>
  <c r="P54" i="36" s="1"/>
  <c r="N40" i="36"/>
  <c r="O40" i="36" s="1"/>
  <c r="P40" i="36" s="1"/>
  <c r="N26" i="36"/>
  <c r="O26" i="36" s="1"/>
  <c r="P26" i="36" s="1"/>
  <c r="N12" i="36"/>
  <c r="O12" i="36" s="1"/>
  <c r="P12" i="36" s="1"/>
  <c r="K59" i="36"/>
  <c r="K58" i="36"/>
  <c r="K44" i="36"/>
  <c r="S66" i="36"/>
  <c r="S52" i="36"/>
  <c r="S38" i="36"/>
  <c r="S24" i="36"/>
  <c r="S10" i="36"/>
  <c r="R63" i="36"/>
  <c r="N63" i="36" s="1"/>
  <c r="O63" i="36" s="1"/>
  <c r="P63" i="36" s="1"/>
  <c r="R49" i="36"/>
  <c r="R35" i="36"/>
  <c r="R21" i="36"/>
  <c r="R7" i="36"/>
  <c r="Q60" i="36"/>
  <c r="Q46" i="36"/>
  <c r="Q32" i="36"/>
  <c r="N32" i="36" s="1"/>
  <c r="O32" i="36" s="1"/>
  <c r="P32" i="36" s="1"/>
  <c r="Q18" i="36"/>
  <c r="N18" i="36" s="1"/>
  <c r="O18" i="36" s="1"/>
  <c r="P18" i="36" s="1"/>
  <c r="Q4" i="36"/>
  <c r="N4" i="36" s="1"/>
  <c r="O4" i="36" s="1"/>
  <c r="P4" i="36" s="1"/>
  <c r="R50" i="36"/>
  <c r="Q59" i="36"/>
  <c r="Q45" i="36"/>
  <c r="N45" i="36" s="1"/>
  <c r="O45" i="36" s="1"/>
  <c r="P45" i="36" s="1"/>
  <c r="Q31" i="36"/>
  <c r="Q17" i="36"/>
  <c r="N17" i="36" s="1"/>
  <c r="O17" i="36" s="1"/>
  <c r="P17" i="36" s="1"/>
  <c r="Q3" i="36"/>
  <c r="N64" i="36"/>
  <c r="O64" i="36" s="1"/>
  <c r="P64" i="36" s="1"/>
  <c r="K69" i="36"/>
  <c r="K55" i="36"/>
  <c r="K41" i="36"/>
  <c r="K27" i="36"/>
  <c r="K13" i="36"/>
  <c r="K68" i="36"/>
  <c r="K54" i="36"/>
  <c r="K40" i="36"/>
  <c r="K26" i="36"/>
  <c r="S67" i="36"/>
  <c r="R64" i="36"/>
  <c r="R22" i="36"/>
  <c r="S53" i="36"/>
  <c r="S25" i="36"/>
  <c r="N25" i="36" s="1"/>
  <c r="O25" i="36" s="1"/>
  <c r="P25" i="36" s="1"/>
  <c r="R8" i="36"/>
  <c r="N8" i="36" s="1"/>
  <c r="O8" i="36" s="1"/>
  <c r="P8" i="36" s="1"/>
  <c r="S39" i="36"/>
  <c r="S11" i="36"/>
  <c r="R36" i="36"/>
  <c r="R58" i="36"/>
  <c r="R44" i="36"/>
  <c r="N44" i="36" s="1"/>
  <c r="O44" i="36" s="1"/>
  <c r="P44" i="36" s="1"/>
  <c r="R30" i="36"/>
  <c r="N30" i="36" s="1"/>
  <c r="O30" i="36" s="1"/>
  <c r="P30" i="36" s="1"/>
  <c r="R16" i="36"/>
  <c r="N16" i="36" s="1"/>
  <c r="O16" i="36" s="1"/>
  <c r="P16" i="36" s="1"/>
  <c r="N60" i="36"/>
  <c r="O60" i="36" s="1"/>
  <c r="P60" i="36" s="1"/>
  <c r="N46" i="36"/>
  <c r="O46" i="36" s="1"/>
  <c r="P46" i="36" s="1"/>
  <c r="K65" i="36"/>
  <c r="K51" i="36"/>
  <c r="N53" i="36"/>
  <c r="O53" i="36" s="1"/>
  <c r="P53" i="36" s="1"/>
  <c r="N39" i="36"/>
  <c r="O39" i="36" s="1"/>
  <c r="P39" i="36" s="1"/>
  <c r="N67" i="36"/>
  <c r="O67" i="36" s="1"/>
  <c r="P67" i="36" s="1"/>
  <c r="L2" i="36"/>
  <c r="S2" i="36"/>
  <c r="R2" i="36"/>
  <c r="Q2" i="36"/>
  <c r="Q2" i="35"/>
  <c r="R2" i="35"/>
  <c r="L2" i="35"/>
  <c r="L2" i="34"/>
  <c r="Q2" i="34"/>
  <c r="R2" i="34"/>
  <c r="N2" i="32"/>
  <c r="O2" i="32"/>
  <c r="J2" i="31"/>
  <c r="P2" i="31" s="1"/>
  <c r="H2" i="31"/>
  <c r="I2" i="31" s="1"/>
  <c r="H2" i="28"/>
  <c r="H2" i="18"/>
  <c r="J2" i="18"/>
  <c r="N2" i="18" s="1"/>
  <c r="H2" i="22"/>
  <c r="I2" i="22" s="1"/>
  <c r="J2" i="22"/>
  <c r="O2" i="22" s="1"/>
  <c r="N2" i="36" l="1"/>
  <c r="O2" i="36" s="1"/>
  <c r="P2" i="36" s="1"/>
  <c r="N2" i="35"/>
  <c r="O2" i="35" s="1"/>
  <c r="P2" i="35" s="1"/>
  <c r="N2" i="34"/>
  <c r="O2" i="34" s="1"/>
  <c r="P2" i="34" s="1"/>
  <c r="K2" i="32"/>
  <c r="L2" i="32" s="1"/>
  <c r="M2" i="32" s="1"/>
  <c r="N2" i="31"/>
  <c r="O2" i="31"/>
  <c r="P2" i="18"/>
  <c r="O2" i="18"/>
  <c r="I2" i="18"/>
  <c r="P2" i="22"/>
  <c r="N2" i="22"/>
  <c r="K2" i="31" l="1"/>
  <c r="K2" i="18"/>
  <c r="L2" i="18" s="1" a="1"/>
  <c r="L2" i="18" s="1"/>
  <c r="K2" i="22"/>
  <c r="L2" i="22" s="1" a="1"/>
  <c r="L2" i="22" s="1"/>
  <c r="M2" i="2"/>
  <c r="H2" i="29"/>
  <c r="H2" i="21"/>
  <c r="H2" i="20"/>
  <c r="H2" i="19"/>
  <c r="H2" i="25"/>
  <c r="J2" i="25" s="1"/>
  <c r="K2" i="25"/>
  <c r="O2" i="25" s="1"/>
  <c r="P11" i="2" l="1"/>
  <c r="P12" i="2"/>
  <c r="P3" i="2"/>
  <c r="F12" i="2" s="1"/>
  <c r="P13" i="2"/>
  <c r="M2" i="22"/>
  <c r="L2" i="31"/>
  <c r="M2" i="31" s="1"/>
  <c r="M2" i="18"/>
  <c r="P2" i="25"/>
  <c r="Q2" i="25"/>
  <c r="I2" i="25"/>
  <c r="H40" i="2" l="1"/>
  <c r="G40" i="2"/>
  <c r="F40" i="2"/>
  <c r="E40" i="2"/>
  <c r="H39" i="2"/>
  <c r="G39" i="2"/>
  <c r="F39" i="2"/>
  <c r="E39" i="2"/>
  <c r="F37" i="2"/>
  <c r="G37" i="2"/>
  <c r="H37" i="2"/>
  <c r="F36" i="2"/>
  <c r="G36" i="2"/>
  <c r="H36" i="2"/>
  <c r="E36" i="2"/>
  <c r="E37" i="2"/>
  <c r="A276" i="2"/>
  <c r="A264" i="2"/>
  <c r="A274" i="2"/>
  <c r="A262" i="2"/>
  <c r="A272" i="2"/>
  <c r="A277" i="2"/>
  <c r="A265" i="2"/>
  <c r="A275" i="2"/>
  <c r="A263" i="2"/>
  <c r="A273" i="2"/>
  <c r="A271" i="2"/>
  <c r="A296" i="2"/>
  <c r="A295" i="2"/>
  <c r="A298" i="2"/>
  <c r="A297" i="2"/>
  <c r="A300" i="2"/>
  <c r="A299" i="2"/>
  <c r="A301" i="2"/>
  <c r="A288" i="2"/>
  <c r="A289" i="2"/>
  <c r="A286" i="2"/>
  <c r="A287" i="2"/>
  <c r="A325" i="2"/>
  <c r="A323" i="2"/>
  <c r="A324" i="2"/>
  <c r="A321" i="2"/>
  <c r="A322" i="2"/>
  <c r="A319" i="2"/>
  <c r="A320" i="2"/>
  <c r="A312" i="2"/>
  <c r="A313" i="2"/>
  <c r="A310" i="2"/>
  <c r="A311" i="2"/>
  <c r="F43" i="2"/>
  <c r="G43" i="2"/>
  <c r="H43" i="2"/>
  <c r="F42" i="2"/>
  <c r="G42" i="2"/>
  <c r="H42" i="2"/>
  <c r="E42" i="2"/>
  <c r="E43" i="2"/>
  <c r="A85" i="2"/>
  <c r="F13" i="2"/>
  <c r="H13" i="2"/>
  <c r="A76" i="2"/>
  <c r="A87" i="2"/>
  <c r="A86" i="2"/>
  <c r="A89" i="2"/>
  <c r="A88" i="2"/>
  <c r="A91" i="2"/>
  <c r="G13" i="2"/>
  <c r="A78" i="2"/>
  <c r="E13" i="2"/>
  <c r="E12" i="2"/>
  <c r="H12" i="2"/>
  <c r="A90" i="2"/>
  <c r="A79" i="2"/>
  <c r="G12" i="2"/>
  <c r="A77" i="2"/>
  <c r="L2" i="25"/>
  <c r="P9" i="2"/>
  <c r="H2" i="30"/>
  <c r="I2" i="30" s="1"/>
  <c r="K2" i="30"/>
  <c r="Q2" i="30" s="1"/>
  <c r="I2" i="28"/>
  <c r="I2" i="20"/>
  <c r="I2" i="27"/>
  <c r="I3" i="27"/>
  <c r="I4" i="27"/>
  <c r="I5" i="27"/>
  <c r="I6" i="27"/>
  <c r="I7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54" i="27"/>
  <c r="I55" i="27"/>
  <c r="I56" i="27"/>
  <c r="I57" i="27"/>
  <c r="I58" i="27"/>
  <c r="I59" i="27"/>
  <c r="I60" i="27"/>
  <c r="I61" i="27"/>
  <c r="I62" i="27"/>
  <c r="I63" i="27"/>
  <c r="I64" i="27"/>
  <c r="I65" i="27"/>
  <c r="I66" i="27"/>
  <c r="I67" i="27"/>
  <c r="I68" i="27"/>
  <c r="I69" i="27"/>
  <c r="I70" i="27"/>
  <c r="I71" i="27"/>
  <c r="I72" i="27"/>
  <c r="I73" i="27"/>
  <c r="I74" i="27"/>
  <c r="I75" i="27"/>
  <c r="I76" i="27"/>
  <c r="I77" i="27"/>
  <c r="I78" i="27"/>
  <c r="I79" i="27"/>
  <c r="I80" i="27"/>
  <c r="I81" i="27"/>
  <c r="I82" i="27"/>
  <c r="I83" i="27"/>
  <c r="I84" i="27"/>
  <c r="I85" i="27"/>
  <c r="I86" i="27"/>
  <c r="I87" i="27"/>
  <c r="I88" i="27"/>
  <c r="I89" i="27"/>
  <c r="I90" i="27"/>
  <c r="I91" i="27"/>
  <c r="I92" i="27"/>
  <c r="I93" i="27"/>
  <c r="I94" i="27"/>
  <c r="I95" i="27"/>
  <c r="I96" i="27"/>
  <c r="I97" i="27"/>
  <c r="I98" i="27"/>
  <c r="I99" i="27"/>
  <c r="I100" i="27"/>
  <c r="I101" i="27"/>
  <c r="I102" i="27"/>
  <c r="I103" i="27"/>
  <c r="I104" i="27"/>
  <c r="I105" i="27"/>
  <c r="I106" i="27"/>
  <c r="I107" i="27"/>
  <c r="I108" i="27"/>
  <c r="I109" i="27"/>
  <c r="I110" i="27"/>
  <c r="I111" i="27"/>
  <c r="I112" i="27"/>
  <c r="I113" i="27"/>
  <c r="I114" i="27"/>
  <c r="I115" i="27"/>
  <c r="I116" i="27"/>
  <c r="I117" i="27"/>
  <c r="I118" i="27"/>
  <c r="I119" i="27"/>
  <c r="I120" i="27"/>
  <c r="I121" i="27"/>
  <c r="I122" i="27"/>
  <c r="I123" i="27"/>
  <c r="I124" i="27"/>
  <c r="I125" i="27"/>
  <c r="I126" i="27"/>
  <c r="I127" i="27"/>
  <c r="I128" i="27"/>
  <c r="I129" i="27"/>
  <c r="I130" i="27"/>
  <c r="I131" i="27"/>
  <c r="I132" i="27"/>
  <c r="I133" i="27"/>
  <c r="I134" i="27"/>
  <c r="I135" i="27"/>
  <c r="I136" i="27"/>
  <c r="I137" i="27"/>
  <c r="I138" i="27"/>
  <c r="I139" i="27"/>
  <c r="I140" i="27"/>
  <c r="I141" i="27"/>
  <c r="I142" i="27"/>
  <c r="I143" i="27"/>
  <c r="I144" i="27"/>
  <c r="I145" i="27"/>
  <c r="I146" i="27"/>
  <c r="I147" i="27"/>
  <c r="I148" i="27"/>
  <c r="I149" i="27"/>
  <c r="I150" i="27"/>
  <c r="I151" i="27"/>
  <c r="I152" i="27"/>
  <c r="I153" i="27"/>
  <c r="I154" i="27"/>
  <c r="I155" i="27"/>
  <c r="I156" i="27"/>
  <c r="I157" i="27"/>
  <c r="I158" i="27"/>
  <c r="I159" i="27"/>
  <c r="I160" i="27"/>
  <c r="I161" i="27"/>
  <c r="I162" i="27"/>
  <c r="I163" i="27"/>
  <c r="I164" i="27"/>
  <c r="I165" i="27"/>
  <c r="I166" i="27"/>
  <c r="I167" i="27"/>
  <c r="I168" i="27"/>
  <c r="I169" i="27"/>
  <c r="I170" i="27"/>
  <c r="I171" i="27"/>
  <c r="I172" i="27"/>
  <c r="I173" i="27"/>
  <c r="I174" i="27"/>
  <c r="I175" i="27"/>
  <c r="I176" i="27"/>
  <c r="I177" i="27"/>
  <c r="I178" i="27"/>
  <c r="I179" i="27"/>
  <c r="I180" i="27"/>
  <c r="I181" i="27"/>
  <c r="I182" i="27"/>
  <c r="I183" i="27"/>
  <c r="I184" i="27"/>
  <c r="I185" i="27"/>
  <c r="I186" i="27"/>
  <c r="I187" i="27"/>
  <c r="I188" i="27"/>
  <c r="I189" i="27"/>
  <c r="I190" i="27"/>
  <c r="I191" i="27"/>
  <c r="I192" i="27"/>
  <c r="I193" i="27"/>
  <c r="I194" i="27"/>
  <c r="I195" i="27"/>
  <c r="I196" i="27"/>
  <c r="I197" i="27"/>
  <c r="I198" i="27"/>
  <c r="I199" i="27"/>
  <c r="I200" i="27"/>
  <c r="I201" i="27"/>
  <c r="I202" i="27"/>
  <c r="I203" i="27"/>
  <c r="I204" i="27"/>
  <c r="I205" i="27"/>
  <c r="I206" i="27"/>
  <c r="I207" i="27"/>
  <c r="I208" i="27"/>
  <c r="I209" i="27"/>
  <c r="I210" i="27"/>
  <c r="I211" i="27"/>
  <c r="I212" i="27"/>
  <c r="I213" i="27"/>
  <c r="I214" i="27"/>
  <c r="I215" i="27"/>
  <c r="I216" i="27"/>
  <c r="I217" i="27"/>
  <c r="I218" i="27"/>
  <c r="I219" i="27"/>
  <c r="I220" i="27"/>
  <c r="I221" i="27"/>
  <c r="I222" i="27"/>
  <c r="I223" i="27"/>
  <c r="I224" i="27"/>
  <c r="I225" i="27"/>
  <c r="I226" i="27"/>
  <c r="I227" i="27"/>
  <c r="I228" i="27"/>
  <c r="I229" i="27"/>
  <c r="I230" i="27"/>
  <c r="I231" i="27"/>
  <c r="I232" i="27"/>
  <c r="I233" i="27"/>
  <c r="I234" i="27"/>
  <c r="I235" i="27"/>
  <c r="I236" i="27"/>
  <c r="I237" i="27"/>
  <c r="I238" i="27"/>
  <c r="I239" i="27"/>
  <c r="I240" i="27"/>
  <c r="I241" i="27"/>
  <c r="I242" i="27"/>
  <c r="I243" i="27"/>
  <c r="I244" i="27"/>
  <c r="I245" i="27"/>
  <c r="I246" i="27"/>
  <c r="I247" i="27"/>
  <c r="I248" i="27"/>
  <c r="I249" i="27"/>
  <c r="I250" i="27"/>
  <c r="I251" i="27"/>
  <c r="I252" i="27"/>
  <c r="I253" i="27"/>
  <c r="I254" i="27"/>
  <c r="I255" i="27"/>
  <c r="I256" i="27"/>
  <c r="I257" i="27"/>
  <c r="I258" i="27"/>
  <c r="I259" i="27"/>
  <c r="I260" i="27"/>
  <c r="I261" i="27"/>
  <c r="I262" i="27"/>
  <c r="I263" i="27"/>
  <c r="I264" i="27"/>
  <c r="I265" i="27"/>
  <c r="I266" i="27"/>
  <c r="I267" i="27"/>
  <c r="I268" i="27"/>
  <c r="I269" i="27"/>
  <c r="I270" i="27"/>
  <c r="I271" i="27"/>
  <c r="I272" i="27"/>
  <c r="I273" i="27"/>
  <c r="I274" i="27"/>
  <c r="I275" i="27"/>
  <c r="I276" i="27"/>
  <c r="I277" i="27"/>
  <c r="I278" i="27"/>
  <c r="I279" i="27"/>
  <c r="I280" i="27"/>
  <c r="I281" i="27"/>
  <c r="I282" i="27"/>
  <c r="I283" i="27"/>
  <c r="I284" i="27"/>
  <c r="I285" i="27"/>
  <c r="I286" i="27"/>
  <c r="I287" i="27"/>
  <c r="I288" i="27"/>
  <c r="I289" i="27"/>
  <c r="I290" i="27"/>
  <c r="I291" i="27"/>
  <c r="I292" i="27"/>
  <c r="I293" i="27"/>
  <c r="I294" i="27"/>
  <c r="I295" i="27"/>
  <c r="I296" i="27"/>
  <c r="I297" i="27"/>
  <c r="I298" i="27"/>
  <c r="I299" i="27"/>
  <c r="I300" i="27"/>
  <c r="I301" i="27"/>
  <c r="I302" i="27"/>
  <c r="I303" i="27"/>
  <c r="I304" i="27"/>
  <c r="I305" i="27"/>
  <c r="I306" i="27"/>
  <c r="I307" i="27"/>
  <c r="I308" i="27"/>
  <c r="I309" i="27"/>
  <c r="H2" i="27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83" i="27"/>
  <c r="H84" i="27"/>
  <c r="H85" i="27"/>
  <c r="H86" i="27"/>
  <c r="H87" i="27"/>
  <c r="H88" i="27"/>
  <c r="H89" i="27"/>
  <c r="H90" i="27"/>
  <c r="H91" i="27"/>
  <c r="H92" i="27"/>
  <c r="H93" i="27"/>
  <c r="H94" i="27"/>
  <c r="H95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H109" i="27"/>
  <c r="H110" i="27"/>
  <c r="H111" i="27"/>
  <c r="H112" i="27"/>
  <c r="H113" i="27"/>
  <c r="H114" i="27"/>
  <c r="H115" i="27"/>
  <c r="H116" i="27"/>
  <c r="H117" i="27"/>
  <c r="H118" i="27"/>
  <c r="H119" i="27"/>
  <c r="H120" i="27"/>
  <c r="H121" i="27"/>
  <c r="H122" i="27"/>
  <c r="H123" i="27"/>
  <c r="H124" i="27"/>
  <c r="H125" i="27"/>
  <c r="H126" i="27"/>
  <c r="H127" i="27"/>
  <c r="H128" i="27"/>
  <c r="H129" i="27"/>
  <c r="H130" i="27"/>
  <c r="H131" i="27"/>
  <c r="H132" i="27"/>
  <c r="H133" i="27"/>
  <c r="H134" i="27"/>
  <c r="H135" i="27"/>
  <c r="H136" i="27"/>
  <c r="H137" i="27"/>
  <c r="H138" i="27"/>
  <c r="H139" i="27"/>
  <c r="H140" i="27"/>
  <c r="H141" i="27"/>
  <c r="H142" i="27"/>
  <c r="H143" i="27"/>
  <c r="H144" i="27"/>
  <c r="H145" i="27"/>
  <c r="H146" i="27"/>
  <c r="H147" i="27"/>
  <c r="H148" i="27"/>
  <c r="H149" i="27"/>
  <c r="H150" i="27"/>
  <c r="H151" i="27"/>
  <c r="H152" i="27"/>
  <c r="H153" i="27"/>
  <c r="H154" i="27"/>
  <c r="H155" i="27"/>
  <c r="H156" i="27"/>
  <c r="H157" i="27"/>
  <c r="H158" i="27"/>
  <c r="H159" i="27"/>
  <c r="H160" i="27"/>
  <c r="H161" i="27"/>
  <c r="H162" i="27"/>
  <c r="H163" i="27"/>
  <c r="H164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H177" i="27"/>
  <c r="H178" i="27"/>
  <c r="H179" i="27"/>
  <c r="H180" i="27"/>
  <c r="H181" i="27"/>
  <c r="H182" i="27"/>
  <c r="H183" i="27"/>
  <c r="H184" i="27"/>
  <c r="H185" i="27"/>
  <c r="H186" i="27"/>
  <c r="H187" i="27"/>
  <c r="H188" i="27"/>
  <c r="H189" i="27"/>
  <c r="H190" i="27"/>
  <c r="H191" i="27"/>
  <c r="H192" i="27"/>
  <c r="H193" i="27"/>
  <c r="H194" i="27"/>
  <c r="H195" i="27"/>
  <c r="H196" i="27"/>
  <c r="H197" i="27"/>
  <c r="H198" i="27"/>
  <c r="H199" i="27"/>
  <c r="H200" i="27"/>
  <c r="H201" i="27"/>
  <c r="H202" i="27"/>
  <c r="H203" i="27"/>
  <c r="H204" i="27"/>
  <c r="H205" i="27"/>
  <c r="H206" i="27"/>
  <c r="H207" i="27"/>
  <c r="H208" i="27"/>
  <c r="H209" i="27"/>
  <c r="H210" i="27"/>
  <c r="H211" i="27"/>
  <c r="H212" i="27"/>
  <c r="H213" i="27"/>
  <c r="H214" i="27"/>
  <c r="H215" i="27"/>
  <c r="H216" i="27"/>
  <c r="H217" i="27"/>
  <c r="H218" i="27"/>
  <c r="H219" i="27"/>
  <c r="H220" i="27"/>
  <c r="H221" i="27"/>
  <c r="H222" i="27"/>
  <c r="H223" i="27"/>
  <c r="H224" i="27"/>
  <c r="H225" i="27"/>
  <c r="H226" i="27"/>
  <c r="H227" i="27"/>
  <c r="H228" i="27"/>
  <c r="H229" i="27"/>
  <c r="H230" i="27"/>
  <c r="H231" i="27"/>
  <c r="H232" i="27"/>
  <c r="H233" i="27"/>
  <c r="H234" i="27"/>
  <c r="H235" i="27"/>
  <c r="H236" i="27"/>
  <c r="H237" i="27"/>
  <c r="H238" i="27"/>
  <c r="H239" i="27"/>
  <c r="H240" i="27"/>
  <c r="H241" i="27"/>
  <c r="H242" i="27"/>
  <c r="H243" i="27"/>
  <c r="H244" i="27"/>
  <c r="H245" i="27"/>
  <c r="H246" i="27"/>
  <c r="H247" i="27"/>
  <c r="H248" i="27"/>
  <c r="H249" i="27"/>
  <c r="H250" i="27"/>
  <c r="H251" i="27"/>
  <c r="H252" i="27"/>
  <c r="H253" i="27"/>
  <c r="H254" i="27"/>
  <c r="H255" i="27"/>
  <c r="H256" i="27"/>
  <c r="H257" i="27"/>
  <c r="H258" i="27"/>
  <c r="H259" i="27"/>
  <c r="H260" i="27"/>
  <c r="H261" i="27"/>
  <c r="H262" i="27"/>
  <c r="H263" i="27"/>
  <c r="H264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H279" i="27"/>
  <c r="H280" i="27"/>
  <c r="H281" i="27"/>
  <c r="H282" i="27"/>
  <c r="H283" i="27"/>
  <c r="H284" i="27"/>
  <c r="H285" i="27"/>
  <c r="H286" i="27"/>
  <c r="H287" i="27"/>
  <c r="H288" i="27"/>
  <c r="H289" i="27"/>
  <c r="H290" i="27"/>
  <c r="H291" i="27"/>
  <c r="H292" i="27"/>
  <c r="H293" i="27"/>
  <c r="H294" i="27"/>
  <c r="H295" i="27"/>
  <c r="H296" i="27"/>
  <c r="H297" i="27"/>
  <c r="H298" i="27"/>
  <c r="H299" i="27"/>
  <c r="H300" i="27"/>
  <c r="H301" i="27"/>
  <c r="H302" i="27"/>
  <c r="H303" i="27"/>
  <c r="H304" i="27"/>
  <c r="H305" i="27"/>
  <c r="H306" i="27"/>
  <c r="H307" i="27"/>
  <c r="H308" i="27"/>
  <c r="H309" i="27"/>
  <c r="H2" i="26"/>
  <c r="H3" i="26"/>
  <c r="I3" i="26" s="1"/>
  <c r="H4" i="26"/>
  <c r="I4" i="26" s="1"/>
  <c r="H5" i="26"/>
  <c r="I5" i="26" s="1"/>
  <c r="H6" i="26"/>
  <c r="I6" i="26" s="1"/>
  <c r="H7" i="26"/>
  <c r="I7" i="26" s="1"/>
  <c r="H8" i="26"/>
  <c r="I8" i="26" s="1"/>
  <c r="H9" i="26"/>
  <c r="I9" i="26" s="1"/>
  <c r="H10" i="26"/>
  <c r="I10" i="26" s="1"/>
  <c r="H11" i="26"/>
  <c r="I11" i="26" s="1"/>
  <c r="H12" i="26"/>
  <c r="I12" i="26" s="1"/>
  <c r="H13" i="26"/>
  <c r="I13" i="26" s="1"/>
  <c r="H14" i="26"/>
  <c r="I14" i="26" s="1"/>
  <c r="H15" i="26"/>
  <c r="I15" i="26" s="1"/>
  <c r="H16" i="26"/>
  <c r="I16" i="26" s="1"/>
  <c r="H17" i="26"/>
  <c r="I17" i="26" s="1"/>
  <c r="H18" i="26"/>
  <c r="I18" i="26" s="1"/>
  <c r="H19" i="26"/>
  <c r="I19" i="26" s="1"/>
  <c r="H20" i="26"/>
  <c r="I20" i="26" s="1"/>
  <c r="H21" i="26"/>
  <c r="I21" i="26" s="1"/>
  <c r="H22" i="26"/>
  <c r="I22" i="26" s="1"/>
  <c r="H23" i="26"/>
  <c r="I23" i="26" s="1"/>
  <c r="H24" i="26"/>
  <c r="I24" i="26" s="1"/>
  <c r="H25" i="26"/>
  <c r="I25" i="26" s="1"/>
  <c r="H26" i="26"/>
  <c r="I26" i="26" s="1"/>
  <c r="H27" i="26"/>
  <c r="I27" i="26" s="1"/>
  <c r="H28" i="26"/>
  <c r="I28" i="26" s="1"/>
  <c r="H29" i="26"/>
  <c r="I29" i="26" s="1"/>
  <c r="H30" i="26"/>
  <c r="I30" i="26" s="1"/>
  <c r="H31" i="26"/>
  <c r="I31" i="26" s="1"/>
  <c r="H32" i="26"/>
  <c r="I32" i="26" s="1"/>
  <c r="H33" i="26"/>
  <c r="I33" i="26" s="1"/>
  <c r="H34" i="26"/>
  <c r="I34" i="26" s="1"/>
  <c r="H35" i="26"/>
  <c r="I35" i="26" s="1"/>
  <c r="H36" i="26"/>
  <c r="I36" i="26" s="1"/>
  <c r="H37" i="26"/>
  <c r="I37" i="26" s="1"/>
  <c r="H38" i="26"/>
  <c r="I38" i="26" s="1"/>
  <c r="H39" i="26"/>
  <c r="I39" i="26" s="1"/>
  <c r="H40" i="26"/>
  <c r="I40" i="26" s="1"/>
  <c r="H41" i="26"/>
  <c r="I41" i="26" s="1"/>
  <c r="H42" i="26"/>
  <c r="I42" i="26" s="1"/>
  <c r="H43" i="26"/>
  <c r="I43" i="26" s="1"/>
  <c r="H44" i="26"/>
  <c r="I44" i="26" s="1"/>
  <c r="H45" i="26"/>
  <c r="I45" i="26" s="1"/>
  <c r="H46" i="26"/>
  <c r="I46" i="26" s="1"/>
  <c r="H47" i="26"/>
  <c r="I47" i="26" s="1"/>
  <c r="H48" i="26"/>
  <c r="I48" i="26" s="1"/>
  <c r="H49" i="26"/>
  <c r="I49" i="26" s="1"/>
  <c r="H50" i="26"/>
  <c r="I50" i="26" s="1"/>
  <c r="H51" i="26"/>
  <c r="I51" i="26" s="1"/>
  <c r="H52" i="26"/>
  <c r="I52" i="26" s="1"/>
  <c r="H53" i="26"/>
  <c r="I53" i="26" s="1"/>
  <c r="H54" i="26"/>
  <c r="I54" i="26" s="1"/>
  <c r="H55" i="26"/>
  <c r="I55" i="26" s="1"/>
  <c r="H56" i="26"/>
  <c r="I56" i="26" s="1"/>
  <c r="H57" i="26"/>
  <c r="I57" i="26" s="1"/>
  <c r="H58" i="26"/>
  <c r="I58" i="26" s="1"/>
  <c r="H59" i="26"/>
  <c r="I59" i="26" s="1"/>
  <c r="H60" i="26"/>
  <c r="I60" i="26" s="1"/>
  <c r="H61" i="26"/>
  <c r="I61" i="26" s="1"/>
  <c r="H62" i="26"/>
  <c r="I62" i="26" s="1"/>
  <c r="H63" i="26"/>
  <c r="I63" i="26" s="1"/>
  <c r="H64" i="26"/>
  <c r="I64" i="26" s="1"/>
  <c r="H65" i="26"/>
  <c r="I65" i="26" s="1"/>
  <c r="H66" i="26"/>
  <c r="I66" i="26" s="1"/>
  <c r="H67" i="26"/>
  <c r="I67" i="26" s="1"/>
  <c r="H68" i="26"/>
  <c r="I68" i="26" s="1"/>
  <c r="H69" i="26"/>
  <c r="I69" i="26" s="1"/>
  <c r="H70" i="26"/>
  <c r="I70" i="26" s="1"/>
  <c r="H71" i="26"/>
  <c r="I71" i="26" s="1"/>
  <c r="H72" i="26"/>
  <c r="I72" i="26" s="1"/>
  <c r="H73" i="26"/>
  <c r="I73" i="26" s="1"/>
  <c r="H74" i="26"/>
  <c r="I74" i="26" s="1"/>
  <c r="H75" i="26"/>
  <c r="I75" i="26" s="1"/>
  <c r="H76" i="26"/>
  <c r="I76" i="26" s="1"/>
  <c r="H77" i="26"/>
  <c r="I77" i="26" s="1"/>
  <c r="H78" i="26"/>
  <c r="I78" i="26" s="1"/>
  <c r="H79" i="26"/>
  <c r="I79" i="26" s="1"/>
  <c r="H80" i="26"/>
  <c r="I80" i="26" s="1"/>
  <c r="H81" i="26"/>
  <c r="I81" i="26" s="1"/>
  <c r="H82" i="26"/>
  <c r="I82" i="26" s="1"/>
  <c r="H83" i="26"/>
  <c r="I83" i="26" s="1"/>
  <c r="H84" i="26"/>
  <c r="I84" i="26" s="1"/>
  <c r="H85" i="26"/>
  <c r="I85" i="26" s="1"/>
  <c r="H86" i="26"/>
  <c r="I86" i="26" s="1"/>
  <c r="H87" i="26"/>
  <c r="I87" i="26" s="1"/>
  <c r="H88" i="26"/>
  <c r="I88" i="26" s="1"/>
  <c r="H89" i="26"/>
  <c r="I89" i="26" s="1"/>
  <c r="H90" i="26"/>
  <c r="I90" i="26" s="1"/>
  <c r="H91" i="26"/>
  <c r="I91" i="26" s="1"/>
  <c r="H92" i="26"/>
  <c r="I92" i="26" s="1"/>
  <c r="H93" i="26"/>
  <c r="I93" i="26" s="1"/>
  <c r="H94" i="26"/>
  <c r="I94" i="26" s="1"/>
  <c r="H95" i="26"/>
  <c r="I95" i="26" s="1"/>
  <c r="H96" i="26"/>
  <c r="I96" i="26" s="1"/>
  <c r="H97" i="26"/>
  <c r="I97" i="26" s="1"/>
  <c r="H98" i="26"/>
  <c r="I98" i="26" s="1"/>
  <c r="H99" i="26"/>
  <c r="I99" i="26" s="1"/>
  <c r="H100" i="26"/>
  <c r="I100" i="26" s="1"/>
  <c r="H101" i="26"/>
  <c r="I101" i="26" s="1"/>
  <c r="H102" i="26"/>
  <c r="I102" i="26" s="1"/>
  <c r="H103" i="26"/>
  <c r="I103" i="26" s="1"/>
  <c r="H104" i="26"/>
  <c r="I104" i="26" s="1"/>
  <c r="H105" i="26"/>
  <c r="I105" i="26" s="1"/>
  <c r="H106" i="26"/>
  <c r="I106" i="26" s="1"/>
  <c r="H107" i="26"/>
  <c r="I107" i="26" s="1"/>
  <c r="H108" i="26"/>
  <c r="I108" i="26" s="1"/>
  <c r="H109" i="26"/>
  <c r="I109" i="26" s="1"/>
  <c r="H110" i="26"/>
  <c r="I110" i="26" s="1"/>
  <c r="H111" i="26"/>
  <c r="I111" i="26" s="1"/>
  <c r="H112" i="26"/>
  <c r="I112" i="26" s="1"/>
  <c r="H113" i="26"/>
  <c r="I113" i="26" s="1"/>
  <c r="H114" i="26"/>
  <c r="I114" i="26" s="1"/>
  <c r="H115" i="26"/>
  <c r="I115" i="26" s="1"/>
  <c r="H116" i="26"/>
  <c r="I116" i="26" s="1"/>
  <c r="H117" i="26"/>
  <c r="I117" i="26" s="1"/>
  <c r="H118" i="26"/>
  <c r="I118" i="26" s="1"/>
  <c r="H119" i="26"/>
  <c r="I119" i="26" s="1"/>
  <c r="H120" i="26"/>
  <c r="I120" i="26" s="1"/>
  <c r="H121" i="26"/>
  <c r="I121" i="26" s="1"/>
  <c r="H122" i="26"/>
  <c r="I122" i="26" s="1"/>
  <c r="H123" i="26"/>
  <c r="I123" i="26" s="1"/>
  <c r="H124" i="26"/>
  <c r="I124" i="26" s="1"/>
  <c r="H125" i="26"/>
  <c r="I125" i="26" s="1"/>
  <c r="H126" i="26"/>
  <c r="I126" i="26" s="1"/>
  <c r="H127" i="26"/>
  <c r="I127" i="26" s="1"/>
  <c r="H128" i="26"/>
  <c r="I128" i="26" s="1"/>
  <c r="H129" i="26"/>
  <c r="I129" i="26" s="1"/>
  <c r="H130" i="26"/>
  <c r="I130" i="26" s="1"/>
  <c r="H131" i="26"/>
  <c r="I131" i="26" s="1"/>
  <c r="H132" i="26"/>
  <c r="I132" i="26" s="1"/>
  <c r="H133" i="26"/>
  <c r="I133" i="26" s="1"/>
  <c r="H134" i="26"/>
  <c r="I134" i="26" s="1"/>
  <c r="H135" i="26"/>
  <c r="I135" i="26" s="1"/>
  <c r="H136" i="26"/>
  <c r="I136" i="26" s="1"/>
  <c r="H137" i="26"/>
  <c r="I137" i="26" s="1"/>
  <c r="H138" i="26"/>
  <c r="I138" i="26" s="1"/>
  <c r="H139" i="26"/>
  <c r="I139" i="26" s="1"/>
  <c r="H140" i="26"/>
  <c r="I140" i="26" s="1"/>
  <c r="H141" i="26"/>
  <c r="I141" i="26" s="1"/>
  <c r="H142" i="26"/>
  <c r="I142" i="26" s="1"/>
  <c r="H143" i="26"/>
  <c r="I143" i="26" s="1"/>
  <c r="H144" i="26"/>
  <c r="I144" i="26" s="1"/>
  <c r="H145" i="26"/>
  <c r="I145" i="26" s="1"/>
  <c r="H146" i="26"/>
  <c r="I146" i="26" s="1"/>
  <c r="H147" i="26"/>
  <c r="I147" i="26" s="1"/>
  <c r="H148" i="26"/>
  <c r="I148" i="26" s="1"/>
  <c r="H149" i="26"/>
  <c r="I149" i="26" s="1"/>
  <c r="H150" i="26"/>
  <c r="I150" i="26" s="1"/>
  <c r="H151" i="26"/>
  <c r="I151" i="26" s="1"/>
  <c r="H152" i="26"/>
  <c r="I152" i="26" s="1"/>
  <c r="H153" i="26"/>
  <c r="I153" i="26" s="1"/>
  <c r="H154" i="26"/>
  <c r="I154" i="26" s="1"/>
  <c r="H155" i="26"/>
  <c r="I155" i="26" s="1"/>
  <c r="H156" i="26"/>
  <c r="I156" i="26" s="1"/>
  <c r="H157" i="26"/>
  <c r="I157" i="26" s="1"/>
  <c r="H158" i="26"/>
  <c r="I158" i="26" s="1"/>
  <c r="H159" i="26"/>
  <c r="I159" i="26" s="1"/>
  <c r="H160" i="26"/>
  <c r="I160" i="26" s="1"/>
  <c r="H161" i="26"/>
  <c r="I161" i="26" s="1"/>
  <c r="H162" i="26"/>
  <c r="I162" i="26" s="1"/>
  <c r="H163" i="26"/>
  <c r="I163" i="26" s="1"/>
  <c r="H164" i="26"/>
  <c r="I164" i="26" s="1"/>
  <c r="H165" i="26"/>
  <c r="I165" i="26" s="1"/>
  <c r="H166" i="26"/>
  <c r="I166" i="26" s="1"/>
  <c r="H167" i="26"/>
  <c r="I167" i="26" s="1"/>
  <c r="H168" i="26"/>
  <c r="I168" i="26" s="1"/>
  <c r="H169" i="26"/>
  <c r="I169" i="26" s="1"/>
  <c r="H170" i="26"/>
  <c r="I170" i="26" s="1"/>
  <c r="H171" i="26"/>
  <c r="I171" i="26" s="1"/>
  <c r="H172" i="26"/>
  <c r="I172" i="26" s="1"/>
  <c r="H173" i="26"/>
  <c r="I173" i="26" s="1"/>
  <c r="H174" i="26"/>
  <c r="I174" i="26" s="1"/>
  <c r="H175" i="26"/>
  <c r="I175" i="26" s="1"/>
  <c r="H176" i="26"/>
  <c r="I176" i="26" s="1"/>
  <c r="H177" i="26"/>
  <c r="I177" i="26" s="1"/>
  <c r="H178" i="26"/>
  <c r="I178" i="26" s="1"/>
  <c r="H179" i="26"/>
  <c r="I179" i="26" s="1"/>
  <c r="H180" i="26"/>
  <c r="I180" i="26" s="1"/>
  <c r="H181" i="26"/>
  <c r="I181" i="26" s="1"/>
  <c r="H182" i="26"/>
  <c r="I182" i="26" s="1"/>
  <c r="H183" i="26"/>
  <c r="I183" i="26" s="1"/>
  <c r="H184" i="26"/>
  <c r="I184" i="26" s="1"/>
  <c r="H185" i="26"/>
  <c r="I185" i="26" s="1"/>
  <c r="H186" i="26"/>
  <c r="I186" i="26" s="1"/>
  <c r="H187" i="26"/>
  <c r="I187" i="26" s="1"/>
  <c r="H188" i="26"/>
  <c r="I188" i="26" s="1"/>
  <c r="H189" i="26"/>
  <c r="I189" i="26" s="1"/>
  <c r="H190" i="26"/>
  <c r="I190" i="26" s="1"/>
  <c r="H191" i="26"/>
  <c r="I191" i="26" s="1"/>
  <c r="H192" i="26"/>
  <c r="I192" i="26" s="1"/>
  <c r="H193" i="26"/>
  <c r="I193" i="26" s="1"/>
  <c r="H194" i="26"/>
  <c r="I194" i="26" s="1"/>
  <c r="H195" i="26"/>
  <c r="I195" i="26" s="1"/>
  <c r="H196" i="26"/>
  <c r="I196" i="26" s="1"/>
  <c r="H197" i="26"/>
  <c r="I197" i="26" s="1"/>
  <c r="H198" i="26"/>
  <c r="I198" i="26" s="1"/>
  <c r="H199" i="26"/>
  <c r="I199" i="26" s="1"/>
  <c r="H200" i="26"/>
  <c r="I200" i="26" s="1"/>
  <c r="H201" i="26"/>
  <c r="I201" i="26" s="1"/>
  <c r="H202" i="26"/>
  <c r="I202" i="26" s="1"/>
  <c r="H203" i="26"/>
  <c r="I203" i="26" s="1"/>
  <c r="H204" i="26"/>
  <c r="I204" i="26" s="1"/>
  <c r="H205" i="26"/>
  <c r="I205" i="26" s="1"/>
  <c r="H206" i="26"/>
  <c r="I206" i="26" s="1"/>
  <c r="H207" i="26"/>
  <c r="I207" i="26" s="1"/>
  <c r="H208" i="26"/>
  <c r="I208" i="26" s="1"/>
  <c r="H209" i="26"/>
  <c r="I209" i="26" s="1"/>
  <c r="H210" i="26"/>
  <c r="I210" i="26" s="1"/>
  <c r="H211" i="26"/>
  <c r="I211" i="26" s="1"/>
  <c r="H212" i="26"/>
  <c r="I212" i="26" s="1"/>
  <c r="H213" i="26"/>
  <c r="I213" i="26" s="1"/>
  <c r="H214" i="26"/>
  <c r="I214" i="26" s="1"/>
  <c r="H215" i="26"/>
  <c r="I215" i="26" s="1"/>
  <c r="H216" i="26"/>
  <c r="I216" i="26" s="1"/>
  <c r="H217" i="26"/>
  <c r="I217" i="26" s="1"/>
  <c r="H218" i="26"/>
  <c r="I218" i="26" s="1"/>
  <c r="H219" i="26"/>
  <c r="I219" i="26" s="1"/>
  <c r="H220" i="26"/>
  <c r="I220" i="26" s="1"/>
  <c r="H221" i="26"/>
  <c r="I221" i="26" s="1"/>
  <c r="H222" i="26"/>
  <c r="I222" i="26" s="1"/>
  <c r="H223" i="26"/>
  <c r="I223" i="26" s="1"/>
  <c r="H224" i="26"/>
  <c r="I224" i="26" s="1"/>
  <c r="H225" i="26"/>
  <c r="I225" i="26" s="1"/>
  <c r="H226" i="26"/>
  <c r="I226" i="26" s="1"/>
  <c r="H227" i="26"/>
  <c r="I227" i="26" s="1"/>
  <c r="H228" i="26"/>
  <c r="I228" i="26" s="1"/>
  <c r="H229" i="26"/>
  <c r="I229" i="26" s="1"/>
  <c r="H230" i="26"/>
  <c r="I230" i="26" s="1"/>
  <c r="H231" i="26"/>
  <c r="I231" i="26" s="1"/>
  <c r="H232" i="26"/>
  <c r="I232" i="26" s="1"/>
  <c r="H233" i="26"/>
  <c r="I233" i="26" s="1"/>
  <c r="H234" i="26"/>
  <c r="I234" i="26" s="1"/>
  <c r="H235" i="26"/>
  <c r="I235" i="26" s="1"/>
  <c r="H236" i="26"/>
  <c r="I236" i="26" s="1"/>
  <c r="H237" i="26"/>
  <c r="I237" i="26" s="1"/>
  <c r="H238" i="26"/>
  <c r="I238" i="26" s="1"/>
  <c r="H239" i="26"/>
  <c r="I239" i="26" s="1"/>
  <c r="H240" i="26"/>
  <c r="I240" i="26" s="1"/>
  <c r="H241" i="26"/>
  <c r="I241" i="26" s="1"/>
  <c r="H242" i="26"/>
  <c r="I242" i="26" s="1"/>
  <c r="H243" i="26"/>
  <c r="I243" i="26" s="1"/>
  <c r="H244" i="26"/>
  <c r="I244" i="26" s="1"/>
  <c r="H245" i="26"/>
  <c r="I245" i="26" s="1"/>
  <c r="H246" i="26"/>
  <c r="I246" i="26" s="1"/>
  <c r="H247" i="26"/>
  <c r="I247" i="26" s="1"/>
  <c r="H248" i="26"/>
  <c r="I248" i="26" s="1"/>
  <c r="H249" i="26"/>
  <c r="I249" i="26" s="1"/>
  <c r="H250" i="26"/>
  <c r="I250" i="26" s="1"/>
  <c r="H251" i="26"/>
  <c r="I251" i="26" s="1"/>
  <c r="H252" i="26"/>
  <c r="I252" i="26" s="1"/>
  <c r="H253" i="26"/>
  <c r="I253" i="26" s="1"/>
  <c r="H254" i="26"/>
  <c r="I254" i="26" s="1"/>
  <c r="H255" i="26"/>
  <c r="I255" i="26" s="1"/>
  <c r="H256" i="26"/>
  <c r="I256" i="26" s="1"/>
  <c r="H257" i="26"/>
  <c r="I257" i="26" s="1"/>
  <c r="H258" i="26"/>
  <c r="I258" i="26" s="1"/>
  <c r="H259" i="26"/>
  <c r="I259" i="26" s="1"/>
  <c r="H260" i="26"/>
  <c r="I260" i="26" s="1"/>
  <c r="H261" i="26"/>
  <c r="I261" i="26" s="1"/>
  <c r="H262" i="26"/>
  <c r="I262" i="26" s="1"/>
  <c r="H263" i="26"/>
  <c r="I263" i="26" s="1"/>
  <c r="H264" i="26"/>
  <c r="I264" i="26" s="1"/>
  <c r="H265" i="26"/>
  <c r="I265" i="26" s="1"/>
  <c r="H266" i="26"/>
  <c r="I266" i="26" s="1"/>
  <c r="H267" i="26"/>
  <c r="I267" i="26" s="1"/>
  <c r="H268" i="26"/>
  <c r="I268" i="26" s="1"/>
  <c r="H269" i="26"/>
  <c r="I269" i="26" s="1"/>
  <c r="H270" i="26"/>
  <c r="I270" i="26" s="1"/>
  <c r="H271" i="26"/>
  <c r="I271" i="26" s="1"/>
  <c r="H272" i="26"/>
  <c r="I272" i="26" s="1"/>
  <c r="H273" i="26"/>
  <c r="I273" i="26" s="1"/>
  <c r="H274" i="26"/>
  <c r="I274" i="26" s="1"/>
  <c r="H275" i="26"/>
  <c r="I275" i="26" s="1"/>
  <c r="H276" i="26"/>
  <c r="I276" i="26" s="1"/>
  <c r="H277" i="26"/>
  <c r="I277" i="26" s="1"/>
  <c r="H278" i="26"/>
  <c r="I278" i="26" s="1"/>
  <c r="H279" i="26"/>
  <c r="I279" i="26" s="1"/>
  <c r="H280" i="26"/>
  <c r="I280" i="26" s="1"/>
  <c r="H281" i="26"/>
  <c r="I281" i="26" s="1"/>
  <c r="H282" i="26"/>
  <c r="I282" i="26" s="1"/>
  <c r="H283" i="26"/>
  <c r="I283" i="26" s="1"/>
  <c r="H284" i="26"/>
  <c r="I284" i="26" s="1"/>
  <c r="H285" i="26"/>
  <c r="I285" i="26" s="1"/>
  <c r="H286" i="26"/>
  <c r="I286" i="26" s="1"/>
  <c r="H287" i="26"/>
  <c r="I287" i="26" s="1"/>
  <c r="H288" i="26"/>
  <c r="I288" i="26" s="1"/>
  <c r="H289" i="26"/>
  <c r="I289" i="26" s="1"/>
  <c r="H290" i="26"/>
  <c r="I290" i="26" s="1"/>
  <c r="H291" i="26"/>
  <c r="I291" i="26" s="1"/>
  <c r="H292" i="26"/>
  <c r="I292" i="26" s="1"/>
  <c r="H293" i="26"/>
  <c r="I293" i="26" s="1"/>
  <c r="H294" i="26"/>
  <c r="I294" i="26" s="1"/>
  <c r="H295" i="26"/>
  <c r="I295" i="26" s="1"/>
  <c r="H296" i="26"/>
  <c r="I296" i="26" s="1"/>
  <c r="H297" i="26"/>
  <c r="I297" i="26" s="1"/>
  <c r="H298" i="26"/>
  <c r="I298" i="26" s="1"/>
  <c r="H299" i="26"/>
  <c r="I299" i="26" s="1"/>
  <c r="H300" i="26"/>
  <c r="I300" i="26" s="1"/>
  <c r="H301" i="26"/>
  <c r="I301" i="26" s="1"/>
  <c r="H302" i="26"/>
  <c r="I302" i="26" s="1"/>
  <c r="H303" i="26"/>
  <c r="I303" i="26" s="1"/>
  <c r="H304" i="26"/>
  <c r="I304" i="26" s="1"/>
  <c r="H305" i="26"/>
  <c r="I305" i="26" s="1"/>
  <c r="H306" i="26"/>
  <c r="I306" i="26" s="1"/>
  <c r="H307" i="26"/>
  <c r="I307" i="26" s="1"/>
  <c r="H308" i="26"/>
  <c r="I308" i="26" s="1"/>
  <c r="H309" i="26"/>
  <c r="I309" i="26" s="1"/>
  <c r="H310" i="26"/>
  <c r="I310" i="26" s="1"/>
  <c r="H311" i="26"/>
  <c r="I311" i="26" s="1"/>
  <c r="H312" i="26"/>
  <c r="I312" i="26" s="1"/>
  <c r="H313" i="26"/>
  <c r="I313" i="26" s="1"/>
  <c r="H314" i="26"/>
  <c r="I314" i="26" s="1"/>
  <c r="H315" i="26"/>
  <c r="I315" i="26" s="1"/>
  <c r="H316" i="26"/>
  <c r="I316" i="26" s="1"/>
  <c r="H317" i="26"/>
  <c r="I317" i="26" s="1"/>
  <c r="H318" i="26"/>
  <c r="I318" i="26" s="1"/>
  <c r="H319" i="26"/>
  <c r="I319" i="26" s="1"/>
  <c r="H320" i="26"/>
  <c r="I320" i="26" s="1"/>
  <c r="H321" i="26"/>
  <c r="I321" i="26" s="1"/>
  <c r="H322" i="26"/>
  <c r="I322" i="26" s="1"/>
  <c r="H323" i="26"/>
  <c r="I323" i="26" s="1"/>
  <c r="H324" i="26"/>
  <c r="I324" i="26" s="1"/>
  <c r="H325" i="26"/>
  <c r="I325" i="26" s="1"/>
  <c r="H326" i="26"/>
  <c r="I326" i="26" s="1"/>
  <c r="H327" i="26"/>
  <c r="I327" i="26" s="1"/>
  <c r="H328" i="26"/>
  <c r="I328" i="26" s="1"/>
  <c r="H329" i="26"/>
  <c r="I329" i="26" s="1"/>
  <c r="H330" i="26"/>
  <c r="I330" i="26" s="1"/>
  <c r="H331" i="26"/>
  <c r="I331" i="26" s="1"/>
  <c r="H332" i="26"/>
  <c r="I332" i="26" s="1"/>
  <c r="H333" i="26"/>
  <c r="I333" i="26" s="1"/>
  <c r="H334" i="26"/>
  <c r="I334" i="26" s="1"/>
  <c r="H335" i="26"/>
  <c r="I335" i="26" s="1"/>
  <c r="H336" i="26"/>
  <c r="I336" i="26" s="1"/>
  <c r="H337" i="26"/>
  <c r="I337" i="26" s="1"/>
  <c r="H338" i="26"/>
  <c r="I338" i="26" s="1"/>
  <c r="H339" i="26"/>
  <c r="I339" i="26" s="1"/>
  <c r="H340" i="26"/>
  <c r="I340" i="26" s="1"/>
  <c r="H341" i="26"/>
  <c r="I341" i="26" s="1"/>
  <c r="H342" i="26"/>
  <c r="I342" i="26" s="1"/>
  <c r="H343" i="26"/>
  <c r="I343" i="26" s="1"/>
  <c r="H344" i="26"/>
  <c r="I344" i="26" s="1"/>
  <c r="H345" i="26"/>
  <c r="I345" i="26" s="1"/>
  <c r="H346" i="26"/>
  <c r="I346" i="26" s="1"/>
  <c r="H347" i="26"/>
  <c r="I347" i="26" s="1"/>
  <c r="H348" i="26"/>
  <c r="I348" i="26" s="1"/>
  <c r="H349" i="26"/>
  <c r="I349" i="26" s="1"/>
  <c r="H350" i="26"/>
  <c r="I350" i="26" s="1"/>
  <c r="H351" i="26"/>
  <c r="I351" i="26" s="1"/>
  <c r="H352" i="26"/>
  <c r="I352" i="26" s="1"/>
  <c r="H353" i="26"/>
  <c r="I353" i="26" s="1"/>
  <c r="H354" i="26"/>
  <c r="I354" i="26" s="1"/>
  <c r="H355" i="26"/>
  <c r="I355" i="26" s="1"/>
  <c r="H356" i="26"/>
  <c r="I356" i="26" s="1"/>
  <c r="H357" i="26"/>
  <c r="I357" i="26" s="1"/>
  <c r="H358" i="26"/>
  <c r="I358" i="26" s="1"/>
  <c r="H359" i="26"/>
  <c r="I359" i="26" s="1"/>
  <c r="H360" i="26"/>
  <c r="I360" i="26" s="1"/>
  <c r="H361" i="26"/>
  <c r="I361" i="26" s="1"/>
  <c r="H362" i="26"/>
  <c r="I362" i="26" s="1"/>
  <c r="H363" i="26"/>
  <c r="I363" i="26" s="1"/>
  <c r="H364" i="26"/>
  <c r="I364" i="26" s="1"/>
  <c r="H365" i="26"/>
  <c r="I365" i="26" s="1"/>
  <c r="H366" i="26"/>
  <c r="I366" i="26" s="1"/>
  <c r="H367" i="26"/>
  <c r="I367" i="26" s="1"/>
  <c r="H368" i="26"/>
  <c r="I368" i="26" s="1"/>
  <c r="H369" i="26"/>
  <c r="I369" i="26" s="1"/>
  <c r="H370" i="26"/>
  <c r="I370" i="26" s="1"/>
  <c r="H371" i="26"/>
  <c r="I371" i="26" s="1"/>
  <c r="H372" i="26"/>
  <c r="I372" i="26" s="1"/>
  <c r="H373" i="26"/>
  <c r="I373" i="26" s="1"/>
  <c r="H374" i="26"/>
  <c r="I374" i="26" s="1"/>
  <c r="H375" i="26"/>
  <c r="I375" i="26" s="1"/>
  <c r="H376" i="26"/>
  <c r="I376" i="26" s="1"/>
  <c r="H377" i="26"/>
  <c r="I377" i="26" s="1"/>
  <c r="H378" i="26"/>
  <c r="I378" i="26" s="1"/>
  <c r="H379" i="26"/>
  <c r="I379" i="26" s="1"/>
  <c r="H380" i="26"/>
  <c r="I380" i="26" s="1"/>
  <c r="H381" i="26"/>
  <c r="I381" i="26" s="1"/>
  <c r="H382" i="26"/>
  <c r="I382" i="26" s="1"/>
  <c r="H383" i="26"/>
  <c r="I383" i="26" s="1"/>
  <c r="H384" i="26"/>
  <c r="I384" i="26" s="1"/>
  <c r="H385" i="26"/>
  <c r="I385" i="26" s="1"/>
  <c r="H386" i="26"/>
  <c r="I386" i="26" s="1"/>
  <c r="H387" i="26"/>
  <c r="I387" i="26" s="1"/>
  <c r="H388" i="26"/>
  <c r="I388" i="26" s="1"/>
  <c r="H389" i="26"/>
  <c r="I389" i="26" s="1"/>
  <c r="H390" i="26"/>
  <c r="I390" i="26" s="1"/>
  <c r="H391" i="26"/>
  <c r="I391" i="26" s="1"/>
  <c r="H392" i="26"/>
  <c r="I392" i="26" s="1"/>
  <c r="H393" i="26"/>
  <c r="I393" i="26" s="1"/>
  <c r="H394" i="26"/>
  <c r="I394" i="26" s="1"/>
  <c r="H395" i="26"/>
  <c r="I395" i="26" s="1"/>
  <c r="H396" i="26"/>
  <c r="I396" i="26" s="1"/>
  <c r="H397" i="26"/>
  <c r="I397" i="26" s="1"/>
  <c r="H398" i="26"/>
  <c r="I398" i="26" s="1"/>
  <c r="H399" i="26"/>
  <c r="I399" i="26" s="1"/>
  <c r="H400" i="26"/>
  <c r="I400" i="26" s="1"/>
  <c r="H401" i="26"/>
  <c r="I401" i="26" s="1"/>
  <c r="H402" i="26"/>
  <c r="I402" i="26" s="1"/>
  <c r="H403" i="26"/>
  <c r="I403" i="26" s="1"/>
  <c r="H404" i="26"/>
  <c r="I404" i="26" s="1"/>
  <c r="H405" i="26"/>
  <c r="I405" i="26" s="1"/>
  <c r="H406" i="26"/>
  <c r="I406" i="26" s="1"/>
  <c r="H407" i="26"/>
  <c r="I407" i="26" s="1"/>
  <c r="H408" i="26"/>
  <c r="I408" i="26" s="1"/>
  <c r="H409" i="26"/>
  <c r="I409" i="26" s="1"/>
  <c r="H410" i="26"/>
  <c r="I410" i="26" s="1"/>
  <c r="H411" i="26"/>
  <c r="I411" i="26" s="1"/>
  <c r="H412" i="26"/>
  <c r="I412" i="26" s="1"/>
  <c r="H413" i="26"/>
  <c r="I413" i="26" s="1"/>
  <c r="H414" i="26"/>
  <c r="I414" i="26" s="1"/>
  <c r="H415" i="26"/>
  <c r="I415" i="26" s="1"/>
  <c r="H416" i="26"/>
  <c r="I416" i="26" s="1"/>
  <c r="H417" i="26"/>
  <c r="I417" i="26" s="1"/>
  <c r="H418" i="26"/>
  <c r="I418" i="26" s="1"/>
  <c r="H419" i="26"/>
  <c r="I419" i="26" s="1"/>
  <c r="H420" i="26"/>
  <c r="I420" i="26" s="1"/>
  <c r="H421" i="26"/>
  <c r="I421" i="26" s="1"/>
  <c r="H422" i="26"/>
  <c r="I422" i="26" s="1"/>
  <c r="H423" i="26"/>
  <c r="I423" i="26" s="1"/>
  <c r="H424" i="26"/>
  <c r="I424" i="26" s="1"/>
  <c r="H425" i="26"/>
  <c r="I425" i="26" s="1"/>
  <c r="H426" i="26"/>
  <c r="I426" i="26" s="1"/>
  <c r="H427" i="26"/>
  <c r="I427" i="26" s="1"/>
  <c r="H428" i="26"/>
  <c r="I428" i="26" s="1"/>
  <c r="H429" i="26"/>
  <c r="I429" i="26" s="1"/>
  <c r="H430" i="26"/>
  <c r="I430" i="26" s="1"/>
  <c r="H431" i="26"/>
  <c r="I431" i="26" s="1"/>
  <c r="H432" i="26"/>
  <c r="I432" i="26" s="1"/>
  <c r="H433" i="26"/>
  <c r="I433" i="26" s="1"/>
  <c r="H434" i="26"/>
  <c r="I434" i="26" s="1"/>
  <c r="H435" i="26"/>
  <c r="I435" i="26" s="1"/>
  <c r="H436" i="26"/>
  <c r="I436" i="26" s="1"/>
  <c r="H437" i="26"/>
  <c r="I437" i="26" s="1"/>
  <c r="H438" i="26"/>
  <c r="I438" i="26" s="1"/>
  <c r="H439" i="26"/>
  <c r="I439" i="26" s="1"/>
  <c r="H440" i="26"/>
  <c r="I440" i="26" s="1"/>
  <c r="H441" i="26"/>
  <c r="I441" i="26" s="1"/>
  <c r="H442" i="26"/>
  <c r="I442" i="26" s="1"/>
  <c r="H443" i="26"/>
  <c r="I443" i="26" s="1"/>
  <c r="H444" i="26"/>
  <c r="I444" i="26" s="1"/>
  <c r="H445" i="26"/>
  <c r="I445" i="26" s="1"/>
  <c r="H446" i="26"/>
  <c r="I446" i="26" s="1"/>
  <c r="H447" i="26"/>
  <c r="I447" i="26" s="1"/>
  <c r="H448" i="26"/>
  <c r="I448" i="26" s="1"/>
  <c r="H449" i="26"/>
  <c r="I449" i="26" s="1"/>
  <c r="H450" i="26"/>
  <c r="I450" i="26" s="1"/>
  <c r="H451" i="26"/>
  <c r="I451" i="26" s="1"/>
  <c r="H452" i="26"/>
  <c r="I452" i="26" s="1"/>
  <c r="H453" i="26"/>
  <c r="I453" i="26" s="1"/>
  <c r="H454" i="26"/>
  <c r="I454" i="26" s="1"/>
  <c r="H455" i="26"/>
  <c r="I455" i="26" s="1"/>
  <c r="H456" i="26"/>
  <c r="I456" i="26" s="1"/>
  <c r="H457" i="26"/>
  <c r="I457" i="26" s="1"/>
  <c r="H458" i="26"/>
  <c r="I458" i="26" s="1"/>
  <c r="H459" i="26"/>
  <c r="I459" i="26" s="1"/>
  <c r="H460" i="26"/>
  <c r="I460" i="26" s="1"/>
  <c r="H461" i="26"/>
  <c r="I461" i="26" s="1"/>
  <c r="H462" i="26"/>
  <c r="I462" i="26" s="1"/>
  <c r="H463" i="26"/>
  <c r="I463" i="26" s="1"/>
  <c r="H464" i="26"/>
  <c r="I464" i="26" s="1"/>
  <c r="H465" i="26"/>
  <c r="I465" i="26" s="1"/>
  <c r="H466" i="26"/>
  <c r="I466" i="26" s="1"/>
  <c r="H467" i="26"/>
  <c r="I467" i="26" s="1"/>
  <c r="H468" i="26"/>
  <c r="I468" i="26" s="1"/>
  <c r="H469" i="26"/>
  <c r="I469" i="26" s="1"/>
  <c r="H470" i="26"/>
  <c r="I470" i="26" s="1"/>
  <c r="H471" i="26"/>
  <c r="I471" i="26" s="1"/>
  <c r="H472" i="26"/>
  <c r="I472" i="26" s="1"/>
  <c r="H473" i="26"/>
  <c r="I473" i="26" s="1"/>
  <c r="H474" i="26"/>
  <c r="I474" i="26" s="1"/>
  <c r="H475" i="26"/>
  <c r="I475" i="26" s="1"/>
  <c r="H476" i="26"/>
  <c r="I476" i="26" s="1"/>
  <c r="H477" i="26"/>
  <c r="I477" i="26" s="1"/>
  <c r="H478" i="26"/>
  <c r="I478" i="26" s="1"/>
  <c r="H479" i="26"/>
  <c r="I479" i="26" s="1"/>
  <c r="H480" i="26"/>
  <c r="I480" i="26" s="1"/>
  <c r="H481" i="26"/>
  <c r="I481" i="26" s="1"/>
  <c r="H482" i="26"/>
  <c r="I482" i="26" s="1"/>
  <c r="H483" i="26"/>
  <c r="I483" i="26" s="1"/>
  <c r="H484" i="26"/>
  <c r="I484" i="26" s="1"/>
  <c r="H485" i="26"/>
  <c r="I485" i="26" s="1"/>
  <c r="H486" i="26"/>
  <c r="I486" i="26" s="1"/>
  <c r="H487" i="26"/>
  <c r="I487" i="26" s="1"/>
  <c r="H488" i="26"/>
  <c r="I488" i="26" s="1"/>
  <c r="H489" i="26"/>
  <c r="I489" i="26" s="1"/>
  <c r="H490" i="26"/>
  <c r="I490" i="26" s="1"/>
  <c r="H491" i="26"/>
  <c r="I491" i="26" s="1"/>
  <c r="H492" i="26"/>
  <c r="I492" i="26" s="1"/>
  <c r="H493" i="26"/>
  <c r="I493" i="26" s="1"/>
  <c r="H494" i="26"/>
  <c r="I494" i="26" s="1"/>
  <c r="H495" i="26"/>
  <c r="I495" i="26" s="1"/>
  <c r="H496" i="26"/>
  <c r="I496" i="26" s="1"/>
  <c r="H497" i="26"/>
  <c r="I497" i="26" s="1"/>
  <c r="H498" i="26"/>
  <c r="I498" i="26" s="1"/>
  <c r="H499" i="26"/>
  <c r="I499" i="26" s="1"/>
  <c r="H500" i="26"/>
  <c r="I500" i="26" s="1"/>
  <c r="H501" i="26"/>
  <c r="I501" i="26" s="1"/>
  <c r="H502" i="26"/>
  <c r="I502" i="26" s="1"/>
  <c r="H503" i="26"/>
  <c r="I503" i="26" s="1"/>
  <c r="H504" i="26"/>
  <c r="I504" i="26" s="1"/>
  <c r="H505" i="26"/>
  <c r="I505" i="26" s="1"/>
  <c r="H506" i="26"/>
  <c r="I506" i="26" s="1"/>
  <c r="H507" i="26"/>
  <c r="I507" i="26" s="1"/>
  <c r="H508" i="26"/>
  <c r="I508" i="26" s="1"/>
  <c r="H509" i="26"/>
  <c r="I509" i="26" s="1"/>
  <c r="H510" i="26"/>
  <c r="I510" i="26" s="1"/>
  <c r="H511" i="26"/>
  <c r="I511" i="26" s="1"/>
  <c r="H512" i="26"/>
  <c r="I512" i="26" s="1"/>
  <c r="H513" i="26"/>
  <c r="I513" i="26" s="1"/>
  <c r="H514" i="26"/>
  <c r="I514" i="26" s="1"/>
  <c r="H515" i="26"/>
  <c r="I515" i="26" s="1"/>
  <c r="H516" i="26"/>
  <c r="I516" i="26" s="1"/>
  <c r="H517" i="26"/>
  <c r="I517" i="26" s="1"/>
  <c r="H518" i="26"/>
  <c r="I518" i="26" s="1"/>
  <c r="H519" i="26"/>
  <c r="I519" i="26" s="1"/>
  <c r="H520" i="26"/>
  <c r="I520" i="26" s="1"/>
  <c r="H521" i="26"/>
  <c r="I521" i="26" s="1"/>
  <c r="H522" i="26"/>
  <c r="I522" i="26" s="1"/>
  <c r="H523" i="26"/>
  <c r="I523" i="26" s="1"/>
  <c r="H524" i="26"/>
  <c r="I524" i="26" s="1"/>
  <c r="H525" i="26"/>
  <c r="I525" i="26" s="1"/>
  <c r="H526" i="26"/>
  <c r="I526" i="26" s="1"/>
  <c r="H527" i="26"/>
  <c r="I527" i="26" s="1"/>
  <c r="H528" i="26"/>
  <c r="I528" i="26" s="1"/>
  <c r="H529" i="26"/>
  <c r="I529" i="26" s="1"/>
  <c r="H530" i="26"/>
  <c r="I530" i="26" s="1"/>
  <c r="H531" i="26"/>
  <c r="I531" i="26" s="1"/>
  <c r="H532" i="26"/>
  <c r="I532" i="26" s="1"/>
  <c r="H533" i="26"/>
  <c r="I533" i="26" s="1"/>
  <c r="H534" i="26"/>
  <c r="I534" i="26" s="1"/>
  <c r="H535" i="26"/>
  <c r="I535" i="26" s="1"/>
  <c r="H536" i="26"/>
  <c r="I536" i="26" s="1"/>
  <c r="H537" i="26"/>
  <c r="I537" i="26" s="1"/>
  <c r="H538" i="26"/>
  <c r="I538" i="26" s="1"/>
  <c r="H539" i="26"/>
  <c r="I539" i="26" s="1"/>
  <c r="H540" i="26"/>
  <c r="I540" i="26" s="1"/>
  <c r="H541" i="26"/>
  <c r="I541" i="26" s="1"/>
  <c r="H542" i="26"/>
  <c r="I542" i="26" s="1"/>
  <c r="H543" i="26"/>
  <c r="I543" i="26" s="1"/>
  <c r="H544" i="26"/>
  <c r="I544" i="26" s="1"/>
  <c r="H545" i="26"/>
  <c r="I545" i="26" s="1"/>
  <c r="H546" i="26"/>
  <c r="I546" i="26" s="1"/>
  <c r="H547" i="26"/>
  <c r="I547" i="26" s="1"/>
  <c r="H548" i="26"/>
  <c r="I548" i="26" s="1"/>
  <c r="H549" i="26"/>
  <c r="I549" i="26" s="1"/>
  <c r="H550" i="26"/>
  <c r="I550" i="26" s="1"/>
  <c r="H551" i="26"/>
  <c r="I551" i="26" s="1"/>
  <c r="H552" i="26"/>
  <c r="I552" i="26" s="1"/>
  <c r="H553" i="26"/>
  <c r="I553" i="26" s="1"/>
  <c r="H554" i="26"/>
  <c r="I554" i="26" s="1"/>
  <c r="H555" i="26"/>
  <c r="I555" i="26" s="1"/>
  <c r="H556" i="26"/>
  <c r="I556" i="26" s="1"/>
  <c r="H557" i="26"/>
  <c r="I557" i="26" s="1"/>
  <c r="H558" i="26"/>
  <c r="I558" i="26" s="1"/>
  <c r="H559" i="26"/>
  <c r="I559" i="26" s="1"/>
  <c r="H560" i="26"/>
  <c r="I560" i="26" s="1"/>
  <c r="H561" i="26"/>
  <c r="I561" i="26" s="1"/>
  <c r="H562" i="26"/>
  <c r="I562" i="26" s="1"/>
  <c r="H563" i="26"/>
  <c r="I563" i="26" s="1"/>
  <c r="H564" i="26"/>
  <c r="I564" i="26" s="1"/>
  <c r="H565" i="26"/>
  <c r="I565" i="26" s="1"/>
  <c r="H566" i="26"/>
  <c r="I566" i="26" s="1"/>
  <c r="H567" i="26"/>
  <c r="I567" i="26" s="1"/>
  <c r="H568" i="26"/>
  <c r="I568" i="26" s="1"/>
  <c r="H569" i="26"/>
  <c r="I569" i="26" s="1"/>
  <c r="H570" i="26"/>
  <c r="I570" i="26" s="1"/>
  <c r="H571" i="26"/>
  <c r="I571" i="26" s="1"/>
  <c r="H572" i="26"/>
  <c r="I572" i="26" s="1"/>
  <c r="H573" i="26"/>
  <c r="I573" i="26" s="1"/>
  <c r="H574" i="26"/>
  <c r="I574" i="26" s="1"/>
  <c r="H575" i="26"/>
  <c r="I575" i="26" s="1"/>
  <c r="H576" i="26"/>
  <c r="I576" i="26" s="1"/>
  <c r="H577" i="26"/>
  <c r="I577" i="26" s="1"/>
  <c r="H578" i="26"/>
  <c r="I578" i="26" s="1"/>
  <c r="H579" i="26"/>
  <c r="I579" i="26" s="1"/>
  <c r="H580" i="26"/>
  <c r="I580" i="26" s="1"/>
  <c r="H581" i="26"/>
  <c r="I581" i="26" s="1"/>
  <c r="H582" i="26"/>
  <c r="I582" i="26" s="1"/>
  <c r="H583" i="26"/>
  <c r="I583" i="26" s="1"/>
  <c r="H584" i="26"/>
  <c r="I584" i="26" s="1"/>
  <c r="H585" i="26"/>
  <c r="I585" i="26" s="1"/>
  <c r="H586" i="26"/>
  <c r="I586" i="26" s="1"/>
  <c r="H587" i="26"/>
  <c r="I587" i="26" s="1"/>
  <c r="H588" i="26"/>
  <c r="I588" i="26" s="1"/>
  <c r="H589" i="26"/>
  <c r="I589" i="26" s="1"/>
  <c r="H590" i="26"/>
  <c r="I590" i="26" s="1"/>
  <c r="H591" i="26"/>
  <c r="I591" i="26" s="1"/>
  <c r="H592" i="26"/>
  <c r="I592" i="26" s="1"/>
  <c r="H593" i="26"/>
  <c r="I593" i="26" s="1"/>
  <c r="H594" i="26"/>
  <c r="I594" i="26" s="1"/>
  <c r="H595" i="26"/>
  <c r="I595" i="26" s="1"/>
  <c r="H596" i="26"/>
  <c r="I596" i="26" s="1"/>
  <c r="H597" i="26"/>
  <c r="I597" i="26" s="1"/>
  <c r="H598" i="26"/>
  <c r="I598" i="26" s="1"/>
  <c r="H599" i="26"/>
  <c r="I599" i="26" s="1"/>
  <c r="H600" i="26"/>
  <c r="I600" i="26" s="1"/>
  <c r="H601" i="26"/>
  <c r="I601" i="26" s="1"/>
  <c r="H602" i="26"/>
  <c r="I602" i="26" s="1"/>
  <c r="H603" i="26"/>
  <c r="I603" i="26" s="1"/>
  <c r="H604" i="26"/>
  <c r="I604" i="26" s="1"/>
  <c r="H605" i="26"/>
  <c r="I605" i="26" s="1"/>
  <c r="H606" i="26"/>
  <c r="I606" i="26" s="1"/>
  <c r="H607" i="26"/>
  <c r="I607" i="26" s="1"/>
  <c r="H608" i="26"/>
  <c r="I608" i="26" s="1"/>
  <c r="H609" i="26"/>
  <c r="I609" i="26" s="1"/>
  <c r="H610" i="26"/>
  <c r="I610" i="26" s="1"/>
  <c r="H611" i="26"/>
  <c r="I611" i="26" s="1"/>
  <c r="H612" i="26"/>
  <c r="I612" i="26" s="1"/>
  <c r="H613" i="26"/>
  <c r="I613" i="26" s="1"/>
  <c r="H614" i="26"/>
  <c r="I614" i="26" s="1"/>
  <c r="H615" i="26"/>
  <c r="I615" i="26" s="1"/>
  <c r="H616" i="26"/>
  <c r="I616" i="26" s="1"/>
  <c r="H617" i="26"/>
  <c r="I617" i="26" s="1"/>
  <c r="H618" i="26"/>
  <c r="I618" i="26" s="1"/>
  <c r="H619" i="26"/>
  <c r="I619" i="26" s="1"/>
  <c r="H620" i="26"/>
  <c r="I620" i="26" s="1"/>
  <c r="H621" i="26"/>
  <c r="I621" i="26" s="1"/>
  <c r="H622" i="26"/>
  <c r="I622" i="26" s="1"/>
  <c r="H623" i="26"/>
  <c r="I623" i="26" s="1"/>
  <c r="H624" i="26"/>
  <c r="I624" i="26" s="1"/>
  <c r="H625" i="26"/>
  <c r="I625" i="26" s="1"/>
  <c r="H626" i="26"/>
  <c r="I626" i="26" s="1"/>
  <c r="H627" i="26"/>
  <c r="I627" i="26" s="1"/>
  <c r="H628" i="26"/>
  <c r="I628" i="26" s="1"/>
  <c r="H629" i="26"/>
  <c r="I629" i="26" s="1"/>
  <c r="H630" i="26"/>
  <c r="I630" i="26" s="1"/>
  <c r="H631" i="26"/>
  <c r="I631" i="26" s="1"/>
  <c r="H632" i="26"/>
  <c r="I632" i="26" s="1"/>
  <c r="H633" i="26"/>
  <c r="I633" i="26" s="1"/>
  <c r="H634" i="26"/>
  <c r="I634" i="26" s="1"/>
  <c r="H635" i="26"/>
  <c r="I635" i="26" s="1"/>
  <c r="H636" i="26"/>
  <c r="I636" i="26" s="1"/>
  <c r="H637" i="26"/>
  <c r="I637" i="26" s="1"/>
  <c r="H638" i="26"/>
  <c r="I638" i="26" s="1"/>
  <c r="H639" i="26"/>
  <c r="I639" i="26" s="1"/>
  <c r="H640" i="26"/>
  <c r="I640" i="26" s="1"/>
  <c r="H641" i="26"/>
  <c r="I641" i="26" s="1"/>
  <c r="H642" i="26"/>
  <c r="I642" i="26" s="1"/>
  <c r="H643" i="26"/>
  <c r="I643" i="26" s="1"/>
  <c r="H644" i="26"/>
  <c r="I644" i="26" s="1"/>
  <c r="H645" i="26"/>
  <c r="I645" i="26" s="1"/>
  <c r="H646" i="26"/>
  <c r="I646" i="26" s="1"/>
  <c r="H647" i="26"/>
  <c r="I647" i="26" s="1"/>
  <c r="H648" i="26"/>
  <c r="I648" i="26" s="1"/>
  <c r="H649" i="26"/>
  <c r="I649" i="26" s="1"/>
  <c r="H650" i="26"/>
  <c r="I650" i="26" s="1"/>
  <c r="H651" i="26"/>
  <c r="I651" i="26" s="1"/>
  <c r="H652" i="26"/>
  <c r="I652" i="26" s="1"/>
  <c r="H653" i="26"/>
  <c r="I653" i="26" s="1"/>
  <c r="H654" i="26"/>
  <c r="I654" i="26" s="1"/>
  <c r="H655" i="26"/>
  <c r="I655" i="26" s="1"/>
  <c r="H656" i="26"/>
  <c r="I656" i="26" s="1"/>
  <c r="H657" i="26"/>
  <c r="I657" i="26" s="1"/>
  <c r="H658" i="26"/>
  <c r="I658" i="26" s="1"/>
  <c r="H659" i="26"/>
  <c r="I659" i="26" s="1"/>
  <c r="H660" i="26"/>
  <c r="I660" i="26" s="1"/>
  <c r="H661" i="26"/>
  <c r="I661" i="26" s="1"/>
  <c r="H662" i="26"/>
  <c r="I662" i="26" s="1"/>
  <c r="H663" i="26"/>
  <c r="I663" i="26" s="1"/>
  <c r="H664" i="26"/>
  <c r="I664" i="26" s="1"/>
  <c r="H665" i="26"/>
  <c r="I665" i="26" s="1"/>
  <c r="H666" i="26"/>
  <c r="I666" i="26" s="1"/>
  <c r="H667" i="26"/>
  <c r="I667" i="26" s="1"/>
  <c r="H668" i="26"/>
  <c r="I668" i="26" s="1"/>
  <c r="H669" i="26"/>
  <c r="I669" i="26" s="1"/>
  <c r="H670" i="26"/>
  <c r="I670" i="26" s="1"/>
  <c r="H671" i="26"/>
  <c r="I671" i="26" s="1"/>
  <c r="H672" i="26"/>
  <c r="I672" i="26" s="1"/>
  <c r="H673" i="26"/>
  <c r="I673" i="26" s="1"/>
  <c r="H674" i="26"/>
  <c r="I674" i="26" s="1"/>
  <c r="H675" i="26"/>
  <c r="I675" i="26" s="1"/>
  <c r="H676" i="26"/>
  <c r="I676" i="26" s="1"/>
  <c r="H677" i="26"/>
  <c r="I677" i="26" s="1"/>
  <c r="H678" i="26"/>
  <c r="I678" i="26" s="1"/>
  <c r="H679" i="26"/>
  <c r="I679" i="26" s="1"/>
  <c r="H680" i="26"/>
  <c r="I680" i="26" s="1"/>
  <c r="H681" i="26"/>
  <c r="I681" i="26" s="1"/>
  <c r="H682" i="26"/>
  <c r="I682" i="26" s="1"/>
  <c r="H683" i="26"/>
  <c r="I683" i="26" s="1"/>
  <c r="H684" i="26"/>
  <c r="I684" i="26" s="1"/>
  <c r="H685" i="26"/>
  <c r="I685" i="26" s="1"/>
  <c r="H686" i="26"/>
  <c r="I686" i="26" s="1"/>
  <c r="H687" i="26"/>
  <c r="I687" i="26" s="1"/>
  <c r="H688" i="26"/>
  <c r="I688" i="26" s="1"/>
  <c r="H689" i="26"/>
  <c r="I689" i="26" s="1"/>
  <c r="H690" i="26"/>
  <c r="I690" i="26" s="1"/>
  <c r="H691" i="26"/>
  <c r="I691" i="26" s="1"/>
  <c r="H692" i="26"/>
  <c r="I692" i="26" s="1"/>
  <c r="H693" i="26"/>
  <c r="I693" i="26" s="1"/>
  <c r="H694" i="26"/>
  <c r="I694" i="26" s="1"/>
  <c r="H695" i="26"/>
  <c r="I695" i="26" s="1"/>
  <c r="H696" i="26"/>
  <c r="I696" i="26" s="1"/>
  <c r="H697" i="26"/>
  <c r="I697" i="26" s="1"/>
  <c r="H698" i="26"/>
  <c r="I698" i="26" s="1"/>
  <c r="H699" i="26"/>
  <c r="I699" i="26" s="1"/>
  <c r="H700" i="26"/>
  <c r="I700" i="26" s="1"/>
  <c r="H701" i="26"/>
  <c r="I701" i="26" s="1"/>
  <c r="H702" i="26"/>
  <c r="I702" i="26" s="1"/>
  <c r="H703" i="26"/>
  <c r="I703" i="26" s="1"/>
  <c r="H704" i="26"/>
  <c r="I704" i="26" s="1"/>
  <c r="H705" i="26"/>
  <c r="I705" i="26" s="1"/>
  <c r="H706" i="26"/>
  <c r="I706" i="26" s="1"/>
  <c r="H707" i="26"/>
  <c r="I707" i="26" s="1"/>
  <c r="H708" i="26"/>
  <c r="I708" i="26" s="1"/>
  <c r="H709" i="26"/>
  <c r="I709" i="26" s="1"/>
  <c r="H710" i="26"/>
  <c r="I710" i="26" s="1"/>
  <c r="H711" i="26"/>
  <c r="I711" i="26" s="1"/>
  <c r="H712" i="26"/>
  <c r="I712" i="26" s="1"/>
  <c r="H713" i="26"/>
  <c r="I713" i="26" s="1"/>
  <c r="H714" i="26"/>
  <c r="I714" i="26" s="1"/>
  <c r="H715" i="26"/>
  <c r="I715" i="26" s="1"/>
  <c r="H716" i="26"/>
  <c r="I716" i="26" s="1"/>
  <c r="H717" i="26"/>
  <c r="I717" i="26" s="1"/>
  <c r="H718" i="26"/>
  <c r="I718" i="26" s="1"/>
  <c r="H719" i="26"/>
  <c r="I719" i="26" s="1"/>
  <c r="H720" i="26"/>
  <c r="I720" i="26" s="1"/>
  <c r="H721" i="26"/>
  <c r="I721" i="26" s="1"/>
  <c r="H722" i="26"/>
  <c r="I722" i="26" s="1"/>
  <c r="H723" i="26"/>
  <c r="I723" i="26" s="1"/>
  <c r="H724" i="26"/>
  <c r="I724" i="26" s="1"/>
  <c r="H725" i="26"/>
  <c r="I725" i="26" s="1"/>
  <c r="H726" i="26"/>
  <c r="I726" i="26" s="1"/>
  <c r="H727" i="26"/>
  <c r="I727" i="26" s="1"/>
  <c r="H728" i="26"/>
  <c r="I728" i="26" s="1"/>
  <c r="H729" i="26"/>
  <c r="I729" i="26" s="1"/>
  <c r="H730" i="26"/>
  <c r="I730" i="26" s="1"/>
  <c r="H731" i="26"/>
  <c r="I731" i="26" s="1"/>
  <c r="H732" i="26"/>
  <c r="I732" i="26" s="1"/>
  <c r="H733" i="26"/>
  <c r="I733" i="26" s="1"/>
  <c r="H734" i="26"/>
  <c r="I734" i="26" s="1"/>
  <c r="H735" i="26"/>
  <c r="I735" i="26" s="1"/>
  <c r="H736" i="26"/>
  <c r="I736" i="26" s="1"/>
  <c r="H737" i="26"/>
  <c r="I737" i="26" s="1"/>
  <c r="H738" i="26"/>
  <c r="I738" i="26" s="1"/>
  <c r="H739" i="26"/>
  <c r="I739" i="26" s="1"/>
  <c r="H740" i="26"/>
  <c r="I740" i="26" s="1"/>
  <c r="H741" i="26"/>
  <c r="I741" i="26" s="1"/>
  <c r="H742" i="26"/>
  <c r="I742" i="26" s="1"/>
  <c r="H743" i="26"/>
  <c r="I743" i="26" s="1"/>
  <c r="H744" i="26"/>
  <c r="I744" i="26" s="1"/>
  <c r="H745" i="26"/>
  <c r="I745" i="26" s="1"/>
  <c r="H746" i="26"/>
  <c r="I746" i="26" s="1"/>
  <c r="H747" i="26"/>
  <c r="I747" i="26" s="1"/>
  <c r="H748" i="26"/>
  <c r="I748" i="26" s="1"/>
  <c r="H749" i="26"/>
  <c r="I749" i="26" s="1"/>
  <c r="H750" i="26"/>
  <c r="I750" i="26" s="1"/>
  <c r="H751" i="26"/>
  <c r="I751" i="26" s="1"/>
  <c r="H752" i="26"/>
  <c r="I752" i="26" s="1"/>
  <c r="H753" i="26"/>
  <c r="I753" i="26" s="1"/>
  <c r="H754" i="26"/>
  <c r="I754" i="26" s="1"/>
  <c r="H755" i="26"/>
  <c r="I755" i="26" s="1"/>
  <c r="H756" i="26"/>
  <c r="I756" i="26" s="1"/>
  <c r="H757" i="26"/>
  <c r="I757" i="26" s="1"/>
  <c r="H758" i="26"/>
  <c r="I758" i="26" s="1"/>
  <c r="H759" i="26"/>
  <c r="I759" i="26" s="1"/>
  <c r="H760" i="26"/>
  <c r="I760" i="26" s="1"/>
  <c r="H761" i="26"/>
  <c r="I761" i="26" s="1"/>
  <c r="H762" i="26"/>
  <c r="I762" i="26" s="1"/>
  <c r="H763" i="26"/>
  <c r="I763" i="26" s="1"/>
  <c r="H764" i="26"/>
  <c r="I764" i="26" s="1"/>
  <c r="H765" i="26"/>
  <c r="I765" i="26" s="1"/>
  <c r="H766" i="26"/>
  <c r="I766" i="26" s="1"/>
  <c r="H767" i="26"/>
  <c r="I767" i="26" s="1"/>
  <c r="H768" i="26"/>
  <c r="I768" i="26" s="1"/>
  <c r="H769" i="26"/>
  <c r="I769" i="26" s="1"/>
  <c r="H770" i="26"/>
  <c r="I770" i="26" s="1"/>
  <c r="H771" i="26"/>
  <c r="I771" i="26" s="1"/>
  <c r="H772" i="26"/>
  <c r="I772" i="26" s="1"/>
  <c r="H773" i="26"/>
  <c r="I773" i="26" s="1"/>
  <c r="H774" i="26"/>
  <c r="I774" i="26" s="1"/>
  <c r="H775" i="26"/>
  <c r="I775" i="26" s="1"/>
  <c r="H776" i="26"/>
  <c r="I776" i="26" s="1"/>
  <c r="H777" i="26"/>
  <c r="I777" i="26" s="1"/>
  <c r="H778" i="26"/>
  <c r="I778" i="26" s="1"/>
  <c r="H779" i="26"/>
  <c r="I779" i="26" s="1"/>
  <c r="H780" i="26"/>
  <c r="I780" i="26" s="1"/>
  <c r="H781" i="26"/>
  <c r="I781" i="26" s="1"/>
  <c r="H782" i="26"/>
  <c r="I782" i="26" s="1"/>
  <c r="H783" i="26"/>
  <c r="I783" i="26" s="1"/>
  <c r="H784" i="26"/>
  <c r="I784" i="26" s="1"/>
  <c r="H785" i="26"/>
  <c r="I785" i="26" s="1"/>
  <c r="H786" i="26"/>
  <c r="I786" i="26" s="1"/>
  <c r="H787" i="26"/>
  <c r="I787" i="26" s="1"/>
  <c r="H788" i="26"/>
  <c r="I788" i="26" s="1"/>
  <c r="H789" i="26"/>
  <c r="I789" i="26" s="1"/>
  <c r="H790" i="26"/>
  <c r="I790" i="26" s="1"/>
  <c r="H791" i="26"/>
  <c r="I791" i="26" s="1"/>
  <c r="H792" i="26"/>
  <c r="I792" i="26" s="1"/>
  <c r="H793" i="26"/>
  <c r="I793" i="26" s="1"/>
  <c r="H794" i="26"/>
  <c r="I794" i="26" s="1"/>
  <c r="H795" i="26"/>
  <c r="I795" i="26" s="1"/>
  <c r="H796" i="26"/>
  <c r="I796" i="26" s="1"/>
  <c r="H797" i="26"/>
  <c r="I797" i="26" s="1"/>
  <c r="H798" i="26"/>
  <c r="I798" i="26" s="1"/>
  <c r="H799" i="26"/>
  <c r="I799" i="26" s="1"/>
  <c r="H800" i="26"/>
  <c r="I800" i="26" s="1"/>
  <c r="H801" i="26"/>
  <c r="I801" i="26" s="1"/>
  <c r="H802" i="26"/>
  <c r="I802" i="26" s="1"/>
  <c r="H803" i="26"/>
  <c r="I803" i="26" s="1"/>
  <c r="H804" i="26"/>
  <c r="I804" i="26" s="1"/>
  <c r="H805" i="26"/>
  <c r="I805" i="26" s="1"/>
  <c r="H806" i="26"/>
  <c r="I806" i="26" s="1"/>
  <c r="H807" i="26"/>
  <c r="I807" i="26" s="1"/>
  <c r="H808" i="26"/>
  <c r="I808" i="26" s="1"/>
  <c r="H809" i="26"/>
  <c r="I809" i="26" s="1"/>
  <c r="H810" i="26"/>
  <c r="I810" i="26" s="1"/>
  <c r="H811" i="26"/>
  <c r="I811" i="26" s="1"/>
  <c r="H812" i="26"/>
  <c r="I812" i="26" s="1"/>
  <c r="H813" i="26"/>
  <c r="I813" i="26" s="1"/>
  <c r="H814" i="26"/>
  <c r="I814" i="26" s="1"/>
  <c r="H815" i="26"/>
  <c r="I815" i="26" s="1"/>
  <c r="H816" i="26"/>
  <c r="I816" i="26" s="1"/>
  <c r="H817" i="26"/>
  <c r="I817" i="26" s="1"/>
  <c r="H818" i="26"/>
  <c r="I818" i="26" s="1"/>
  <c r="H819" i="26"/>
  <c r="I819" i="26" s="1"/>
  <c r="H820" i="26"/>
  <c r="I820" i="26" s="1"/>
  <c r="H821" i="26"/>
  <c r="I821" i="26" s="1"/>
  <c r="H822" i="26"/>
  <c r="I822" i="26" s="1"/>
  <c r="H823" i="26"/>
  <c r="I823" i="26" s="1"/>
  <c r="H824" i="26"/>
  <c r="I824" i="26" s="1"/>
  <c r="H825" i="26"/>
  <c r="I825" i="26" s="1"/>
  <c r="H826" i="26"/>
  <c r="I826" i="26" s="1"/>
  <c r="H827" i="26"/>
  <c r="I827" i="26" s="1"/>
  <c r="H828" i="26"/>
  <c r="I828" i="26" s="1"/>
  <c r="H829" i="26"/>
  <c r="I829" i="26" s="1"/>
  <c r="H830" i="26"/>
  <c r="I830" i="26" s="1"/>
  <c r="H831" i="26"/>
  <c r="I831" i="26" s="1"/>
  <c r="H832" i="26"/>
  <c r="I832" i="26" s="1"/>
  <c r="H833" i="26"/>
  <c r="I833" i="26" s="1"/>
  <c r="H834" i="26"/>
  <c r="I834" i="26" s="1"/>
  <c r="H835" i="26"/>
  <c r="I835" i="26" s="1"/>
  <c r="H836" i="26"/>
  <c r="I836" i="26" s="1"/>
  <c r="H837" i="26"/>
  <c r="I837" i="26" s="1"/>
  <c r="H838" i="26"/>
  <c r="I838" i="26" s="1"/>
  <c r="H839" i="26"/>
  <c r="I839" i="26" s="1"/>
  <c r="H840" i="26"/>
  <c r="I840" i="26" s="1"/>
  <c r="H841" i="26"/>
  <c r="I841" i="26" s="1"/>
  <c r="H842" i="26"/>
  <c r="I842" i="26" s="1"/>
  <c r="H843" i="26"/>
  <c r="I843" i="26" s="1"/>
  <c r="H844" i="26"/>
  <c r="I844" i="26" s="1"/>
  <c r="H845" i="26"/>
  <c r="I845" i="26" s="1"/>
  <c r="H846" i="26"/>
  <c r="I846" i="26" s="1"/>
  <c r="H847" i="26"/>
  <c r="I847" i="26" s="1"/>
  <c r="H848" i="26"/>
  <c r="I848" i="26" s="1"/>
  <c r="H849" i="26"/>
  <c r="I849" i="26" s="1"/>
  <c r="H850" i="26"/>
  <c r="I850" i="26" s="1"/>
  <c r="H851" i="26"/>
  <c r="I851" i="26" s="1"/>
  <c r="H852" i="26"/>
  <c r="I852" i="26" s="1"/>
  <c r="H853" i="26"/>
  <c r="I853" i="26" s="1"/>
  <c r="H854" i="26"/>
  <c r="I854" i="26" s="1"/>
  <c r="H855" i="26"/>
  <c r="I855" i="26" s="1"/>
  <c r="H856" i="26"/>
  <c r="I856" i="26" s="1"/>
  <c r="H857" i="26"/>
  <c r="I857" i="26" s="1"/>
  <c r="H858" i="26"/>
  <c r="I858" i="26" s="1"/>
  <c r="H859" i="26"/>
  <c r="I859" i="26" s="1"/>
  <c r="H860" i="26"/>
  <c r="I860" i="26" s="1"/>
  <c r="H861" i="26"/>
  <c r="I861" i="26" s="1"/>
  <c r="H862" i="26"/>
  <c r="I862" i="26" s="1"/>
  <c r="H863" i="26"/>
  <c r="I863" i="26" s="1"/>
  <c r="H864" i="26"/>
  <c r="I864" i="26" s="1"/>
  <c r="H865" i="26"/>
  <c r="I865" i="26" s="1"/>
  <c r="H866" i="26"/>
  <c r="I866" i="26" s="1"/>
  <c r="H867" i="26"/>
  <c r="I867" i="26" s="1"/>
  <c r="H868" i="26"/>
  <c r="I868" i="26" s="1"/>
  <c r="H869" i="26"/>
  <c r="I869" i="26" s="1"/>
  <c r="H870" i="26"/>
  <c r="I870" i="26" s="1"/>
  <c r="H871" i="26"/>
  <c r="I871" i="26" s="1"/>
  <c r="H872" i="26"/>
  <c r="I872" i="26" s="1"/>
  <c r="H873" i="26"/>
  <c r="I873" i="26" s="1"/>
  <c r="H874" i="26"/>
  <c r="I874" i="26" s="1"/>
  <c r="H875" i="26"/>
  <c r="I875" i="26" s="1"/>
  <c r="H876" i="26"/>
  <c r="I876" i="26" s="1"/>
  <c r="H877" i="26"/>
  <c r="I877" i="26" s="1"/>
  <c r="H878" i="26"/>
  <c r="I878" i="26" s="1"/>
  <c r="H879" i="26"/>
  <c r="I879" i="26" s="1"/>
  <c r="H880" i="26"/>
  <c r="I880" i="26" s="1"/>
  <c r="H881" i="26"/>
  <c r="I881" i="26" s="1"/>
  <c r="H882" i="26"/>
  <c r="I882" i="26" s="1"/>
  <c r="H883" i="26"/>
  <c r="I883" i="26" s="1"/>
  <c r="H884" i="26"/>
  <c r="I884" i="26" s="1"/>
  <c r="H885" i="26"/>
  <c r="I885" i="26" s="1"/>
  <c r="H886" i="26"/>
  <c r="I886" i="26" s="1"/>
  <c r="H887" i="26"/>
  <c r="I887" i="26" s="1"/>
  <c r="H888" i="26"/>
  <c r="I888" i="26" s="1"/>
  <c r="H889" i="26"/>
  <c r="I889" i="26" s="1"/>
  <c r="H890" i="26"/>
  <c r="I890" i="26" s="1"/>
  <c r="H891" i="26"/>
  <c r="I891" i="26" s="1"/>
  <c r="H892" i="26"/>
  <c r="I892" i="26" s="1"/>
  <c r="H893" i="26"/>
  <c r="I893" i="26" s="1"/>
  <c r="H894" i="26"/>
  <c r="I894" i="26" s="1"/>
  <c r="H895" i="26"/>
  <c r="I895" i="26" s="1"/>
  <c r="H896" i="26"/>
  <c r="I896" i="26" s="1"/>
  <c r="H897" i="26"/>
  <c r="I897" i="26" s="1"/>
  <c r="H898" i="26"/>
  <c r="I898" i="26" s="1"/>
  <c r="H899" i="26"/>
  <c r="I899" i="26" s="1"/>
  <c r="H900" i="26"/>
  <c r="I900" i="26" s="1"/>
  <c r="H901" i="26"/>
  <c r="I901" i="26" s="1"/>
  <c r="H902" i="26"/>
  <c r="I902" i="26" s="1"/>
  <c r="H903" i="26"/>
  <c r="I903" i="26" s="1"/>
  <c r="H904" i="26"/>
  <c r="I904" i="26" s="1"/>
  <c r="H905" i="26"/>
  <c r="I905" i="26" s="1"/>
  <c r="H906" i="26"/>
  <c r="I906" i="26" s="1"/>
  <c r="H907" i="26"/>
  <c r="I907" i="26" s="1"/>
  <c r="H908" i="26"/>
  <c r="I908" i="26" s="1"/>
  <c r="H909" i="26"/>
  <c r="I909" i="26" s="1"/>
  <c r="H910" i="26"/>
  <c r="I910" i="26" s="1"/>
  <c r="H911" i="26"/>
  <c r="I911" i="26" s="1"/>
  <c r="H912" i="26"/>
  <c r="I912" i="26" s="1"/>
  <c r="H913" i="26"/>
  <c r="I913" i="26" s="1"/>
  <c r="H914" i="26"/>
  <c r="I914" i="26" s="1"/>
  <c r="H915" i="26"/>
  <c r="I915" i="26" s="1"/>
  <c r="H916" i="26"/>
  <c r="I916" i="26" s="1"/>
  <c r="H917" i="26"/>
  <c r="I917" i="26" s="1"/>
  <c r="H918" i="26"/>
  <c r="I918" i="26" s="1"/>
  <c r="H919" i="26"/>
  <c r="I919" i="26" s="1"/>
  <c r="H920" i="26"/>
  <c r="I920" i="26" s="1"/>
  <c r="H921" i="26"/>
  <c r="I921" i="26" s="1"/>
  <c r="H922" i="26"/>
  <c r="I922" i="26" s="1"/>
  <c r="H923" i="26"/>
  <c r="I923" i="26" s="1"/>
  <c r="H924" i="26"/>
  <c r="I924" i="26" s="1"/>
  <c r="H925" i="26"/>
  <c r="I925" i="26" s="1"/>
  <c r="H926" i="26"/>
  <c r="I926" i="26" s="1"/>
  <c r="H927" i="26"/>
  <c r="I927" i="26" s="1"/>
  <c r="H928" i="26"/>
  <c r="I928" i="26" s="1"/>
  <c r="H929" i="26"/>
  <c r="I929" i="26" s="1"/>
  <c r="H930" i="26"/>
  <c r="I930" i="26" s="1"/>
  <c r="H931" i="26"/>
  <c r="I931" i="26" s="1"/>
  <c r="H932" i="26"/>
  <c r="I932" i="26" s="1"/>
  <c r="H933" i="26"/>
  <c r="I933" i="26" s="1"/>
  <c r="H934" i="26"/>
  <c r="I934" i="26" s="1"/>
  <c r="H935" i="26"/>
  <c r="I935" i="26" s="1"/>
  <c r="H936" i="26"/>
  <c r="I936" i="26" s="1"/>
  <c r="H937" i="26"/>
  <c r="I937" i="26" s="1"/>
  <c r="H938" i="26"/>
  <c r="I938" i="26" s="1"/>
  <c r="H939" i="26"/>
  <c r="I939" i="26" s="1"/>
  <c r="H940" i="26"/>
  <c r="I940" i="26" s="1"/>
  <c r="H941" i="26"/>
  <c r="I941" i="26" s="1"/>
  <c r="H942" i="26"/>
  <c r="I942" i="26" s="1"/>
  <c r="H943" i="26"/>
  <c r="I943" i="26" s="1"/>
  <c r="H944" i="26"/>
  <c r="I944" i="26" s="1"/>
  <c r="H945" i="26"/>
  <c r="I945" i="26" s="1"/>
  <c r="H946" i="26"/>
  <c r="I946" i="26" s="1"/>
  <c r="H947" i="26"/>
  <c r="I947" i="26" s="1"/>
  <c r="H948" i="26"/>
  <c r="I948" i="26" s="1"/>
  <c r="H949" i="26"/>
  <c r="I949" i="26" s="1"/>
  <c r="H950" i="26"/>
  <c r="I950" i="26" s="1"/>
  <c r="H951" i="26"/>
  <c r="I951" i="26" s="1"/>
  <c r="H952" i="26"/>
  <c r="I952" i="26" s="1"/>
  <c r="H953" i="26"/>
  <c r="I953" i="26" s="1"/>
  <c r="H954" i="26"/>
  <c r="I954" i="26" s="1"/>
  <c r="H955" i="26"/>
  <c r="I955" i="26" s="1"/>
  <c r="H956" i="26"/>
  <c r="I956" i="26" s="1"/>
  <c r="H957" i="26"/>
  <c r="I957" i="26" s="1"/>
  <c r="H958" i="26"/>
  <c r="I958" i="26" s="1"/>
  <c r="H959" i="26"/>
  <c r="I959" i="26" s="1"/>
  <c r="H960" i="26"/>
  <c r="I960" i="26" s="1"/>
  <c r="H961" i="26"/>
  <c r="I961" i="26" s="1"/>
  <c r="H962" i="26"/>
  <c r="I962" i="26" s="1"/>
  <c r="H963" i="26"/>
  <c r="I963" i="26" s="1"/>
  <c r="H964" i="26"/>
  <c r="I964" i="26" s="1"/>
  <c r="H965" i="26"/>
  <c r="I965" i="26" s="1"/>
  <c r="H966" i="26"/>
  <c r="I966" i="26" s="1"/>
  <c r="H967" i="26"/>
  <c r="I967" i="26" s="1"/>
  <c r="H968" i="26"/>
  <c r="I968" i="26" s="1"/>
  <c r="H969" i="26"/>
  <c r="I969" i="26" s="1"/>
  <c r="H970" i="26"/>
  <c r="I970" i="26" s="1"/>
  <c r="H971" i="26"/>
  <c r="I971" i="26" s="1"/>
  <c r="H972" i="26"/>
  <c r="I972" i="26" s="1"/>
  <c r="H973" i="26"/>
  <c r="I973" i="26" s="1"/>
  <c r="H974" i="26"/>
  <c r="I974" i="26" s="1"/>
  <c r="H975" i="26"/>
  <c r="I975" i="26" s="1"/>
  <c r="H976" i="26"/>
  <c r="I976" i="26" s="1"/>
  <c r="H977" i="26"/>
  <c r="I977" i="26" s="1"/>
  <c r="H978" i="26"/>
  <c r="I978" i="26" s="1"/>
  <c r="H979" i="26"/>
  <c r="I979" i="26" s="1"/>
  <c r="H980" i="26"/>
  <c r="I980" i="26" s="1"/>
  <c r="H981" i="26"/>
  <c r="I981" i="26" s="1"/>
  <c r="H982" i="26"/>
  <c r="I982" i="26" s="1"/>
  <c r="H983" i="26"/>
  <c r="I983" i="26" s="1"/>
  <c r="H984" i="26"/>
  <c r="I984" i="26" s="1"/>
  <c r="H985" i="26"/>
  <c r="I985" i="26" s="1"/>
  <c r="H986" i="26"/>
  <c r="I986" i="26" s="1"/>
  <c r="H987" i="26"/>
  <c r="I987" i="26" s="1"/>
  <c r="H988" i="26"/>
  <c r="I988" i="26" s="1"/>
  <c r="H989" i="26"/>
  <c r="I989" i="26" s="1"/>
  <c r="H990" i="26"/>
  <c r="I990" i="26" s="1"/>
  <c r="H991" i="26"/>
  <c r="I991" i="26" s="1"/>
  <c r="H992" i="26"/>
  <c r="I992" i="26" s="1"/>
  <c r="H993" i="26"/>
  <c r="I993" i="26" s="1"/>
  <c r="H994" i="26"/>
  <c r="I994" i="26" s="1"/>
  <c r="H995" i="26"/>
  <c r="I995" i="26" s="1"/>
  <c r="H996" i="26"/>
  <c r="I996" i="26" s="1"/>
  <c r="H997" i="26"/>
  <c r="I997" i="26" s="1"/>
  <c r="H998" i="26"/>
  <c r="I998" i="26" s="1"/>
  <c r="H999" i="26"/>
  <c r="I999" i="26" s="1"/>
  <c r="H1000" i="26"/>
  <c r="I1000" i="26" s="1"/>
  <c r="H1001" i="26"/>
  <c r="I1001" i="26" s="1"/>
  <c r="H1002" i="26"/>
  <c r="I1002" i="26" s="1"/>
  <c r="H1003" i="26"/>
  <c r="I1003" i="26" s="1"/>
  <c r="H1004" i="26"/>
  <c r="I1004" i="26" s="1"/>
  <c r="H1005" i="26"/>
  <c r="I1005" i="26" s="1"/>
  <c r="H1006" i="26"/>
  <c r="I1006" i="26" s="1"/>
  <c r="H1007" i="26"/>
  <c r="I1007" i="26" s="1"/>
  <c r="H1008" i="26"/>
  <c r="I1008" i="26" s="1"/>
  <c r="H1009" i="26"/>
  <c r="I1009" i="26" s="1"/>
  <c r="H1010" i="26"/>
  <c r="I1010" i="26" s="1"/>
  <c r="H1011" i="26"/>
  <c r="I1011" i="26" s="1"/>
  <c r="H1012" i="26"/>
  <c r="I1012" i="26" s="1"/>
  <c r="H1013" i="26"/>
  <c r="I1013" i="26" s="1"/>
  <c r="H1014" i="26"/>
  <c r="I1014" i="26" s="1"/>
  <c r="H1015" i="26"/>
  <c r="I1015" i="26" s="1"/>
  <c r="H1016" i="26"/>
  <c r="I1016" i="26" s="1"/>
  <c r="H1017" i="26"/>
  <c r="I1017" i="26" s="1"/>
  <c r="H1018" i="26"/>
  <c r="I1018" i="26" s="1"/>
  <c r="H1019" i="26"/>
  <c r="I1019" i="26" s="1"/>
  <c r="H1020" i="26"/>
  <c r="I1020" i="26" s="1"/>
  <c r="H1021" i="26"/>
  <c r="I1021" i="26" s="1"/>
  <c r="H1022" i="26"/>
  <c r="I1022" i="26" s="1"/>
  <c r="H1023" i="26"/>
  <c r="I1023" i="26" s="1"/>
  <c r="H1024" i="26"/>
  <c r="I1024" i="26" s="1"/>
  <c r="H1025" i="26"/>
  <c r="I1025" i="26" s="1"/>
  <c r="H1026" i="26"/>
  <c r="I1026" i="26" s="1"/>
  <c r="H1027" i="26"/>
  <c r="I1027" i="26" s="1"/>
  <c r="H1028" i="26"/>
  <c r="I1028" i="26" s="1"/>
  <c r="H1029" i="26"/>
  <c r="I1029" i="26" s="1"/>
  <c r="H1030" i="26"/>
  <c r="I1030" i="26" s="1"/>
  <c r="H1031" i="26"/>
  <c r="I1031" i="26" s="1"/>
  <c r="H1032" i="26"/>
  <c r="I1032" i="26" s="1"/>
  <c r="H1033" i="26"/>
  <c r="I1033" i="26" s="1"/>
  <c r="H1034" i="26"/>
  <c r="I1034" i="26" s="1"/>
  <c r="H1035" i="26"/>
  <c r="I1035" i="26" s="1"/>
  <c r="H1036" i="26"/>
  <c r="I1036" i="26" s="1"/>
  <c r="H1037" i="26"/>
  <c r="I1037" i="26" s="1"/>
  <c r="H1038" i="26"/>
  <c r="I1038" i="26" s="1"/>
  <c r="H1039" i="26"/>
  <c r="I1039" i="26" s="1"/>
  <c r="H1040" i="26"/>
  <c r="I1040" i="26" s="1"/>
  <c r="H1041" i="26"/>
  <c r="I1041" i="26" s="1"/>
  <c r="H1042" i="26"/>
  <c r="I1042" i="26" s="1"/>
  <c r="H1043" i="26"/>
  <c r="I1043" i="26" s="1"/>
  <c r="H1044" i="26"/>
  <c r="I1044" i="26" s="1"/>
  <c r="H1045" i="26"/>
  <c r="I1045" i="26" s="1"/>
  <c r="H1046" i="26"/>
  <c r="I1046" i="26" s="1"/>
  <c r="H1047" i="26"/>
  <c r="I1047" i="26" s="1"/>
  <c r="H1048" i="26"/>
  <c r="I1048" i="26" s="1"/>
  <c r="H1049" i="26"/>
  <c r="I1049" i="26" s="1"/>
  <c r="H1050" i="26"/>
  <c r="I1050" i="26" s="1"/>
  <c r="H1051" i="26"/>
  <c r="I1051" i="26" s="1"/>
  <c r="H1052" i="26"/>
  <c r="I1052" i="26" s="1"/>
  <c r="H1053" i="26"/>
  <c r="I1053" i="26" s="1"/>
  <c r="H1054" i="26"/>
  <c r="I1054" i="26" s="1"/>
  <c r="H1055" i="26"/>
  <c r="I1055" i="26" s="1"/>
  <c r="H1056" i="26"/>
  <c r="I1056" i="26" s="1"/>
  <c r="H1057" i="26"/>
  <c r="I1057" i="26" s="1"/>
  <c r="H1058" i="26"/>
  <c r="I1058" i="26" s="1"/>
  <c r="H1059" i="26"/>
  <c r="I1059" i="26" s="1"/>
  <c r="H1060" i="26"/>
  <c r="I1060" i="26" s="1"/>
  <c r="H1061" i="26"/>
  <c r="I1061" i="26" s="1"/>
  <c r="H1062" i="26"/>
  <c r="I1062" i="26" s="1"/>
  <c r="H1063" i="26"/>
  <c r="I1063" i="26" s="1"/>
  <c r="H1064" i="26"/>
  <c r="I1064" i="26" s="1"/>
  <c r="H1065" i="26"/>
  <c r="I1065" i="26" s="1"/>
  <c r="H1066" i="26"/>
  <c r="I1066" i="26" s="1"/>
  <c r="H1067" i="26"/>
  <c r="I1067" i="26" s="1"/>
  <c r="H1068" i="26"/>
  <c r="I1068" i="26" s="1"/>
  <c r="H1069" i="26"/>
  <c r="I1069" i="26" s="1"/>
  <c r="H1070" i="26"/>
  <c r="I1070" i="26" s="1"/>
  <c r="H1071" i="26"/>
  <c r="I1071" i="26" s="1"/>
  <c r="H1072" i="26"/>
  <c r="I1072" i="26" s="1"/>
  <c r="H1073" i="26"/>
  <c r="I1073" i="26" s="1"/>
  <c r="H1074" i="26"/>
  <c r="I1074" i="26" s="1"/>
  <c r="H1075" i="26"/>
  <c r="I1075" i="26" s="1"/>
  <c r="H1076" i="26"/>
  <c r="I1076" i="26" s="1"/>
  <c r="H1077" i="26"/>
  <c r="I1077" i="26" s="1"/>
  <c r="H1078" i="26"/>
  <c r="I1078" i="26" s="1"/>
  <c r="H1079" i="26"/>
  <c r="I1079" i="26" s="1"/>
  <c r="H1080" i="26"/>
  <c r="I1080" i="26" s="1"/>
  <c r="H1081" i="26"/>
  <c r="I1081" i="26" s="1"/>
  <c r="H1082" i="26"/>
  <c r="I1082" i="26" s="1"/>
  <c r="H1083" i="26"/>
  <c r="I1083" i="26" s="1"/>
  <c r="H1084" i="26"/>
  <c r="I1084" i="26" s="1"/>
  <c r="H1085" i="26"/>
  <c r="I1085" i="26" s="1"/>
  <c r="H1086" i="26"/>
  <c r="I1086" i="26" s="1"/>
  <c r="H1087" i="26"/>
  <c r="I1087" i="26" s="1"/>
  <c r="H1088" i="26"/>
  <c r="I1088" i="26" s="1"/>
  <c r="H1089" i="26"/>
  <c r="I1089" i="26" s="1"/>
  <c r="H1090" i="26"/>
  <c r="I1090" i="26" s="1"/>
  <c r="H1091" i="26"/>
  <c r="I1091" i="26" s="1"/>
  <c r="H1092" i="26"/>
  <c r="I1092" i="26" s="1"/>
  <c r="H1093" i="26"/>
  <c r="I1093" i="26" s="1"/>
  <c r="H1094" i="26"/>
  <c r="I1094" i="26" s="1"/>
  <c r="H1095" i="26"/>
  <c r="I1095" i="26" s="1"/>
  <c r="H1096" i="26"/>
  <c r="I1096" i="26" s="1"/>
  <c r="H1097" i="26"/>
  <c r="I1097" i="26" s="1"/>
  <c r="H1098" i="26"/>
  <c r="I1098" i="26" s="1"/>
  <c r="H1099" i="26"/>
  <c r="I1099" i="26" s="1"/>
  <c r="H1100" i="26"/>
  <c r="I1100" i="26" s="1"/>
  <c r="H1101" i="26"/>
  <c r="I1101" i="26" s="1"/>
  <c r="H1102" i="26"/>
  <c r="I1102" i="26" s="1"/>
  <c r="H1103" i="26"/>
  <c r="I1103" i="26" s="1"/>
  <c r="H1104" i="26"/>
  <c r="I1104" i="26" s="1"/>
  <c r="H1105" i="26"/>
  <c r="I1105" i="26" s="1"/>
  <c r="H1106" i="26"/>
  <c r="I1106" i="26" s="1"/>
  <c r="H1107" i="26"/>
  <c r="I1107" i="26" s="1"/>
  <c r="H1108" i="26"/>
  <c r="I1108" i="26" s="1"/>
  <c r="H1109" i="26"/>
  <c r="I1109" i="26" s="1"/>
  <c r="H1110" i="26"/>
  <c r="I1110" i="26" s="1"/>
  <c r="H1111" i="26"/>
  <c r="I1111" i="26" s="1"/>
  <c r="H1112" i="26"/>
  <c r="I1112" i="26" s="1"/>
  <c r="H1113" i="26"/>
  <c r="I1113" i="26" s="1"/>
  <c r="H1114" i="26"/>
  <c r="I1114" i="26" s="1"/>
  <c r="H1115" i="26"/>
  <c r="I1115" i="26" s="1"/>
  <c r="H1116" i="26"/>
  <c r="I1116" i="26" s="1"/>
  <c r="H1117" i="26"/>
  <c r="I1117" i="26" s="1"/>
  <c r="H1118" i="26"/>
  <c r="I1118" i="26" s="1"/>
  <c r="H1119" i="26"/>
  <c r="I1119" i="26" s="1"/>
  <c r="H1120" i="26"/>
  <c r="I1120" i="26" s="1"/>
  <c r="H1121" i="26"/>
  <c r="I1121" i="26" s="1"/>
  <c r="H1122" i="26"/>
  <c r="I1122" i="26" s="1"/>
  <c r="H1123" i="26"/>
  <c r="I1123" i="26" s="1"/>
  <c r="H1124" i="26"/>
  <c r="I1124" i="26" s="1"/>
  <c r="H1125" i="26"/>
  <c r="I1125" i="26" s="1"/>
  <c r="H1126" i="26"/>
  <c r="I1126" i="26" s="1"/>
  <c r="H1127" i="26"/>
  <c r="I1127" i="26" s="1"/>
  <c r="H1128" i="26"/>
  <c r="I1128" i="26" s="1"/>
  <c r="H1129" i="26"/>
  <c r="I1129" i="26" s="1"/>
  <c r="H1130" i="26"/>
  <c r="I1130" i="26" s="1"/>
  <c r="H1131" i="26"/>
  <c r="I1131" i="26" s="1"/>
  <c r="H1132" i="26"/>
  <c r="I1132" i="26" s="1"/>
  <c r="H1133" i="26"/>
  <c r="I1133" i="26" s="1"/>
  <c r="H1134" i="26"/>
  <c r="I1134" i="26" s="1"/>
  <c r="H1135" i="26"/>
  <c r="I1135" i="26" s="1"/>
  <c r="H1136" i="26"/>
  <c r="I1136" i="26" s="1"/>
  <c r="H1137" i="26"/>
  <c r="I1137" i="26" s="1"/>
  <c r="H1138" i="26"/>
  <c r="I1138" i="26" s="1"/>
  <c r="H1139" i="26"/>
  <c r="I1139" i="26" s="1"/>
  <c r="H1140" i="26"/>
  <c r="I1140" i="26" s="1"/>
  <c r="H1141" i="26"/>
  <c r="I1141" i="26" s="1"/>
  <c r="H1142" i="26"/>
  <c r="I1142" i="26" s="1"/>
  <c r="H1143" i="26"/>
  <c r="I1143" i="26" s="1"/>
  <c r="H1144" i="26"/>
  <c r="I1144" i="26" s="1"/>
  <c r="H1145" i="26"/>
  <c r="I1145" i="26" s="1"/>
  <c r="H1146" i="26"/>
  <c r="I1146" i="26" s="1"/>
  <c r="H1147" i="26"/>
  <c r="I1147" i="26" s="1"/>
  <c r="H1148" i="26"/>
  <c r="I1148" i="26" s="1"/>
  <c r="H1149" i="26"/>
  <c r="I1149" i="26" s="1"/>
  <c r="H1150" i="26"/>
  <c r="I1150" i="26" s="1"/>
  <c r="H1151" i="26"/>
  <c r="I1151" i="26" s="1"/>
  <c r="H1152" i="26"/>
  <c r="I1152" i="26" s="1"/>
  <c r="H1153" i="26"/>
  <c r="I1153" i="26" s="1"/>
  <c r="H1154" i="26"/>
  <c r="I1154" i="26" s="1"/>
  <c r="H1155" i="26"/>
  <c r="I1155" i="26" s="1"/>
  <c r="H1156" i="26"/>
  <c r="I1156" i="26" s="1"/>
  <c r="H1157" i="26"/>
  <c r="I1157" i="26" s="1"/>
  <c r="H1158" i="26"/>
  <c r="I1158" i="26" s="1"/>
  <c r="H1159" i="26"/>
  <c r="I1159" i="26" s="1"/>
  <c r="H1160" i="26"/>
  <c r="I1160" i="26" s="1"/>
  <c r="H1161" i="26"/>
  <c r="I1161" i="26" s="1"/>
  <c r="H1162" i="26"/>
  <c r="I1162" i="26" s="1"/>
  <c r="H1163" i="26"/>
  <c r="I1163" i="26" s="1"/>
  <c r="H1164" i="26"/>
  <c r="I1164" i="26" s="1"/>
  <c r="H1165" i="26"/>
  <c r="I1165" i="26" s="1"/>
  <c r="H1166" i="26"/>
  <c r="I1166" i="26" s="1"/>
  <c r="H1167" i="26"/>
  <c r="I1167" i="26" s="1"/>
  <c r="H1168" i="26"/>
  <c r="I1168" i="26" s="1"/>
  <c r="H1169" i="26"/>
  <c r="I1169" i="26" s="1"/>
  <c r="H1170" i="26"/>
  <c r="I1170" i="26" s="1"/>
  <c r="H1171" i="26"/>
  <c r="I1171" i="26" s="1"/>
  <c r="H1172" i="26"/>
  <c r="I1172" i="26" s="1"/>
  <c r="H1173" i="26"/>
  <c r="I1173" i="26" s="1"/>
  <c r="H1174" i="26"/>
  <c r="I1174" i="26" s="1"/>
  <c r="H1175" i="26"/>
  <c r="I1175" i="26" s="1"/>
  <c r="H1176" i="26"/>
  <c r="I1176" i="26" s="1"/>
  <c r="H1177" i="26"/>
  <c r="I1177" i="26" s="1"/>
  <c r="H1178" i="26"/>
  <c r="I1178" i="26" s="1"/>
  <c r="H1179" i="26"/>
  <c r="I1179" i="26" s="1"/>
  <c r="H1180" i="26"/>
  <c r="I1180" i="26" s="1"/>
  <c r="H1181" i="26"/>
  <c r="I1181" i="26" s="1"/>
  <c r="H1182" i="26"/>
  <c r="I1182" i="26" s="1"/>
  <c r="H1183" i="26"/>
  <c r="I1183" i="26" s="1"/>
  <c r="H1184" i="26"/>
  <c r="I1184" i="26" s="1"/>
  <c r="H1185" i="26"/>
  <c r="I1185" i="26" s="1"/>
  <c r="H1186" i="26"/>
  <c r="I1186" i="26" s="1"/>
  <c r="H1187" i="26"/>
  <c r="I1187" i="26" s="1"/>
  <c r="H1188" i="26"/>
  <c r="I1188" i="26" s="1"/>
  <c r="H1189" i="26"/>
  <c r="I1189" i="26" s="1"/>
  <c r="H1190" i="26"/>
  <c r="I1190" i="26" s="1"/>
  <c r="H1191" i="26"/>
  <c r="I1191" i="26" s="1"/>
  <c r="H1192" i="26"/>
  <c r="I1192" i="26" s="1"/>
  <c r="H1193" i="26"/>
  <c r="I1193" i="26" s="1"/>
  <c r="H1194" i="26"/>
  <c r="I1194" i="26" s="1"/>
  <c r="H1195" i="26"/>
  <c r="I1195" i="26" s="1"/>
  <c r="H1196" i="26"/>
  <c r="I1196" i="26" s="1"/>
  <c r="H1197" i="26"/>
  <c r="I1197" i="26" s="1"/>
  <c r="H1198" i="26"/>
  <c r="I1198" i="26" s="1"/>
  <c r="H1199" i="26"/>
  <c r="I1199" i="26" s="1"/>
  <c r="H1200" i="26"/>
  <c r="I1200" i="26" s="1"/>
  <c r="H1201" i="26"/>
  <c r="I1201" i="26" s="1"/>
  <c r="H1202" i="26"/>
  <c r="I1202" i="26" s="1"/>
  <c r="H1203" i="26"/>
  <c r="I1203" i="26" s="1"/>
  <c r="H1204" i="26"/>
  <c r="I1204" i="26" s="1"/>
  <c r="H1205" i="26"/>
  <c r="I1205" i="26" s="1"/>
  <c r="H1206" i="26"/>
  <c r="I1206" i="26" s="1"/>
  <c r="H1207" i="26"/>
  <c r="I1207" i="26" s="1"/>
  <c r="H1208" i="26"/>
  <c r="I1208" i="26" s="1"/>
  <c r="H1209" i="26"/>
  <c r="I1209" i="26" s="1"/>
  <c r="H1210" i="26"/>
  <c r="I1210" i="26" s="1"/>
  <c r="H1211" i="26"/>
  <c r="I1211" i="26" s="1"/>
  <c r="H1212" i="26"/>
  <c r="I1212" i="26" s="1"/>
  <c r="H1213" i="26"/>
  <c r="I1213" i="26" s="1"/>
  <c r="H1214" i="26"/>
  <c r="I1214" i="26" s="1"/>
  <c r="H1215" i="26"/>
  <c r="I1215" i="26" s="1"/>
  <c r="H1216" i="26"/>
  <c r="I1216" i="26" s="1"/>
  <c r="H1217" i="26"/>
  <c r="I1217" i="26" s="1"/>
  <c r="H1218" i="26"/>
  <c r="I1218" i="26" s="1"/>
  <c r="H1219" i="26"/>
  <c r="I1219" i="26" s="1"/>
  <c r="H1220" i="26"/>
  <c r="I1220" i="26" s="1"/>
  <c r="H1221" i="26"/>
  <c r="I1221" i="26" s="1"/>
  <c r="H1222" i="26"/>
  <c r="I1222" i="26" s="1"/>
  <c r="H1223" i="26"/>
  <c r="I1223" i="26" s="1"/>
  <c r="H1224" i="26"/>
  <c r="I1224" i="26" s="1"/>
  <c r="H1225" i="26"/>
  <c r="I1225" i="26" s="1"/>
  <c r="H1226" i="26"/>
  <c r="I1226" i="26" s="1"/>
  <c r="H1227" i="26"/>
  <c r="I1227" i="26" s="1"/>
  <c r="H1228" i="26"/>
  <c r="I1228" i="26" s="1"/>
  <c r="H1229" i="26"/>
  <c r="I1229" i="26" s="1"/>
  <c r="H1230" i="26"/>
  <c r="I1230" i="26" s="1"/>
  <c r="H1231" i="26"/>
  <c r="I1231" i="26" s="1"/>
  <c r="H1232" i="26"/>
  <c r="I1232" i="26" s="1"/>
  <c r="H1233" i="26"/>
  <c r="I1233" i="26" s="1"/>
  <c r="H1234" i="26"/>
  <c r="I1234" i="26" s="1"/>
  <c r="H1235" i="26"/>
  <c r="I1235" i="26" s="1"/>
  <c r="H1236" i="26"/>
  <c r="I1236" i="26" s="1"/>
  <c r="H1237" i="26"/>
  <c r="I1237" i="26" s="1"/>
  <c r="H1238" i="26"/>
  <c r="I1238" i="26" s="1"/>
  <c r="H1239" i="26"/>
  <c r="I1239" i="26" s="1"/>
  <c r="H1240" i="26"/>
  <c r="I1240" i="26" s="1"/>
  <c r="H1241" i="26"/>
  <c r="I1241" i="26" s="1"/>
  <c r="H1242" i="26"/>
  <c r="I1242" i="26" s="1"/>
  <c r="H1243" i="26"/>
  <c r="I1243" i="26" s="1"/>
  <c r="H1244" i="26"/>
  <c r="I1244" i="26" s="1"/>
  <c r="H1245" i="26"/>
  <c r="I1245" i="26" s="1"/>
  <c r="H1246" i="26"/>
  <c r="I1246" i="26" s="1"/>
  <c r="H1247" i="26"/>
  <c r="I1247" i="26" s="1"/>
  <c r="H1248" i="26"/>
  <c r="I1248" i="26" s="1"/>
  <c r="H1249" i="26"/>
  <c r="I1249" i="26" s="1"/>
  <c r="H1250" i="26"/>
  <c r="I1250" i="26" s="1"/>
  <c r="H1251" i="26"/>
  <c r="I1251" i="26" s="1"/>
  <c r="H1252" i="26"/>
  <c r="I1252" i="26" s="1"/>
  <c r="H1253" i="26"/>
  <c r="I1253" i="26" s="1"/>
  <c r="H1254" i="26"/>
  <c r="I1254" i="26" s="1"/>
  <c r="H1255" i="26"/>
  <c r="I1255" i="26" s="1"/>
  <c r="H1256" i="26"/>
  <c r="I1256" i="26" s="1"/>
  <c r="H1257" i="26"/>
  <c r="I1257" i="26" s="1"/>
  <c r="H1258" i="26"/>
  <c r="I1258" i="26" s="1"/>
  <c r="H1259" i="26"/>
  <c r="I1259" i="26" s="1"/>
  <c r="H1260" i="26"/>
  <c r="I1260" i="26" s="1"/>
  <c r="H1261" i="26"/>
  <c r="I1261" i="26" s="1"/>
  <c r="H1262" i="26"/>
  <c r="I1262" i="26" s="1"/>
  <c r="H1263" i="26"/>
  <c r="I1263" i="26" s="1"/>
  <c r="H1264" i="26"/>
  <c r="I1264" i="26" s="1"/>
  <c r="H1265" i="26"/>
  <c r="I1265" i="26" s="1"/>
  <c r="H1266" i="26"/>
  <c r="I1266" i="26" s="1"/>
  <c r="H1267" i="26"/>
  <c r="I1267" i="26" s="1"/>
  <c r="H1268" i="26"/>
  <c r="I1268" i="26" s="1"/>
  <c r="H1269" i="26"/>
  <c r="I1269" i="26" s="1"/>
  <c r="H1270" i="26"/>
  <c r="I1270" i="26" s="1"/>
  <c r="H1271" i="26"/>
  <c r="I1271" i="26" s="1"/>
  <c r="H1272" i="26"/>
  <c r="I1272" i="26" s="1"/>
  <c r="H1273" i="26"/>
  <c r="I1273" i="26" s="1"/>
  <c r="H1274" i="26"/>
  <c r="I1274" i="26" s="1"/>
  <c r="H1275" i="26"/>
  <c r="I1275" i="26" s="1"/>
  <c r="H1276" i="26"/>
  <c r="I1276" i="26" s="1"/>
  <c r="H1277" i="26"/>
  <c r="I1277" i="26" s="1"/>
  <c r="H1278" i="26"/>
  <c r="I1278" i="26" s="1"/>
  <c r="H1279" i="26"/>
  <c r="I1279" i="26" s="1"/>
  <c r="H1280" i="26"/>
  <c r="I1280" i="26" s="1"/>
  <c r="H1281" i="26"/>
  <c r="I1281" i="26" s="1"/>
  <c r="H1282" i="26"/>
  <c r="I1282" i="26" s="1"/>
  <c r="H1283" i="26"/>
  <c r="I1283" i="26" s="1"/>
  <c r="H1284" i="26"/>
  <c r="I1284" i="26" s="1"/>
  <c r="H1285" i="26"/>
  <c r="I1285" i="26" s="1"/>
  <c r="H1286" i="26"/>
  <c r="I1286" i="26" s="1"/>
  <c r="H1287" i="26"/>
  <c r="I1287" i="26" s="1"/>
  <c r="H1288" i="26"/>
  <c r="I1288" i="26" s="1"/>
  <c r="H1289" i="26"/>
  <c r="I1289" i="26" s="1"/>
  <c r="H1290" i="26"/>
  <c r="I1290" i="26" s="1"/>
  <c r="H1291" i="26"/>
  <c r="I1291" i="26" s="1"/>
  <c r="H1292" i="26"/>
  <c r="I1292" i="26" s="1"/>
  <c r="H1293" i="26"/>
  <c r="I1293" i="26" s="1"/>
  <c r="H1294" i="26"/>
  <c r="I1294" i="26" s="1"/>
  <c r="H1295" i="26"/>
  <c r="I1295" i="26" s="1"/>
  <c r="H1296" i="26"/>
  <c r="I1296" i="26" s="1"/>
  <c r="H1297" i="26"/>
  <c r="I1297" i="26" s="1"/>
  <c r="H1298" i="26"/>
  <c r="I1298" i="26" s="1"/>
  <c r="H1299" i="26"/>
  <c r="I1299" i="26" s="1"/>
  <c r="H1300" i="26"/>
  <c r="I1300" i="26" s="1"/>
  <c r="H1301" i="26"/>
  <c r="I1301" i="26" s="1"/>
  <c r="H1302" i="26"/>
  <c r="I1302" i="26" s="1"/>
  <c r="H1303" i="26"/>
  <c r="I1303" i="26" s="1"/>
  <c r="H1304" i="26"/>
  <c r="I1304" i="26" s="1"/>
  <c r="H1305" i="26"/>
  <c r="I1305" i="26" s="1"/>
  <c r="H1306" i="26"/>
  <c r="I1306" i="26" s="1"/>
  <c r="H1307" i="26"/>
  <c r="I1307" i="26" s="1"/>
  <c r="H1308" i="26"/>
  <c r="I1308" i="26" s="1"/>
  <c r="H1309" i="26"/>
  <c r="I1309" i="26" s="1"/>
  <c r="H1310" i="26"/>
  <c r="I1310" i="26" s="1"/>
  <c r="H1311" i="26"/>
  <c r="I1311" i="26" s="1"/>
  <c r="H1312" i="26"/>
  <c r="I1312" i="26" s="1"/>
  <c r="H1313" i="26"/>
  <c r="I1313" i="26" s="1"/>
  <c r="H1314" i="26"/>
  <c r="I1314" i="26" s="1"/>
  <c r="H1315" i="26"/>
  <c r="I1315" i="26" s="1"/>
  <c r="H1316" i="26"/>
  <c r="I1316" i="26" s="1"/>
  <c r="H1317" i="26"/>
  <c r="I1317" i="26" s="1"/>
  <c r="H1318" i="26"/>
  <c r="I1318" i="26" s="1"/>
  <c r="H1319" i="26"/>
  <c r="I1319" i="26" s="1"/>
  <c r="H1320" i="26"/>
  <c r="I1320" i="26" s="1"/>
  <c r="H1321" i="26"/>
  <c r="I1321" i="26" s="1"/>
  <c r="H1322" i="26"/>
  <c r="I1322" i="26" s="1"/>
  <c r="H1323" i="26"/>
  <c r="I1323" i="26" s="1"/>
  <c r="H1324" i="26"/>
  <c r="I1324" i="26" s="1"/>
  <c r="H1325" i="26"/>
  <c r="I1325" i="26" s="1"/>
  <c r="H1326" i="26"/>
  <c r="I1326" i="26" s="1"/>
  <c r="H1327" i="26"/>
  <c r="I1327" i="26" s="1"/>
  <c r="H1328" i="26"/>
  <c r="I1328" i="26" s="1"/>
  <c r="H1329" i="26"/>
  <c r="I1329" i="26" s="1"/>
  <c r="H1330" i="26"/>
  <c r="I1330" i="26" s="1"/>
  <c r="H1331" i="26"/>
  <c r="I1331" i="26" s="1"/>
  <c r="H1332" i="26"/>
  <c r="I1332" i="26" s="1"/>
  <c r="H1333" i="26"/>
  <c r="I1333" i="26" s="1"/>
  <c r="H1334" i="26"/>
  <c r="I1334" i="26" s="1"/>
  <c r="H1335" i="26"/>
  <c r="I1335" i="26" s="1"/>
  <c r="H1336" i="26"/>
  <c r="I1336" i="26" s="1"/>
  <c r="H1337" i="26"/>
  <c r="I1337" i="26" s="1"/>
  <c r="H1338" i="26"/>
  <c r="I1338" i="26" s="1"/>
  <c r="H1339" i="26"/>
  <c r="I1339" i="26" s="1"/>
  <c r="H1340" i="26"/>
  <c r="I1340" i="26" s="1"/>
  <c r="H1341" i="26"/>
  <c r="I1341" i="26" s="1"/>
  <c r="H1342" i="26"/>
  <c r="I1342" i="26" s="1"/>
  <c r="H1343" i="26"/>
  <c r="I1343" i="26" s="1"/>
  <c r="H1344" i="26"/>
  <c r="I1344" i="26" s="1"/>
  <c r="H1345" i="26"/>
  <c r="I1345" i="26" s="1"/>
  <c r="H1346" i="26"/>
  <c r="I1346" i="26" s="1"/>
  <c r="H1347" i="26"/>
  <c r="I1347" i="26" s="1"/>
  <c r="H1348" i="26"/>
  <c r="I1348" i="26" s="1"/>
  <c r="H1349" i="26"/>
  <c r="I1349" i="26" s="1"/>
  <c r="H1350" i="26"/>
  <c r="I1350" i="26" s="1"/>
  <c r="H1351" i="26"/>
  <c r="I1351" i="26" s="1"/>
  <c r="H1352" i="26"/>
  <c r="I1352" i="26" s="1"/>
  <c r="H1353" i="26"/>
  <c r="I1353" i="26" s="1"/>
  <c r="H1354" i="26"/>
  <c r="I1354" i="26" s="1"/>
  <c r="H1355" i="26"/>
  <c r="I1355" i="26" s="1"/>
  <c r="H1356" i="26"/>
  <c r="I1356" i="26" s="1"/>
  <c r="H1357" i="26"/>
  <c r="I1357" i="26" s="1"/>
  <c r="H1358" i="26"/>
  <c r="I1358" i="26" s="1"/>
  <c r="H1359" i="26"/>
  <c r="I1359" i="26" s="1"/>
  <c r="H1360" i="26"/>
  <c r="I1360" i="26" s="1"/>
  <c r="H1361" i="26"/>
  <c r="I1361" i="26" s="1"/>
  <c r="H1362" i="26"/>
  <c r="I1362" i="26" s="1"/>
  <c r="H1363" i="26"/>
  <c r="I1363" i="26" s="1"/>
  <c r="H1364" i="26"/>
  <c r="I1364" i="26" s="1"/>
  <c r="H1365" i="26"/>
  <c r="I1365" i="26" s="1"/>
  <c r="H1366" i="26"/>
  <c r="I1366" i="26" s="1"/>
  <c r="H1367" i="26"/>
  <c r="I1367" i="26" s="1"/>
  <c r="H1368" i="26"/>
  <c r="I1368" i="26" s="1"/>
  <c r="H1369" i="26"/>
  <c r="I1369" i="26" s="1"/>
  <c r="H1370" i="26"/>
  <c r="I1370" i="26" s="1"/>
  <c r="H1371" i="26"/>
  <c r="I1371" i="26" s="1"/>
  <c r="H1372" i="26"/>
  <c r="I1372" i="26" s="1"/>
  <c r="H1373" i="26"/>
  <c r="I1373" i="26" s="1"/>
  <c r="H1374" i="26"/>
  <c r="I1374" i="26" s="1"/>
  <c r="H1375" i="26"/>
  <c r="I1375" i="26" s="1"/>
  <c r="H1376" i="26"/>
  <c r="I1376" i="26" s="1"/>
  <c r="H1377" i="26"/>
  <c r="I1377" i="26" s="1"/>
  <c r="H1378" i="26"/>
  <c r="I1378" i="26" s="1"/>
  <c r="H1379" i="26"/>
  <c r="I1379" i="26" s="1"/>
  <c r="H1380" i="26"/>
  <c r="I1380" i="26" s="1"/>
  <c r="H1381" i="26"/>
  <c r="I1381" i="26" s="1"/>
  <c r="H1382" i="26"/>
  <c r="I1382" i="26" s="1"/>
  <c r="H1383" i="26"/>
  <c r="I1383" i="26" s="1"/>
  <c r="H1384" i="26"/>
  <c r="I1384" i="26" s="1"/>
  <c r="H1385" i="26"/>
  <c r="I1385" i="26" s="1"/>
  <c r="H1386" i="26"/>
  <c r="I1386" i="26" s="1"/>
  <c r="H1387" i="26"/>
  <c r="I1387" i="26" s="1"/>
  <c r="H1388" i="26"/>
  <c r="I1388" i="26" s="1"/>
  <c r="H1389" i="26"/>
  <c r="I1389" i="26" s="1"/>
  <c r="H1390" i="26"/>
  <c r="I1390" i="26" s="1"/>
  <c r="H1391" i="26"/>
  <c r="I1391" i="26" s="1"/>
  <c r="H1392" i="26"/>
  <c r="I1392" i="26" s="1"/>
  <c r="H1393" i="26"/>
  <c r="I1393" i="26" s="1"/>
  <c r="H1394" i="26"/>
  <c r="I1394" i="26" s="1"/>
  <c r="H1395" i="26"/>
  <c r="I1395" i="26" s="1"/>
  <c r="H1396" i="26"/>
  <c r="I1396" i="26" s="1"/>
  <c r="H1397" i="26"/>
  <c r="I1397" i="26" s="1"/>
  <c r="H1398" i="26"/>
  <c r="I1398" i="26" s="1"/>
  <c r="H1399" i="26"/>
  <c r="I1399" i="26" s="1"/>
  <c r="H1400" i="26"/>
  <c r="I1400" i="26" s="1"/>
  <c r="H1401" i="26"/>
  <c r="I1401" i="26" s="1"/>
  <c r="H1402" i="26"/>
  <c r="I1402" i="26" s="1"/>
  <c r="H1403" i="26"/>
  <c r="I1403" i="26" s="1"/>
  <c r="H1404" i="26"/>
  <c r="I1404" i="26" s="1"/>
  <c r="H1405" i="26"/>
  <c r="I1405" i="26" s="1"/>
  <c r="H1406" i="26"/>
  <c r="I1406" i="26" s="1"/>
  <c r="H1407" i="26"/>
  <c r="I1407" i="26" s="1"/>
  <c r="H1408" i="26"/>
  <c r="I1408" i="26" s="1"/>
  <c r="H1409" i="26"/>
  <c r="I1409" i="26" s="1"/>
  <c r="H1410" i="26"/>
  <c r="I1410" i="26" s="1"/>
  <c r="H1411" i="26"/>
  <c r="I1411" i="26" s="1"/>
  <c r="H1412" i="26"/>
  <c r="I1412" i="26" s="1"/>
  <c r="H1413" i="26"/>
  <c r="I1413" i="26" s="1"/>
  <c r="H1414" i="26"/>
  <c r="I1414" i="26" s="1"/>
  <c r="H1415" i="26"/>
  <c r="I1415" i="26" s="1"/>
  <c r="H1416" i="26"/>
  <c r="I1416" i="26" s="1"/>
  <c r="H1417" i="26"/>
  <c r="I1417" i="26" s="1"/>
  <c r="H1418" i="26"/>
  <c r="I1418" i="26" s="1"/>
  <c r="H1419" i="26"/>
  <c r="I1419" i="26" s="1"/>
  <c r="H1420" i="26"/>
  <c r="I1420" i="26" s="1"/>
  <c r="H1421" i="26"/>
  <c r="I1421" i="26" s="1"/>
  <c r="H1422" i="26"/>
  <c r="I1422" i="26" s="1"/>
  <c r="H1423" i="26"/>
  <c r="I1423" i="26" s="1"/>
  <c r="H1424" i="26"/>
  <c r="I1424" i="26" s="1"/>
  <c r="H1425" i="26"/>
  <c r="I1425" i="26" s="1"/>
  <c r="H1426" i="26"/>
  <c r="I1426" i="26" s="1"/>
  <c r="H1427" i="26"/>
  <c r="I1427" i="26" s="1"/>
  <c r="H1428" i="26"/>
  <c r="I1428" i="26" s="1"/>
  <c r="H1429" i="26"/>
  <c r="I1429" i="26" s="1"/>
  <c r="H1430" i="26"/>
  <c r="I1430" i="26" s="1"/>
  <c r="H1431" i="26"/>
  <c r="I1431" i="26" s="1"/>
  <c r="H1432" i="26"/>
  <c r="I1432" i="26" s="1"/>
  <c r="H1433" i="26"/>
  <c r="I1433" i="26" s="1"/>
  <c r="H1434" i="26"/>
  <c r="I1434" i="26" s="1"/>
  <c r="H1435" i="26"/>
  <c r="I1435" i="26" s="1"/>
  <c r="H1436" i="26"/>
  <c r="I1436" i="26" s="1"/>
  <c r="H1437" i="26"/>
  <c r="I1437" i="26" s="1"/>
  <c r="H1438" i="26"/>
  <c r="I1438" i="26" s="1"/>
  <c r="H1439" i="26"/>
  <c r="I1439" i="26" s="1"/>
  <c r="H1440" i="26"/>
  <c r="I1440" i="26" s="1"/>
  <c r="H1441" i="26"/>
  <c r="I1441" i="26" s="1"/>
  <c r="H1442" i="26"/>
  <c r="I1442" i="26" s="1"/>
  <c r="H1443" i="26"/>
  <c r="I1443" i="26" s="1"/>
  <c r="H1444" i="26"/>
  <c r="I1444" i="26" s="1"/>
  <c r="H1445" i="26"/>
  <c r="I1445" i="26" s="1"/>
  <c r="H1446" i="26"/>
  <c r="I1446" i="26" s="1"/>
  <c r="H1447" i="26"/>
  <c r="I1447" i="26" s="1"/>
  <c r="H1448" i="26"/>
  <c r="I1448" i="26" s="1"/>
  <c r="H1449" i="26"/>
  <c r="I1449" i="26" s="1"/>
  <c r="H1450" i="26"/>
  <c r="I1450" i="26" s="1"/>
  <c r="H1451" i="26"/>
  <c r="I1451" i="26" s="1"/>
  <c r="H1452" i="26"/>
  <c r="I1452" i="26" s="1"/>
  <c r="H1453" i="26"/>
  <c r="I1453" i="26" s="1"/>
  <c r="H1454" i="26"/>
  <c r="I1454" i="26" s="1"/>
  <c r="H1455" i="26"/>
  <c r="I1455" i="26" s="1"/>
  <c r="H1456" i="26"/>
  <c r="I1456" i="26" s="1"/>
  <c r="H1457" i="26"/>
  <c r="I1457" i="26" s="1"/>
  <c r="H1458" i="26"/>
  <c r="I1458" i="26" s="1"/>
  <c r="H1459" i="26"/>
  <c r="I1459" i="26" s="1"/>
  <c r="H1460" i="26"/>
  <c r="I1460" i="26" s="1"/>
  <c r="H1461" i="26"/>
  <c r="I1461" i="26" s="1"/>
  <c r="H1462" i="26"/>
  <c r="I1462" i="26" s="1"/>
  <c r="H1463" i="26"/>
  <c r="I1463" i="26" s="1"/>
  <c r="H1464" i="26"/>
  <c r="I1464" i="26" s="1"/>
  <c r="H1465" i="26"/>
  <c r="I1465" i="26" s="1"/>
  <c r="H1466" i="26"/>
  <c r="I1466" i="26" s="1"/>
  <c r="H1467" i="26"/>
  <c r="I1467" i="26" s="1"/>
  <c r="H1468" i="26"/>
  <c r="I1468" i="26" s="1"/>
  <c r="H1469" i="26"/>
  <c r="I1469" i="26" s="1"/>
  <c r="H1470" i="26"/>
  <c r="I1470" i="26" s="1"/>
  <c r="H1471" i="26"/>
  <c r="I1471" i="26" s="1"/>
  <c r="H1472" i="26"/>
  <c r="I1472" i="26" s="1"/>
  <c r="H1473" i="26"/>
  <c r="I1473" i="26" s="1"/>
  <c r="H1474" i="26"/>
  <c r="I1474" i="26" s="1"/>
  <c r="H1475" i="26"/>
  <c r="I1475" i="26" s="1"/>
  <c r="H1476" i="26"/>
  <c r="I1476" i="26" s="1"/>
  <c r="H1477" i="26"/>
  <c r="I1477" i="26" s="1"/>
  <c r="H1478" i="26"/>
  <c r="I1478" i="26" s="1"/>
  <c r="H1479" i="26"/>
  <c r="I1479" i="26" s="1"/>
  <c r="H1480" i="26"/>
  <c r="I1480" i="26" s="1"/>
  <c r="H1481" i="26"/>
  <c r="I1481" i="26" s="1"/>
  <c r="H1482" i="26"/>
  <c r="I1482" i="26" s="1"/>
  <c r="H1483" i="26"/>
  <c r="I1483" i="26" s="1"/>
  <c r="H1484" i="26"/>
  <c r="I1484" i="26" s="1"/>
  <c r="H1485" i="26"/>
  <c r="I1485" i="26" s="1"/>
  <c r="H1486" i="26"/>
  <c r="I1486" i="26" s="1"/>
  <c r="H1487" i="26"/>
  <c r="I1487" i="26" s="1"/>
  <c r="H1488" i="26"/>
  <c r="I1488" i="26" s="1"/>
  <c r="H1489" i="26"/>
  <c r="I1489" i="26" s="1"/>
  <c r="H1490" i="26"/>
  <c r="I1490" i="26" s="1"/>
  <c r="H1491" i="26"/>
  <c r="I1491" i="26" s="1"/>
  <c r="H1492" i="26"/>
  <c r="I1492" i="26" s="1"/>
  <c r="H1493" i="26"/>
  <c r="I1493" i="26" s="1"/>
  <c r="H1494" i="26"/>
  <c r="I1494" i="26" s="1"/>
  <c r="H1495" i="26"/>
  <c r="I1495" i="26" s="1"/>
  <c r="H1496" i="26"/>
  <c r="I1496" i="26" s="1"/>
  <c r="H1497" i="26"/>
  <c r="I1497" i="26" s="1"/>
  <c r="H1498" i="26"/>
  <c r="I1498" i="26" s="1"/>
  <c r="H1499" i="26"/>
  <c r="I1499" i="26" s="1"/>
  <c r="H1500" i="26"/>
  <c r="I1500" i="26" s="1"/>
  <c r="H1501" i="26"/>
  <c r="I1501" i="26" s="1"/>
  <c r="H1502" i="26"/>
  <c r="I1502" i="26" s="1"/>
  <c r="H1503" i="26"/>
  <c r="I1503" i="26" s="1"/>
  <c r="H1504" i="26"/>
  <c r="I1504" i="26" s="1"/>
  <c r="H1505" i="26"/>
  <c r="I1505" i="26" s="1"/>
  <c r="H1506" i="26"/>
  <c r="I1506" i="26" s="1"/>
  <c r="H1507" i="26"/>
  <c r="I1507" i="26" s="1"/>
  <c r="H1508" i="26"/>
  <c r="I1508" i="26" s="1"/>
  <c r="H1509" i="26"/>
  <c r="I1509" i="26" s="1"/>
  <c r="H1510" i="26"/>
  <c r="I1510" i="26" s="1"/>
  <c r="H1511" i="26"/>
  <c r="I1511" i="26" s="1"/>
  <c r="H1512" i="26"/>
  <c r="I1512" i="26" s="1"/>
  <c r="H1513" i="26"/>
  <c r="I1513" i="26" s="1"/>
  <c r="H1514" i="26"/>
  <c r="I1514" i="26" s="1"/>
  <c r="H1515" i="26"/>
  <c r="I1515" i="26" s="1"/>
  <c r="H1516" i="26"/>
  <c r="I1516" i="26" s="1"/>
  <c r="H1517" i="26"/>
  <c r="I1517" i="26" s="1"/>
  <c r="H1518" i="26"/>
  <c r="I1518" i="26" s="1"/>
  <c r="H1519" i="26"/>
  <c r="I1519" i="26" s="1"/>
  <c r="H1520" i="26"/>
  <c r="I1520" i="26" s="1"/>
  <c r="H1521" i="26"/>
  <c r="I1521" i="26" s="1"/>
  <c r="H1522" i="26"/>
  <c r="I1522" i="26" s="1"/>
  <c r="H1523" i="26"/>
  <c r="I1523" i="26" s="1"/>
  <c r="H1524" i="26"/>
  <c r="I1524" i="26" s="1"/>
  <c r="H1525" i="26"/>
  <c r="I1525" i="26" s="1"/>
  <c r="H1526" i="26"/>
  <c r="I1526" i="26" s="1"/>
  <c r="H1527" i="26"/>
  <c r="I1527" i="26" s="1"/>
  <c r="H1528" i="26"/>
  <c r="I1528" i="26" s="1"/>
  <c r="H1529" i="26"/>
  <c r="I1529" i="26" s="1"/>
  <c r="H1530" i="26"/>
  <c r="I1530" i="26" s="1"/>
  <c r="H1531" i="26"/>
  <c r="I1531" i="26" s="1"/>
  <c r="H1532" i="26"/>
  <c r="I1532" i="26" s="1"/>
  <c r="H1533" i="26"/>
  <c r="I1533" i="26" s="1"/>
  <c r="H1534" i="26"/>
  <c r="I1534" i="26" s="1"/>
  <c r="H1535" i="26"/>
  <c r="I1535" i="26" s="1"/>
  <c r="H1536" i="26"/>
  <c r="I1536" i="26" s="1"/>
  <c r="H1537" i="26"/>
  <c r="I1537" i="26" s="1"/>
  <c r="H1538" i="26"/>
  <c r="I1538" i="26" s="1"/>
  <c r="H1539" i="26"/>
  <c r="I1539" i="26" s="1"/>
  <c r="H1540" i="26"/>
  <c r="I1540" i="26" s="1"/>
  <c r="H1541" i="26"/>
  <c r="I1541" i="26" s="1"/>
  <c r="H1542" i="26"/>
  <c r="I1542" i="26" s="1"/>
  <c r="H1543" i="26"/>
  <c r="I1543" i="26" s="1"/>
  <c r="H1544" i="26"/>
  <c r="I1544" i="26" s="1"/>
  <c r="H1545" i="26"/>
  <c r="I1545" i="26" s="1"/>
  <c r="H1546" i="26"/>
  <c r="I1546" i="26" s="1"/>
  <c r="H1547" i="26"/>
  <c r="I1547" i="26" s="1"/>
  <c r="H1548" i="26"/>
  <c r="I1548" i="26" s="1"/>
  <c r="H1549" i="26"/>
  <c r="I1549" i="26" s="1"/>
  <c r="H1550" i="26"/>
  <c r="I1550" i="26" s="1"/>
  <c r="H1551" i="26"/>
  <c r="I1551" i="26" s="1"/>
  <c r="H1552" i="26"/>
  <c r="I1552" i="26" s="1"/>
  <c r="H1553" i="26"/>
  <c r="I1553" i="26" s="1"/>
  <c r="H1554" i="26"/>
  <c r="I1554" i="26" s="1"/>
  <c r="H1555" i="26"/>
  <c r="I1555" i="26" s="1"/>
  <c r="H1556" i="26"/>
  <c r="I1556" i="26" s="1"/>
  <c r="H1557" i="26"/>
  <c r="I1557" i="26" s="1"/>
  <c r="H1558" i="26"/>
  <c r="I1558" i="26" s="1"/>
  <c r="H1559" i="26"/>
  <c r="I1559" i="26" s="1"/>
  <c r="H1560" i="26"/>
  <c r="I1560" i="26" s="1"/>
  <c r="H1561" i="26"/>
  <c r="I1561" i="26" s="1"/>
  <c r="H1562" i="26"/>
  <c r="I1562" i="26" s="1"/>
  <c r="H1563" i="26"/>
  <c r="I1563" i="26" s="1"/>
  <c r="H1564" i="26"/>
  <c r="I1564" i="26" s="1"/>
  <c r="H1565" i="26"/>
  <c r="I1565" i="26" s="1"/>
  <c r="H1566" i="26"/>
  <c r="I1566" i="26" s="1"/>
  <c r="H1567" i="26"/>
  <c r="I1567" i="26" s="1"/>
  <c r="H1568" i="26"/>
  <c r="I1568" i="26" s="1"/>
  <c r="H1569" i="26"/>
  <c r="I1569" i="26" s="1"/>
  <c r="H1570" i="26"/>
  <c r="I1570" i="26" s="1"/>
  <c r="H1571" i="26"/>
  <c r="I1571" i="26" s="1"/>
  <c r="H1572" i="26"/>
  <c r="I1572" i="26" s="1"/>
  <c r="H1573" i="26"/>
  <c r="I1573" i="26" s="1"/>
  <c r="H1574" i="26"/>
  <c r="I1574" i="26" s="1"/>
  <c r="H1575" i="26"/>
  <c r="I1575" i="26" s="1"/>
  <c r="H1576" i="26"/>
  <c r="I1576" i="26" s="1"/>
  <c r="H1577" i="26"/>
  <c r="I1577" i="26" s="1"/>
  <c r="H1578" i="26"/>
  <c r="I1578" i="26" s="1"/>
  <c r="H1579" i="26"/>
  <c r="I1579" i="26" s="1"/>
  <c r="H1580" i="26"/>
  <c r="I1580" i="26" s="1"/>
  <c r="H1581" i="26"/>
  <c r="I1581" i="26" s="1"/>
  <c r="H1582" i="26"/>
  <c r="I1582" i="26" s="1"/>
  <c r="H1583" i="26"/>
  <c r="I1583" i="26" s="1"/>
  <c r="H1584" i="26"/>
  <c r="I1584" i="26" s="1"/>
  <c r="H1585" i="26"/>
  <c r="I1585" i="26" s="1"/>
  <c r="H1586" i="26"/>
  <c r="I1586" i="26" s="1"/>
  <c r="H1587" i="26"/>
  <c r="I1587" i="26" s="1"/>
  <c r="H1588" i="26"/>
  <c r="I1588" i="26" s="1"/>
  <c r="H1589" i="26"/>
  <c r="I1589" i="26" s="1"/>
  <c r="H1590" i="26"/>
  <c r="I1590" i="26" s="1"/>
  <c r="H1591" i="26"/>
  <c r="I1591" i="26" s="1"/>
  <c r="H1592" i="26"/>
  <c r="I1592" i="26" s="1"/>
  <c r="H1593" i="26"/>
  <c r="I1593" i="26" s="1"/>
  <c r="H1594" i="26"/>
  <c r="I1594" i="26" s="1"/>
  <c r="H1595" i="26"/>
  <c r="I1595" i="26" s="1"/>
  <c r="H1596" i="26"/>
  <c r="I1596" i="26" s="1"/>
  <c r="H1597" i="26"/>
  <c r="I1597" i="26" s="1"/>
  <c r="H1598" i="26"/>
  <c r="I1598" i="26" s="1"/>
  <c r="H1599" i="26"/>
  <c r="I1599" i="26" s="1"/>
  <c r="H1600" i="26"/>
  <c r="I1600" i="26" s="1"/>
  <c r="H1601" i="26"/>
  <c r="I1601" i="26" s="1"/>
  <c r="H1602" i="26"/>
  <c r="I1602" i="26" s="1"/>
  <c r="H1603" i="26"/>
  <c r="I1603" i="26" s="1"/>
  <c r="H1604" i="26"/>
  <c r="I1604" i="26" s="1"/>
  <c r="H1605" i="26"/>
  <c r="I1605" i="26" s="1"/>
  <c r="H1606" i="26"/>
  <c r="I1606" i="26" s="1"/>
  <c r="H1607" i="26"/>
  <c r="I1607" i="26" s="1"/>
  <c r="H1608" i="26"/>
  <c r="I1608" i="26" s="1"/>
  <c r="H1609" i="26"/>
  <c r="I1609" i="26" s="1"/>
  <c r="H1610" i="26"/>
  <c r="I1610" i="26" s="1"/>
  <c r="H1611" i="26"/>
  <c r="I1611" i="26" s="1"/>
  <c r="H1612" i="26"/>
  <c r="I1612" i="26" s="1"/>
  <c r="H1613" i="26"/>
  <c r="I1613" i="26" s="1"/>
  <c r="H1614" i="26"/>
  <c r="I1614" i="26" s="1"/>
  <c r="H1615" i="26"/>
  <c r="I1615" i="26" s="1"/>
  <c r="H1616" i="26"/>
  <c r="I1616" i="26" s="1"/>
  <c r="H1617" i="26"/>
  <c r="I1617" i="26" s="1"/>
  <c r="H1618" i="26"/>
  <c r="I1618" i="26" s="1"/>
  <c r="H1619" i="26"/>
  <c r="I1619" i="26" s="1"/>
  <c r="H1620" i="26"/>
  <c r="I1620" i="26" s="1"/>
  <c r="H1621" i="26"/>
  <c r="I1621" i="26" s="1"/>
  <c r="H1622" i="26"/>
  <c r="I1622" i="26" s="1"/>
  <c r="H1623" i="26"/>
  <c r="I1623" i="26" s="1"/>
  <c r="H1624" i="26"/>
  <c r="I1624" i="26" s="1"/>
  <c r="H1625" i="26"/>
  <c r="I1625" i="26" s="1"/>
  <c r="H1626" i="26"/>
  <c r="I1626" i="26" s="1"/>
  <c r="H1627" i="26"/>
  <c r="I1627" i="26" s="1"/>
  <c r="H1628" i="26"/>
  <c r="I1628" i="26" s="1"/>
  <c r="H1629" i="26"/>
  <c r="I1629" i="26" s="1"/>
  <c r="H1630" i="26"/>
  <c r="I1630" i="26" s="1"/>
  <c r="H1631" i="26"/>
  <c r="I1631" i="26" s="1"/>
  <c r="H1632" i="26"/>
  <c r="I1632" i="26" s="1"/>
  <c r="H1633" i="26"/>
  <c r="I1633" i="26" s="1"/>
  <c r="H1634" i="26"/>
  <c r="I1634" i="26" s="1"/>
  <c r="H1635" i="26"/>
  <c r="I1635" i="26" s="1"/>
  <c r="H1636" i="26"/>
  <c r="I1636" i="26" s="1"/>
  <c r="H1637" i="26"/>
  <c r="I1637" i="26" s="1"/>
  <c r="H1638" i="26"/>
  <c r="I1638" i="26" s="1"/>
  <c r="H1639" i="26"/>
  <c r="I1639" i="26" s="1"/>
  <c r="H1640" i="26"/>
  <c r="I1640" i="26" s="1"/>
  <c r="H1641" i="26"/>
  <c r="I1641" i="26" s="1"/>
  <c r="H1642" i="26"/>
  <c r="I1642" i="26" s="1"/>
  <c r="H1643" i="26"/>
  <c r="I1643" i="26" s="1"/>
  <c r="H1644" i="26"/>
  <c r="I1644" i="26" s="1"/>
  <c r="H1645" i="26"/>
  <c r="I1645" i="26" s="1"/>
  <c r="H1646" i="26"/>
  <c r="I1646" i="26" s="1"/>
  <c r="H1647" i="26"/>
  <c r="I1647" i="26" s="1"/>
  <c r="H1648" i="26"/>
  <c r="I1648" i="26" s="1"/>
  <c r="H1649" i="26"/>
  <c r="I1649" i="26" s="1"/>
  <c r="H1650" i="26"/>
  <c r="I1650" i="26" s="1"/>
  <c r="H1651" i="26"/>
  <c r="I1651" i="26" s="1"/>
  <c r="H1652" i="26"/>
  <c r="I1652" i="26" s="1"/>
  <c r="I2" i="29"/>
  <c r="I2" i="21"/>
  <c r="I2" i="19"/>
  <c r="J2" i="29"/>
  <c r="P2" i="29" s="1"/>
  <c r="J3" i="27"/>
  <c r="J4" i="27"/>
  <c r="J5" i="27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J58" i="27"/>
  <c r="J59" i="27"/>
  <c r="J60" i="27"/>
  <c r="N60" i="27" s="1"/>
  <c r="J61" i="27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N84" i="27" s="1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N108" i="27" s="1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N204" i="27" s="1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N228" i="27" s="1"/>
  <c r="K228" i="27" s="1"/>
  <c r="L228" i="27" s="1"/>
  <c r="M228" i="27" s="1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N252" i="27" s="1"/>
  <c r="J253" i="27"/>
  <c r="J254" i="27"/>
  <c r="N254" i="27" s="1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7" i="27"/>
  <c r="J278" i="27"/>
  <c r="N278" i="27" s="1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N3" i="27"/>
  <c r="N4" i="27"/>
  <c r="N5" i="27"/>
  <c r="K5" i="27" s="1"/>
  <c r="L5" i="27" s="1"/>
  <c r="M5" i="27" s="1"/>
  <c r="N6" i="27"/>
  <c r="N7" i="27"/>
  <c r="N8" i="27"/>
  <c r="N9" i="27"/>
  <c r="K9" i="27" s="1"/>
  <c r="L9" i="27" s="1"/>
  <c r="M9" i="27" s="1"/>
  <c r="N10" i="27"/>
  <c r="N11" i="27"/>
  <c r="N13" i="27"/>
  <c r="N14" i="27"/>
  <c r="N15" i="27"/>
  <c r="N16" i="27"/>
  <c r="K16" i="27" s="1"/>
  <c r="L16" i="27" s="1"/>
  <c r="M16" i="27" s="1"/>
  <c r="N17" i="27"/>
  <c r="N18" i="27"/>
  <c r="N19" i="27"/>
  <c r="N20" i="27"/>
  <c r="K20" i="27" s="1"/>
  <c r="L20" i="27" s="1"/>
  <c r="M20" i="27" s="1"/>
  <c r="N21" i="27"/>
  <c r="N22" i="27"/>
  <c r="N23" i="27"/>
  <c r="N25" i="27"/>
  <c r="N26" i="27"/>
  <c r="N27" i="27"/>
  <c r="N28" i="27"/>
  <c r="N29" i="27"/>
  <c r="K29" i="27" s="1"/>
  <c r="L29" i="27" s="1"/>
  <c r="M29" i="27" s="1"/>
  <c r="N30" i="27"/>
  <c r="N31" i="27"/>
  <c r="K31" i="27" s="1"/>
  <c r="L31" i="27" s="1"/>
  <c r="M31" i="27" s="1"/>
  <c r="N32" i="27"/>
  <c r="N33" i="27"/>
  <c r="K33" i="27" s="1"/>
  <c r="L33" i="27" s="1"/>
  <c r="M33" i="27" s="1"/>
  <c r="N34" i="27"/>
  <c r="N35" i="27"/>
  <c r="N37" i="27"/>
  <c r="N38" i="27"/>
  <c r="N39" i="27"/>
  <c r="N40" i="27"/>
  <c r="N41" i="27"/>
  <c r="N42" i="27"/>
  <c r="K42" i="27" s="1"/>
  <c r="L42" i="27" s="1"/>
  <c r="M42" i="27" s="1"/>
  <c r="N43" i="27"/>
  <c r="N44" i="27"/>
  <c r="K44" i="27" s="1"/>
  <c r="L44" i="27" s="1"/>
  <c r="M44" i="27" s="1"/>
  <c r="N45" i="27"/>
  <c r="N46" i="27"/>
  <c r="N47" i="27"/>
  <c r="K47" i="27" s="1"/>
  <c r="L47" i="27" s="1"/>
  <c r="M47" i="27" s="1"/>
  <c r="N49" i="27"/>
  <c r="N50" i="27"/>
  <c r="N51" i="27"/>
  <c r="N52" i="27"/>
  <c r="N53" i="27"/>
  <c r="N54" i="27"/>
  <c r="N55" i="27"/>
  <c r="N56" i="27"/>
  <c r="N57" i="27"/>
  <c r="K57" i="27" s="1"/>
  <c r="L57" i="27" s="1"/>
  <c r="M57" i="27" s="1"/>
  <c r="N58" i="27"/>
  <c r="N59" i="27"/>
  <c r="N61" i="27"/>
  <c r="N62" i="27"/>
  <c r="K62" i="27" s="1"/>
  <c r="L62" i="27" s="1"/>
  <c r="M62" i="27" s="1"/>
  <c r="N63" i="27"/>
  <c r="N64" i="27"/>
  <c r="N65" i="27"/>
  <c r="N66" i="27"/>
  <c r="N67" i="27"/>
  <c r="N68" i="27"/>
  <c r="K68" i="27" s="1"/>
  <c r="L68" i="27" s="1"/>
  <c r="M68" i="27" s="1"/>
  <c r="N69" i="27"/>
  <c r="N70" i="27"/>
  <c r="N71" i="27"/>
  <c r="N73" i="27"/>
  <c r="N74" i="27"/>
  <c r="N75" i="27"/>
  <c r="N76" i="27"/>
  <c r="N77" i="27"/>
  <c r="N78" i="27"/>
  <c r="N79" i="27"/>
  <c r="N80" i="27"/>
  <c r="N81" i="27"/>
  <c r="K81" i="27" s="1"/>
  <c r="L81" i="27" s="1"/>
  <c r="M81" i="27" s="1"/>
  <c r="N82" i="27"/>
  <c r="N83" i="27"/>
  <c r="N85" i="27"/>
  <c r="N86" i="27"/>
  <c r="K86" i="27" s="1"/>
  <c r="L86" i="27" s="1"/>
  <c r="M86" i="27" s="1"/>
  <c r="N87" i="27"/>
  <c r="N88" i="27"/>
  <c r="N89" i="27"/>
  <c r="N90" i="27"/>
  <c r="N91" i="27"/>
  <c r="N92" i="27"/>
  <c r="N93" i="27"/>
  <c r="N94" i="27"/>
  <c r="N95" i="27"/>
  <c r="K95" i="27" s="1"/>
  <c r="L95" i="27" s="1"/>
  <c r="M95" i="27" s="1"/>
  <c r="N97" i="27"/>
  <c r="N98" i="27"/>
  <c r="N99" i="27"/>
  <c r="N100" i="27"/>
  <c r="N101" i="27"/>
  <c r="N102" i="27"/>
  <c r="N103" i="27"/>
  <c r="N104" i="27"/>
  <c r="N105" i="27"/>
  <c r="N106" i="27"/>
  <c r="N107" i="27"/>
  <c r="N109" i="27"/>
  <c r="N110" i="27"/>
  <c r="K110" i="27" s="1"/>
  <c r="L110" i="27" s="1"/>
  <c r="M110" i="27" s="1"/>
  <c r="N111" i="27"/>
  <c r="N112" i="27"/>
  <c r="K112" i="27" s="1"/>
  <c r="L112" i="27" s="1"/>
  <c r="M112" i="27" s="1"/>
  <c r="N113" i="27"/>
  <c r="N114" i="27"/>
  <c r="N115" i="27"/>
  <c r="N116" i="27"/>
  <c r="N117" i="27"/>
  <c r="N118" i="27"/>
  <c r="N119" i="27"/>
  <c r="N121" i="27"/>
  <c r="N122" i="27"/>
  <c r="N123" i="27"/>
  <c r="N124" i="27"/>
  <c r="N125" i="27"/>
  <c r="K125" i="27" s="1"/>
  <c r="L125" i="27" s="1"/>
  <c r="M125" i="27" s="1"/>
  <c r="N126" i="27"/>
  <c r="N127" i="27"/>
  <c r="N128" i="27"/>
  <c r="N129" i="27"/>
  <c r="N130" i="27"/>
  <c r="N131" i="27"/>
  <c r="N133" i="27"/>
  <c r="N134" i="27"/>
  <c r="K134" i="27" s="1"/>
  <c r="L134" i="27" s="1"/>
  <c r="M134" i="27" s="1"/>
  <c r="N135" i="27"/>
  <c r="N136" i="27"/>
  <c r="K136" i="27" s="1"/>
  <c r="L136" i="27" s="1"/>
  <c r="M136" i="27" s="1"/>
  <c r="N137" i="27"/>
  <c r="N138" i="27"/>
  <c r="K138" i="27" s="1"/>
  <c r="L138" i="27" s="1"/>
  <c r="M138" i="27" s="1"/>
  <c r="N139" i="27"/>
  <c r="N140" i="27"/>
  <c r="N141" i="27"/>
  <c r="N142" i="27"/>
  <c r="N143" i="27"/>
  <c r="N145" i="27"/>
  <c r="N146" i="27"/>
  <c r="N147" i="27"/>
  <c r="K147" i="27" s="1"/>
  <c r="L147" i="27" s="1"/>
  <c r="M147" i="27" s="1"/>
  <c r="N148" i="27"/>
  <c r="N149" i="27"/>
  <c r="K149" i="27" s="1"/>
  <c r="L149" i="27" s="1"/>
  <c r="M149" i="27" s="1"/>
  <c r="N150" i="27"/>
  <c r="N151" i="27"/>
  <c r="K151" i="27" s="1"/>
  <c r="L151" i="27" s="1"/>
  <c r="M151" i="27" s="1"/>
  <c r="N152" i="27"/>
  <c r="N153" i="27"/>
  <c r="K153" i="27" s="1"/>
  <c r="L153" i="27" s="1"/>
  <c r="M153" i="27" s="1"/>
  <c r="N154" i="27"/>
  <c r="N155" i="27"/>
  <c r="N157" i="27"/>
  <c r="N158" i="27"/>
  <c r="N159" i="27"/>
  <c r="N160" i="27"/>
  <c r="N161" i="27"/>
  <c r="N162" i="27"/>
  <c r="K162" i="27" s="1"/>
  <c r="L162" i="27" s="1"/>
  <c r="M162" i="27" s="1"/>
  <c r="N163" i="27"/>
  <c r="N164" i="27"/>
  <c r="K164" i="27" s="1"/>
  <c r="L164" i="27" s="1"/>
  <c r="M164" i="27" s="1"/>
  <c r="N165" i="27"/>
  <c r="N166" i="27"/>
  <c r="N167" i="27"/>
  <c r="N169" i="27"/>
  <c r="N170" i="27"/>
  <c r="N171" i="27"/>
  <c r="N172" i="27"/>
  <c r="N173" i="27"/>
  <c r="K173" i="27" s="1"/>
  <c r="L173" i="27" s="1"/>
  <c r="M173" i="27" s="1"/>
  <c r="N174" i="27"/>
  <c r="N175" i="27"/>
  <c r="N176" i="27"/>
  <c r="N177" i="27"/>
  <c r="K177" i="27" s="1"/>
  <c r="L177" i="27" s="1"/>
  <c r="M177" i="27" s="1"/>
  <c r="N178" i="27"/>
  <c r="N179" i="27"/>
  <c r="N181" i="27"/>
  <c r="N182" i="27"/>
  <c r="N183" i="27"/>
  <c r="N184" i="27"/>
  <c r="N185" i="27"/>
  <c r="N186" i="27"/>
  <c r="K186" i="27" s="1"/>
  <c r="L186" i="27" s="1"/>
  <c r="M186" i="27" s="1"/>
  <c r="N187" i="27"/>
  <c r="N188" i="27"/>
  <c r="K188" i="27" s="1"/>
  <c r="L188" i="27" s="1"/>
  <c r="M188" i="27" s="1"/>
  <c r="N189" i="27"/>
  <c r="N190" i="27"/>
  <c r="N191" i="27"/>
  <c r="K191" i="27" s="1"/>
  <c r="L191" i="27" s="1"/>
  <c r="M191" i="27" s="1"/>
  <c r="N193" i="27"/>
  <c r="N195" i="27"/>
  <c r="N196" i="27"/>
  <c r="N197" i="27"/>
  <c r="N198" i="27"/>
  <c r="N199" i="27"/>
  <c r="K199" i="27" s="1"/>
  <c r="L199" i="27" s="1"/>
  <c r="M199" i="27" s="1"/>
  <c r="N200" i="27"/>
  <c r="N201" i="27"/>
  <c r="K201" i="27" s="1"/>
  <c r="L201" i="27" s="1"/>
  <c r="M201" i="27" s="1"/>
  <c r="N202" i="27"/>
  <c r="N203" i="27"/>
  <c r="N205" i="27"/>
  <c r="N207" i="27"/>
  <c r="N208" i="27"/>
  <c r="N209" i="27"/>
  <c r="N210" i="27"/>
  <c r="N211" i="27"/>
  <c r="N212" i="27"/>
  <c r="K212" i="27" s="1"/>
  <c r="L212" i="27" s="1"/>
  <c r="M212" i="27" s="1"/>
  <c r="N213" i="27"/>
  <c r="N214" i="27"/>
  <c r="N215" i="27"/>
  <c r="K215" i="27" s="1"/>
  <c r="L215" i="27" s="1"/>
  <c r="M215" i="27" s="1"/>
  <c r="N217" i="27"/>
  <c r="N219" i="27"/>
  <c r="N220" i="27"/>
  <c r="N221" i="27"/>
  <c r="N222" i="27"/>
  <c r="N223" i="27"/>
  <c r="N224" i="27"/>
  <c r="N225" i="27"/>
  <c r="K225" i="27" s="1"/>
  <c r="L225" i="27" s="1"/>
  <c r="M225" i="27" s="1"/>
  <c r="N226" i="27"/>
  <c r="N227" i="27"/>
  <c r="N229" i="27"/>
  <c r="N231" i="27"/>
  <c r="N232" i="27"/>
  <c r="N233" i="27"/>
  <c r="N234" i="27"/>
  <c r="N235" i="27"/>
  <c r="N236" i="27"/>
  <c r="N237" i="27"/>
  <c r="N238" i="27"/>
  <c r="N239" i="27"/>
  <c r="K239" i="27" s="1"/>
  <c r="L239" i="27" s="1"/>
  <c r="M239" i="27" s="1"/>
  <c r="N241" i="27"/>
  <c r="K241" i="27" s="1"/>
  <c r="L241" i="27" s="1"/>
  <c r="M241" i="27" s="1"/>
  <c r="N243" i="27"/>
  <c r="K243" i="27" s="1"/>
  <c r="L243" i="27" s="1"/>
  <c r="M243" i="27" s="1"/>
  <c r="N244" i="27"/>
  <c r="N245" i="27"/>
  <c r="N246" i="27"/>
  <c r="N247" i="27"/>
  <c r="N248" i="27"/>
  <c r="N249" i="27"/>
  <c r="N250" i="27"/>
  <c r="N251" i="27"/>
  <c r="N253" i="27"/>
  <c r="N255" i="27"/>
  <c r="N256" i="27"/>
  <c r="K256" i="27" s="1"/>
  <c r="L256" i="27" s="1"/>
  <c r="M256" i="27" s="1"/>
  <c r="N257" i="27"/>
  <c r="N258" i="27"/>
  <c r="N259" i="27"/>
  <c r="N260" i="27"/>
  <c r="N261" i="27"/>
  <c r="N262" i="27"/>
  <c r="N263" i="27"/>
  <c r="N265" i="27"/>
  <c r="N267" i="27"/>
  <c r="K267" i="27" s="1"/>
  <c r="L267" i="27" s="1"/>
  <c r="M267" i="27" s="1"/>
  <c r="N268" i="27"/>
  <c r="N269" i="27"/>
  <c r="K269" i="27" s="1"/>
  <c r="L269" i="27" s="1"/>
  <c r="M269" i="27" s="1"/>
  <c r="N270" i="27"/>
  <c r="N271" i="27"/>
  <c r="N272" i="27"/>
  <c r="N273" i="27"/>
  <c r="N274" i="27"/>
  <c r="N275" i="27"/>
  <c r="N277" i="27"/>
  <c r="N279" i="27"/>
  <c r="N280" i="27"/>
  <c r="N281" i="27"/>
  <c r="N282" i="27"/>
  <c r="K282" i="27" s="1"/>
  <c r="L282" i="27" s="1"/>
  <c r="M282" i="27" s="1"/>
  <c r="N283" i="27"/>
  <c r="N284" i="27"/>
  <c r="N285" i="27"/>
  <c r="N286" i="27"/>
  <c r="N287" i="27"/>
  <c r="N289" i="27"/>
  <c r="N291" i="27"/>
  <c r="K291" i="27" s="1"/>
  <c r="L291" i="27" s="1"/>
  <c r="M291" i="27" s="1"/>
  <c r="N292" i="27"/>
  <c r="N293" i="27"/>
  <c r="K293" i="27" s="1"/>
  <c r="L293" i="27" s="1"/>
  <c r="M293" i="27" s="1"/>
  <c r="N294" i="27"/>
  <c r="N295" i="27"/>
  <c r="K295" i="27" s="1"/>
  <c r="L295" i="27" s="1"/>
  <c r="M295" i="27" s="1"/>
  <c r="N296" i="27"/>
  <c r="N297" i="27"/>
  <c r="N298" i="27"/>
  <c r="N299" i="27"/>
  <c r="N301" i="27"/>
  <c r="N303" i="27"/>
  <c r="N304" i="27"/>
  <c r="K304" i="27" s="1"/>
  <c r="L304" i="27" s="1"/>
  <c r="M304" i="27" s="1"/>
  <c r="N305" i="27"/>
  <c r="N306" i="27"/>
  <c r="K306" i="27" s="1"/>
  <c r="L306" i="27" s="1"/>
  <c r="M306" i="27" s="1"/>
  <c r="N307" i="27"/>
  <c r="N308" i="27"/>
  <c r="K308" i="27" s="1"/>
  <c r="L308" i="27" s="1"/>
  <c r="M308" i="27" s="1"/>
  <c r="N309" i="27"/>
  <c r="O3" i="27"/>
  <c r="K3" i="27" s="1"/>
  <c r="L3" i="27" s="1"/>
  <c r="M3" i="27" s="1"/>
  <c r="O4" i="27"/>
  <c r="O5" i="27"/>
  <c r="O6" i="27"/>
  <c r="O7" i="27"/>
  <c r="O8" i="27"/>
  <c r="O9" i="27"/>
  <c r="O10" i="27"/>
  <c r="O11" i="27"/>
  <c r="O12" i="27"/>
  <c r="O13" i="27"/>
  <c r="O14" i="27"/>
  <c r="O15" i="27"/>
  <c r="K15" i="27" s="1"/>
  <c r="L15" i="27" s="1"/>
  <c r="M15" i="27" s="1"/>
  <c r="O16" i="27"/>
  <c r="O17" i="27"/>
  <c r="O18" i="27"/>
  <c r="O19" i="27"/>
  <c r="O20" i="27"/>
  <c r="O21" i="27"/>
  <c r="O22" i="27"/>
  <c r="O23" i="27"/>
  <c r="O24" i="27"/>
  <c r="O25" i="27"/>
  <c r="O26" i="27"/>
  <c r="O27" i="27"/>
  <c r="K27" i="27" s="1"/>
  <c r="L27" i="27" s="1"/>
  <c r="M27" i="27" s="1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K49" i="27" s="1"/>
  <c r="L49" i="27" s="1"/>
  <c r="M49" i="27" s="1"/>
  <c r="O50" i="27"/>
  <c r="O51" i="27"/>
  <c r="O52" i="27"/>
  <c r="O53" i="27"/>
  <c r="O54" i="27"/>
  <c r="O55" i="27"/>
  <c r="O56" i="27"/>
  <c r="O57" i="27"/>
  <c r="O58" i="27"/>
  <c r="O59" i="27"/>
  <c r="O60" i="27"/>
  <c r="K60" i="27" s="1"/>
  <c r="L60" i="27" s="1"/>
  <c r="M60" i="27" s="1"/>
  <c r="O61" i="27"/>
  <c r="O62" i="27"/>
  <c r="O63" i="27"/>
  <c r="O64" i="27"/>
  <c r="O65" i="27"/>
  <c r="O66" i="27"/>
  <c r="O67" i="27"/>
  <c r="O68" i="27"/>
  <c r="O69" i="27"/>
  <c r="O70" i="27"/>
  <c r="O71" i="27"/>
  <c r="K71" i="27" s="1"/>
  <c r="L71" i="27" s="1"/>
  <c r="M71" i="27" s="1"/>
  <c r="O72" i="27"/>
  <c r="O73" i="27"/>
  <c r="K73" i="27" s="1"/>
  <c r="L73" i="27" s="1"/>
  <c r="M73" i="27" s="1"/>
  <c r="O74" i="27"/>
  <c r="O75" i="27"/>
  <c r="O76" i="27"/>
  <c r="O77" i="27"/>
  <c r="O78" i="27"/>
  <c r="O79" i="27"/>
  <c r="O80" i="27"/>
  <c r="O81" i="27"/>
  <c r="O82" i="27"/>
  <c r="O83" i="27"/>
  <c r="O84" i="27"/>
  <c r="O85" i="27"/>
  <c r="K85" i="27" s="1"/>
  <c r="L85" i="27" s="1"/>
  <c r="M85" i="27" s="1"/>
  <c r="O86" i="27"/>
  <c r="O87" i="27"/>
  <c r="O88" i="27"/>
  <c r="O89" i="27"/>
  <c r="O90" i="27"/>
  <c r="O91" i="27"/>
  <c r="O92" i="27"/>
  <c r="O93" i="27"/>
  <c r="O94" i="27"/>
  <c r="O95" i="27"/>
  <c r="O96" i="27"/>
  <c r="O97" i="27"/>
  <c r="K97" i="27" s="1"/>
  <c r="L97" i="27" s="1"/>
  <c r="M97" i="27" s="1"/>
  <c r="O98" i="27"/>
  <c r="O99" i="27"/>
  <c r="K99" i="27" s="1"/>
  <c r="L99" i="27" s="1"/>
  <c r="M99" i="27" s="1"/>
  <c r="O100" i="27"/>
  <c r="O101" i="27"/>
  <c r="O102" i="27"/>
  <c r="O103" i="27"/>
  <c r="O104" i="27"/>
  <c r="O105" i="27"/>
  <c r="O106" i="27"/>
  <c r="O107" i="27"/>
  <c r="O108" i="27"/>
  <c r="K108" i="27" s="1"/>
  <c r="L108" i="27" s="1"/>
  <c r="M108" i="27" s="1"/>
  <c r="O109" i="27"/>
  <c r="O110" i="27"/>
  <c r="O111" i="27"/>
  <c r="O112" i="27"/>
  <c r="O113" i="27"/>
  <c r="O114" i="27"/>
  <c r="O115" i="27"/>
  <c r="O116" i="27"/>
  <c r="O117" i="27"/>
  <c r="O118" i="27"/>
  <c r="O119" i="27"/>
  <c r="O120" i="27"/>
  <c r="O121" i="27"/>
  <c r="K121" i="27" s="1"/>
  <c r="L121" i="27" s="1"/>
  <c r="M121" i="27" s="1"/>
  <c r="O122" i="27"/>
  <c r="O123" i="27"/>
  <c r="K123" i="27" s="1"/>
  <c r="L123" i="27" s="1"/>
  <c r="M123" i="27" s="1"/>
  <c r="O124" i="27"/>
  <c r="O125" i="27"/>
  <c r="O126" i="27"/>
  <c r="O127" i="27"/>
  <c r="O128" i="27"/>
  <c r="O129" i="27"/>
  <c r="O130" i="27"/>
  <c r="O131" i="27"/>
  <c r="O132" i="27"/>
  <c r="O133" i="27"/>
  <c r="O134" i="27"/>
  <c r="O135" i="27"/>
  <c r="O136" i="27"/>
  <c r="O137" i="27"/>
  <c r="O138" i="27"/>
  <c r="O139" i="27"/>
  <c r="O140" i="27"/>
  <c r="O141" i="27"/>
  <c r="O142" i="27"/>
  <c r="O143" i="27"/>
  <c r="O144" i="27"/>
  <c r="O145" i="27"/>
  <c r="O146" i="27"/>
  <c r="O147" i="27"/>
  <c r="O148" i="27"/>
  <c r="O149" i="27"/>
  <c r="O150" i="27"/>
  <c r="O151" i="27"/>
  <c r="O152" i="27"/>
  <c r="O153" i="27"/>
  <c r="O154" i="27"/>
  <c r="O155" i="27"/>
  <c r="O156" i="27"/>
  <c r="O157" i="27"/>
  <c r="O158" i="27"/>
  <c r="O159" i="27"/>
  <c r="O160" i="27"/>
  <c r="K160" i="27" s="1"/>
  <c r="L160" i="27" s="1"/>
  <c r="M160" i="27" s="1"/>
  <c r="O161" i="27"/>
  <c r="O162" i="27"/>
  <c r="O163" i="27"/>
  <c r="O164" i="27"/>
  <c r="O165" i="27"/>
  <c r="O166" i="27"/>
  <c r="O167" i="27"/>
  <c r="O168" i="27"/>
  <c r="O169" i="27"/>
  <c r="O170" i="27"/>
  <c r="O171" i="27"/>
  <c r="O172" i="27"/>
  <c r="O173" i="27"/>
  <c r="O174" i="27"/>
  <c r="O175" i="27"/>
  <c r="O176" i="27"/>
  <c r="O177" i="27"/>
  <c r="O178" i="27"/>
  <c r="O179" i="27"/>
  <c r="O180" i="27"/>
  <c r="O181" i="27"/>
  <c r="O182" i="27"/>
  <c r="O183" i="27"/>
  <c r="O184" i="27"/>
  <c r="O185" i="27"/>
  <c r="O186" i="27"/>
  <c r="O187" i="27"/>
  <c r="O188" i="27"/>
  <c r="O189" i="27"/>
  <c r="O190" i="27"/>
  <c r="O191" i="27"/>
  <c r="O192" i="27"/>
  <c r="O193" i="27"/>
  <c r="O194" i="27"/>
  <c r="O195" i="27"/>
  <c r="O196" i="27"/>
  <c r="O197" i="27"/>
  <c r="O198" i="27"/>
  <c r="O199" i="27"/>
  <c r="O200" i="27"/>
  <c r="O201" i="27"/>
  <c r="O202" i="27"/>
  <c r="O203" i="27"/>
  <c r="O204" i="27"/>
  <c r="O205" i="27"/>
  <c r="O206" i="27"/>
  <c r="O207" i="27"/>
  <c r="O208" i="27"/>
  <c r="O209" i="27"/>
  <c r="O210" i="27"/>
  <c r="O211" i="27"/>
  <c r="O212" i="27"/>
  <c r="O213" i="27"/>
  <c r="O214" i="27"/>
  <c r="O215" i="27"/>
  <c r="O216" i="27"/>
  <c r="O217" i="27"/>
  <c r="K217" i="27" s="1"/>
  <c r="L217" i="27" s="1"/>
  <c r="M217" i="27" s="1"/>
  <c r="O218" i="27"/>
  <c r="O219" i="27"/>
  <c r="O220" i="27"/>
  <c r="O221" i="27"/>
  <c r="O222" i="27"/>
  <c r="O223" i="27"/>
  <c r="O224" i="27"/>
  <c r="O225" i="27"/>
  <c r="O226" i="27"/>
  <c r="O227" i="27"/>
  <c r="O228" i="27"/>
  <c r="O229" i="27"/>
  <c r="O230" i="27"/>
  <c r="O231" i="27"/>
  <c r="O232" i="27"/>
  <c r="O233" i="27"/>
  <c r="O234" i="27"/>
  <c r="O235" i="27"/>
  <c r="O236" i="27"/>
  <c r="O237" i="27"/>
  <c r="O238" i="27"/>
  <c r="O239" i="27"/>
  <c r="O240" i="27"/>
  <c r="O241" i="27"/>
  <c r="O242" i="27"/>
  <c r="O243" i="27"/>
  <c r="O244" i="27"/>
  <c r="O245" i="27"/>
  <c r="O246" i="27"/>
  <c r="O247" i="27"/>
  <c r="O248" i="27"/>
  <c r="O249" i="27"/>
  <c r="O250" i="27"/>
  <c r="O251" i="27"/>
  <c r="O252" i="27"/>
  <c r="O253" i="27"/>
  <c r="O254" i="27"/>
  <c r="O255" i="27"/>
  <c r="O256" i="27"/>
  <c r="O257" i="27"/>
  <c r="O258" i="27"/>
  <c r="O259" i="27"/>
  <c r="O260" i="27"/>
  <c r="O261" i="27"/>
  <c r="O262" i="27"/>
  <c r="O263" i="27"/>
  <c r="O264" i="27"/>
  <c r="O265" i="27"/>
  <c r="K265" i="27" s="1"/>
  <c r="L265" i="27" s="1"/>
  <c r="M265" i="27" s="1"/>
  <c r="O266" i="27"/>
  <c r="O267" i="27"/>
  <c r="O268" i="27"/>
  <c r="O269" i="27"/>
  <c r="O270" i="27"/>
  <c r="O271" i="27"/>
  <c r="O272" i="27"/>
  <c r="O273" i="27"/>
  <c r="O274" i="27"/>
  <c r="O275" i="27"/>
  <c r="O276" i="27"/>
  <c r="O277" i="27"/>
  <c r="O278" i="27"/>
  <c r="O279" i="27"/>
  <c r="O280" i="27"/>
  <c r="O281" i="27"/>
  <c r="O282" i="27"/>
  <c r="O283" i="27"/>
  <c r="O284" i="27"/>
  <c r="O285" i="27"/>
  <c r="O286" i="27"/>
  <c r="O287" i="27"/>
  <c r="O288" i="27"/>
  <c r="O289" i="27"/>
  <c r="O290" i="27"/>
  <c r="O291" i="27"/>
  <c r="O292" i="27"/>
  <c r="O293" i="27"/>
  <c r="O294" i="27"/>
  <c r="O295" i="27"/>
  <c r="O296" i="27"/>
  <c r="O297" i="27"/>
  <c r="O298" i="27"/>
  <c r="O299" i="27"/>
  <c r="O300" i="27"/>
  <c r="O301" i="27"/>
  <c r="O302" i="27"/>
  <c r="O303" i="27"/>
  <c r="O304" i="27"/>
  <c r="O305" i="27"/>
  <c r="O306" i="27"/>
  <c r="O307" i="27"/>
  <c r="O308" i="27"/>
  <c r="O309" i="27"/>
  <c r="P3" i="27"/>
  <c r="P4" i="27"/>
  <c r="P5" i="27"/>
  <c r="P6" i="27"/>
  <c r="P7" i="27"/>
  <c r="K7" i="27" s="1"/>
  <c r="L7" i="27" s="1"/>
  <c r="M7" i="27" s="1"/>
  <c r="P8" i="27"/>
  <c r="P9" i="27"/>
  <c r="P10" i="27"/>
  <c r="P11" i="27"/>
  <c r="P12" i="27"/>
  <c r="P13" i="27"/>
  <c r="P14" i="27"/>
  <c r="P15" i="27"/>
  <c r="P16" i="27"/>
  <c r="P17" i="27"/>
  <c r="P18" i="27"/>
  <c r="K18" i="27" s="1"/>
  <c r="L18" i="27" s="1"/>
  <c r="M18" i="27" s="1"/>
  <c r="P19" i="27"/>
  <c r="P20" i="27"/>
  <c r="P21" i="27"/>
  <c r="P22" i="27"/>
  <c r="P23" i="27"/>
  <c r="P24" i="27"/>
  <c r="P25" i="27"/>
  <c r="P26" i="27"/>
  <c r="P27" i="27"/>
  <c r="P28" i="27"/>
  <c r="P29" i="27"/>
  <c r="P30" i="27"/>
  <c r="P31" i="27"/>
  <c r="P32" i="27"/>
  <c r="P33" i="27"/>
  <c r="P34" i="27"/>
  <c r="P35" i="27"/>
  <c r="P36" i="27"/>
  <c r="P37" i="27"/>
  <c r="P38" i="27"/>
  <c r="P39" i="27"/>
  <c r="P40" i="27"/>
  <c r="P41" i="27"/>
  <c r="P42" i="27"/>
  <c r="P43" i="27"/>
  <c r="P44" i="27"/>
  <c r="P45" i="27"/>
  <c r="P46" i="27"/>
  <c r="P47" i="27"/>
  <c r="P48" i="27"/>
  <c r="P49" i="27"/>
  <c r="P50" i="27"/>
  <c r="P51" i="27"/>
  <c r="P52" i="27"/>
  <c r="P53" i="27"/>
  <c r="P54" i="27"/>
  <c r="P55" i="27"/>
  <c r="K55" i="27" s="1"/>
  <c r="L55" i="27" s="1"/>
  <c r="M55" i="27" s="1"/>
  <c r="P56" i="27"/>
  <c r="P57" i="27"/>
  <c r="P58" i="27"/>
  <c r="P59" i="27"/>
  <c r="P60" i="27"/>
  <c r="P61" i="27"/>
  <c r="P62" i="27"/>
  <c r="P63" i="27"/>
  <c r="P64" i="27"/>
  <c r="P65" i="27"/>
  <c r="P66" i="27"/>
  <c r="P67" i="27"/>
  <c r="P68" i="27"/>
  <c r="P69" i="27"/>
  <c r="P70" i="27"/>
  <c r="P71" i="27"/>
  <c r="P72" i="27"/>
  <c r="P73" i="27"/>
  <c r="P74" i="27"/>
  <c r="P75" i="27"/>
  <c r="P76" i="27"/>
  <c r="P77" i="27"/>
  <c r="P78" i="27"/>
  <c r="P79" i="27"/>
  <c r="P80" i="27"/>
  <c r="P81" i="27"/>
  <c r="P82" i="27"/>
  <c r="P83" i="27"/>
  <c r="P84" i="27"/>
  <c r="P85" i="27"/>
  <c r="P86" i="27"/>
  <c r="P87" i="27"/>
  <c r="P88" i="27"/>
  <c r="P89" i="27"/>
  <c r="P90" i="27"/>
  <c r="P91" i="27"/>
  <c r="P92" i="27"/>
  <c r="P93" i="27"/>
  <c r="P94" i="27"/>
  <c r="P95" i="27"/>
  <c r="P96" i="27"/>
  <c r="P97" i="27"/>
  <c r="P98" i="27"/>
  <c r="P99" i="27"/>
  <c r="P100" i="27"/>
  <c r="P101" i="27"/>
  <c r="P102" i="27"/>
  <c r="P103" i="27"/>
  <c r="P104" i="27"/>
  <c r="P105" i="27"/>
  <c r="P106" i="27"/>
  <c r="P107" i="27"/>
  <c r="P108" i="27"/>
  <c r="P109" i="27"/>
  <c r="P110" i="27"/>
  <c r="P111" i="27"/>
  <c r="P112" i="27"/>
  <c r="P113" i="27"/>
  <c r="P114" i="27"/>
  <c r="P115" i="27"/>
  <c r="P116" i="27"/>
  <c r="P117" i="27"/>
  <c r="P118" i="27"/>
  <c r="P119" i="27"/>
  <c r="P120" i="27"/>
  <c r="P121" i="27"/>
  <c r="P122" i="27"/>
  <c r="P123" i="27"/>
  <c r="P124" i="27"/>
  <c r="P125" i="27"/>
  <c r="P126" i="27"/>
  <c r="P127" i="27"/>
  <c r="P128" i="27"/>
  <c r="P129" i="27"/>
  <c r="P130" i="27"/>
  <c r="P131" i="27"/>
  <c r="P132" i="27"/>
  <c r="P133" i="27"/>
  <c r="P134" i="27"/>
  <c r="P135" i="27"/>
  <c r="P136" i="27"/>
  <c r="P137" i="27"/>
  <c r="P138" i="27"/>
  <c r="P139" i="27"/>
  <c r="P140" i="27"/>
  <c r="P141" i="27"/>
  <c r="P142" i="27"/>
  <c r="P143" i="27"/>
  <c r="P144" i="27"/>
  <c r="P145" i="27"/>
  <c r="P146" i="27"/>
  <c r="P147" i="27"/>
  <c r="P148" i="27"/>
  <c r="P149" i="27"/>
  <c r="P150" i="27"/>
  <c r="P151" i="27"/>
  <c r="P152" i="27"/>
  <c r="P153" i="27"/>
  <c r="P154" i="27"/>
  <c r="P155" i="27"/>
  <c r="P156" i="27"/>
  <c r="P157" i="27"/>
  <c r="P158" i="27"/>
  <c r="P159" i="27"/>
  <c r="P160" i="27"/>
  <c r="P161" i="27"/>
  <c r="P162" i="27"/>
  <c r="P163" i="27"/>
  <c r="P164" i="27"/>
  <c r="P165" i="27"/>
  <c r="P166" i="27"/>
  <c r="P167" i="27"/>
  <c r="P168" i="27"/>
  <c r="P169" i="27"/>
  <c r="P170" i="27"/>
  <c r="P171" i="27"/>
  <c r="P172" i="27"/>
  <c r="P173" i="27"/>
  <c r="P174" i="27"/>
  <c r="P175" i="27"/>
  <c r="K175" i="27" s="1"/>
  <c r="L175" i="27" s="1"/>
  <c r="M175" i="27" s="1"/>
  <c r="P176" i="27"/>
  <c r="P177" i="27"/>
  <c r="P178" i="27"/>
  <c r="P179" i="27"/>
  <c r="P180" i="27"/>
  <c r="P181" i="27"/>
  <c r="P182" i="27"/>
  <c r="P183" i="27"/>
  <c r="P184" i="27"/>
  <c r="P185" i="27"/>
  <c r="P186" i="27"/>
  <c r="P187" i="27"/>
  <c r="P188" i="27"/>
  <c r="P189" i="27"/>
  <c r="P190" i="27"/>
  <c r="P191" i="27"/>
  <c r="P192" i="27"/>
  <c r="P193" i="27"/>
  <c r="P194" i="27"/>
  <c r="P195" i="27"/>
  <c r="P196" i="27"/>
  <c r="P197" i="27"/>
  <c r="P198" i="27"/>
  <c r="P199" i="27"/>
  <c r="P200" i="27"/>
  <c r="P201" i="27"/>
  <c r="P202" i="27"/>
  <c r="P203" i="27"/>
  <c r="P204" i="27"/>
  <c r="P205" i="27"/>
  <c r="P206" i="27"/>
  <c r="P207" i="27"/>
  <c r="P208" i="27"/>
  <c r="P209" i="27"/>
  <c r="P210" i="27"/>
  <c r="P211" i="27"/>
  <c r="P212" i="27"/>
  <c r="P213" i="27"/>
  <c r="P214" i="27"/>
  <c r="P215" i="27"/>
  <c r="P216" i="27"/>
  <c r="P217" i="27"/>
  <c r="P218" i="27"/>
  <c r="P219" i="27"/>
  <c r="P220" i="27"/>
  <c r="P221" i="27"/>
  <c r="P222" i="27"/>
  <c r="P223" i="27"/>
  <c r="P224" i="27"/>
  <c r="P225" i="27"/>
  <c r="P226" i="27"/>
  <c r="P227" i="27"/>
  <c r="P228" i="27"/>
  <c r="P229" i="27"/>
  <c r="P230" i="27"/>
  <c r="P231" i="27"/>
  <c r="P232" i="27"/>
  <c r="P233" i="27"/>
  <c r="P234" i="27"/>
  <c r="P235" i="27"/>
  <c r="P236" i="27"/>
  <c r="P237" i="27"/>
  <c r="P238" i="27"/>
  <c r="P239" i="27"/>
  <c r="P240" i="27"/>
  <c r="P241" i="27"/>
  <c r="P242" i="27"/>
  <c r="P243" i="27"/>
  <c r="P244" i="27"/>
  <c r="P245" i="27"/>
  <c r="P246" i="27"/>
  <c r="P247" i="27"/>
  <c r="P248" i="27"/>
  <c r="P249" i="27"/>
  <c r="P250" i="27"/>
  <c r="P251" i="27"/>
  <c r="P252" i="27"/>
  <c r="P253" i="27"/>
  <c r="P254" i="27"/>
  <c r="P255" i="27"/>
  <c r="P256" i="27"/>
  <c r="P257" i="27"/>
  <c r="P258" i="27"/>
  <c r="P259" i="27"/>
  <c r="P260" i="27"/>
  <c r="P261" i="27"/>
  <c r="P262" i="27"/>
  <c r="P263" i="27"/>
  <c r="P264" i="27"/>
  <c r="P265" i="27"/>
  <c r="P266" i="27"/>
  <c r="P267" i="27"/>
  <c r="P268" i="27"/>
  <c r="P269" i="27"/>
  <c r="P270" i="27"/>
  <c r="P271" i="27"/>
  <c r="P272" i="27"/>
  <c r="P273" i="27"/>
  <c r="P274" i="27"/>
  <c r="P275" i="27"/>
  <c r="P276" i="27"/>
  <c r="P277" i="27"/>
  <c r="P278" i="27"/>
  <c r="P279" i="27"/>
  <c r="P280" i="27"/>
  <c r="K280" i="27" s="1"/>
  <c r="L280" i="27" s="1"/>
  <c r="M280" i="27" s="1"/>
  <c r="P281" i="27"/>
  <c r="P282" i="27"/>
  <c r="P283" i="27"/>
  <c r="P284" i="27"/>
  <c r="P285" i="27"/>
  <c r="P286" i="27"/>
  <c r="P287" i="27"/>
  <c r="P288" i="27"/>
  <c r="P289" i="27"/>
  <c r="P290" i="27"/>
  <c r="P291" i="27"/>
  <c r="P292" i="27"/>
  <c r="P293" i="27"/>
  <c r="P294" i="27"/>
  <c r="P295" i="27"/>
  <c r="P296" i="27"/>
  <c r="P297" i="27"/>
  <c r="P298" i="27"/>
  <c r="P299" i="27"/>
  <c r="P300" i="27"/>
  <c r="P301" i="27"/>
  <c r="P302" i="27"/>
  <c r="P303" i="27"/>
  <c r="P304" i="27"/>
  <c r="P305" i="27"/>
  <c r="P306" i="27"/>
  <c r="P307" i="27"/>
  <c r="P308" i="27"/>
  <c r="P309" i="27"/>
  <c r="J3" i="26"/>
  <c r="J4" i="26"/>
  <c r="J5" i="26"/>
  <c r="J6" i="26"/>
  <c r="J7" i="26"/>
  <c r="J8" i="26"/>
  <c r="J9" i="26"/>
  <c r="J10" i="26"/>
  <c r="J11" i="26"/>
  <c r="J12" i="26"/>
  <c r="J13" i="26"/>
  <c r="J14" i="26"/>
  <c r="J15" i="26"/>
  <c r="J16" i="26"/>
  <c r="J17" i="26"/>
  <c r="J18" i="26"/>
  <c r="J19" i="26"/>
  <c r="J20" i="26"/>
  <c r="J21" i="26"/>
  <c r="J22" i="26"/>
  <c r="J23" i="26"/>
  <c r="J24" i="26"/>
  <c r="J25" i="26"/>
  <c r="J26" i="26"/>
  <c r="J27" i="26"/>
  <c r="J28" i="26"/>
  <c r="J29" i="26"/>
  <c r="J30" i="26"/>
  <c r="J31" i="26"/>
  <c r="J32" i="26"/>
  <c r="J33" i="26"/>
  <c r="J34" i="26"/>
  <c r="J35" i="26"/>
  <c r="J36" i="26"/>
  <c r="J37" i="26"/>
  <c r="J38" i="26"/>
  <c r="J39" i="26"/>
  <c r="J40" i="26"/>
  <c r="J41" i="26"/>
  <c r="J42" i="26"/>
  <c r="J43" i="26"/>
  <c r="J44" i="26"/>
  <c r="J45" i="26"/>
  <c r="J46" i="26"/>
  <c r="J47" i="26"/>
  <c r="J48" i="26"/>
  <c r="J49" i="26"/>
  <c r="J50" i="26"/>
  <c r="J51" i="26"/>
  <c r="J52" i="26"/>
  <c r="J53" i="26"/>
  <c r="J54" i="26"/>
  <c r="J55" i="26"/>
  <c r="J56" i="26"/>
  <c r="J57" i="26"/>
  <c r="J58" i="26"/>
  <c r="J59" i="26"/>
  <c r="J60" i="26"/>
  <c r="J61" i="26"/>
  <c r="J62" i="26"/>
  <c r="J63" i="26"/>
  <c r="J64" i="26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83" i="26"/>
  <c r="J84" i="26"/>
  <c r="J85" i="26"/>
  <c r="J86" i="26"/>
  <c r="J87" i="26"/>
  <c r="J88" i="26"/>
  <c r="J89" i="26"/>
  <c r="J90" i="26"/>
  <c r="J91" i="26"/>
  <c r="J92" i="26"/>
  <c r="J93" i="26"/>
  <c r="J94" i="26"/>
  <c r="J95" i="26"/>
  <c r="J96" i="26"/>
  <c r="J97" i="26"/>
  <c r="J98" i="26"/>
  <c r="J99" i="26"/>
  <c r="J100" i="26"/>
  <c r="J101" i="26"/>
  <c r="J102" i="26"/>
  <c r="J103" i="26"/>
  <c r="J104" i="26"/>
  <c r="J105" i="26"/>
  <c r="J106" i="26"/>
  <c r="J107" i="26"/>
  <c r="J108" i="26"/>
  <c r="J109" i="26"/>
  <c r="J110" i="26"/>
  <c r="J111" i="26"/>
  <c r="J112" i="26"/>
  <c r="J113" i="26"/>
  <c r="J114" i="26"/>
  <c r="J115" i="26"/>
  <c r="J116" i="26"/>
  <c r="J117" i="26"/>
  <c r="J118" i="26"/>
  <c r="J119" i="26"/>
  <c r="J120" i="26"/>
  <c r="J121" i="26"/>
  <c r="J122" i="26"/>
  <c r="J123" i="26"/>
  <c r="J124" i="26"/>
  <c r="J125" i="26"/>
  <c r="J126" i="26"/>
  <c r="J127" i="26"/>
  <c r="J128" i="26"/>
  <c r="J129" i="26"/>
  <c r="J130" i="26"/>
  <c r="J131" i="26"/>
  <c r="J132" i="26"/>
  <c r="J133" i="26"/>
  <c r="J134" i="26"/>
  <c r="J135" i="26"/>
  <c r="J136" i="26"/>
  <c r="J137" i="26"/>
  <c r="J138" i="26"/>
  <c r="J139" i="26"/>
  <c r="J140" i="26"/>
  <c r="J141" i="26"/>
  <c r="J142" i="26"/>
  <c r="J143" i="26"/>
  <c r="J144" i="26"/>
  <c r="J145" i="26"/>
  <c r="J146" i="26"/>
  <c r="J147" i="26"/>
  <c r="J148" i="26"/>
  <c r="J149" i="26"/>
  <c r="J150" i="26"/>
  <c r="J151" i="26"/>
  <c r="J152" i="26"/>
  <c r="J153" i="26"/>
  <c r="J154" i="26"/>
  <c r="J155" i="26"/>
  <c r="J156" i="26"/>
  <c r="J157" i="26"/>
  <c r="J158" i="26"/>
  <c r="J159" i="26"/>
  <c r="J160" i="26"/>
  <c r="J161" i="26"/>
  <c r="J162" i="26"/>
  <c r="J163" i="26"/>
  <c r="J164" i="26"/>
  <c r="J165" i="26"/>
  <c r="J166" i="26"/>
  <c r="J167" i="26"/>
  <c r="J168" i="26"/>
  <c r="J169" i="26"/>
  <c r="J170" i="26"/>
  <c r="J171" i="26"/>
  <c r="J172" i="26"/>
  <c r="J173" i="26"/>
  <c r="J174" i="26"/>
  <c r="J175" i="26"/>
  <c r="J176" i="26"/>
  <c r="J177" i="26"/>
  <c r="J178" i="26"/>
  <c r="J179" i="26"/>
  <c r="J180" i="26"/>
  <c r="J181" i="26"/>
  <c r="J182" i="26"/>
  <c r="J183" i="26"/>
  <c r="J184" i="26"/>
  <c r="J185" i="26"/>
  <c r="J186" i="26"/>
  <c r="J187" i="26"/>
  <c r="J188" i="26"/>
  <c r="J189" i="26"/>
  <c r="J190" i="26"/>
  <c r="J191" i="26"/>
  <c r="J192" i="26"/>
  <c r="J193" i="26"/>
  <c r="J194" i="26"/>
  <c r="J195" i="26"/>
  <c r="J196" i="26"/>
  <c r="J197" i="26"/>
  <c r="J198" i="26"/>
  <c r="J199" i="26"/>
  <c r="J200" i="26"/>
  <c r="J201" i="26"/>
  <c r="J202" i="26"/>
  <c r="J203" i="26"/>
  <c r="J204" i="26"/>
  <c r="J205" i="26"/>
  <c r="J206" i="26"/>
  <c r="J207" i="26"/>
  <c r="J208" i="26"/>
  <c r="J209" i="26"/>
  <c r="J210" i="26"/>
  <c r="J211" i="26"/>
  <c r="J212" i="26"/>
  <c r="J213" i="26"/>
  <c r="J214" i="26"/>
  <c r="J215" i="26"/>
  <c r="J216" i="26"/>
  <c r="J217" i="26"/>
  <c r="J218" i="26"/>
  <c r="J219" i="26"/>
  <c r="J220" i="26"/>
  <c r="J221" i="26"/>
  <c r="J222" i="26"/>
  <c r="J223" i="26"/>
  <c r="J224" i="26"/>
  <c r="J225" i="26"/>
  <c r="J226" i="26"/>
  <c r="J227" i="26"/>
  <c r="J228" i="26"/>
  <c r="J229" i="26"/>
  <c r="J230" i="26"/>
  <c r="J231" i="26"/>
  <c r="J232" i="26"/>
  <c r="J233" i="26"/>
  <c r="J234" i="26"/>
  <c r="J235" i="26"/>
  <c r="J236" i="26"/>
  <c r="J237" i="26"/>
  <c r="J238" i="26"/>
  <c r="J239" i="26"/>
  <c r="J240" i="26"/>
  <c r="J241" i="26"/>
  <c r="J242" i="26"/>
  <c r="J243" i="26"/>
  <c r="J244" i="26"/>
  <c r="J245" i="26"/>
  <c r="J246" i="26"/>
  <c r="J247" i="26"/>
  <c r="J248" i="26"/>
  <c r="J249" i="26"/>
  <c r="J250" i="26"/>
  <c r="J251" i="26"/>
  <c r="J252" i="26"/>
  <c r="J253" i="26"/>
  <c r="J254" i="26"/>
  <c r="J255" i="26"/>
  <c r="J256" i="26"/>
  <c r="J257" i="26"/>
  <c r="J258" i="26"/>
  <c r="J259" i="26"/>
  <c r="J260" i="26"/>
  <c r="J261" i="26"/>
  <c r="J262" i="26"/>
  <c r="J263" i="26"/>
  <c r="J264" i="26"/>
  <c r="J265" i="26"/>
  <c r="J266" i="26"/>
  <c r="J267" i="26"/>
  <c r="J268" i="26"/>
  <c r="J269" i="26"/>
  <c r="J270" i="26"/>
  <c r="J271" i="26"/>
  <c r="J272" i="26"/>
  <c r="J273" i="26"/>
  <c r="J274" i="26"/>
  <c r="J275" i="26"/>
  <c r="J276" i="26"/>
  <c r="J277" i="26"/>
  <c r="J278" i="26"/>
  <c r="J279" i="26"/>
  <c r="J280" i="26"/>
  <c r="J281" i="26"/>
  <c r="J282" i="26"/>
  <c r="J283" i="26"/>
  <c r="J284" i="26"/>
  <c r="J285" i="26"/>
  <c r="J286" i="26"/>
  <c r="J287" i="26"/>
  <c r="J288" i="26"/>
  <c r="J289" i="26"/>
  <c r="J290" i="26"/>
  <c r="J291" i="26"/>
  <c r="J292" i="26"/>
  <c r="J293" i="26"/>
  <c r="J294" i="26"/>
  <c r="J295" i="26"/>
  <c r="J296" i="26"/>
  <c r="J297" i="26"/>
  <c r="J298" i="26"/>
  <c r="J299" i="26"/>
  <c r="J300" i="26"/>
  <c r="J301" i="26"/>
  <c r="J302" i="26"/>
  <c r="J303" i="26"/>
  <c r="J304" i="26"/>
  <c r="J305" i="26"/>
  <c r="J306" i="26"/>
  <c r="J307" i="26"/>
  <c r="J308" i="26"/>
  <c r="J309" i="26"/>
  <c r="J310" i="26"/>
  <c r="J311" i="26"/>
  <c r="J312" i="26"/>
  <c r="J313" i="26"/>
  <c r="J314" i="26"/>
  <c r="J315" i="26"/>
  <c r="J316" i="26"/>
  <c r="J317" i="26"/>
  <c r="J318" i="26"/>
  <c r="J319" i="26"/>
  <c r="J320" i="26"/>
  <c r="J321" i="26"/>
  <c r="J322" i="26"/>
  <c r="J323" i="26"/>
  <c r="J324" i="26"/>
  <c r="J325" i="26"/>
  <c r="J326" i="26"/>
  <c r="J327" i="26"/>
  <c r="J328" i="26"/>
  <c r="J329" i="26"/>
  <c r="J330" i="26"/>
  <c r="J331" i="26"/>
  <c r="J332" i="26"/>
  <c r="J333" i="26"/>
  <c r="J334" i="26"/>
  <c r="J335" i="26"/>
  <c r="J336" i="26"/>
  <c r="J337" i="26"/>
  <c r="J338" i="26"/>
  <c r="J339" i="26"/>
  <c r="J340" i="26"/>
  <c r="J341" i="26"/>
  <c r="J342" i="26"/>
  <c r="J343" i="26"/>
  <c r="J344" i="26"/>
  <c r="J345" i="26"/>
  <c r="J346" i="26"/>
  <c r="J347" i="26"/>
  <c r="J348" i="26"/>
  <c r="J349" i="26"/>
  <c r="J350" i="26"/>
  <c r="J351" i="26"/>
  <c r="J352" i="26"/>
  <c r="J353" i="26"/>
  <c r="J354" i="26"/>
  <c r="J355" i="26"/>
  <c r="J356" i="26"/>
  <c r="J357" i="26"/>
  <c r="J358" i="26"/>
  <c r="J359" i="26"/>
  <c r="J360" i="26"/>
  <c r="J361" i="26"/>
  <c r="J362" i="26"/>
  <c r="J363" i="26"/>
  <c r="J364" i="26"/>
  <c r="J365" i="26"/>
  <c r="J366" i="26"/>
  <c r="J367" i="26"/>
  <c r="J368" i="26"/>
  <c r="J369" i="26"/>
  <c r="J370" i="26"/>
  <c r="J371" i="26"/>
  <c r="J372" i="26"/>
  <c r="J373" i="26"/>
  <c r="J374" i="26"/>
  <c r="N374" i="26" s="1"/>
  <c r="J375" i="26"/>
  <c r="J376" i="26"/>
  <c r="J377" i="26"/>
  <c r="J378" i="26"/>
  <c r="J379" i="26"/>
  <c r="J380" i="26"/>
  <c r="J381" i="26"/>
  <c r="J382" i="26"/>
  <c r="J383" i="26"/>
  <c r="J384" i="26"/>
  <c r="J385" i="26"/>
  <c r="J386" i="26"/>
  <c r="N386" i="26" s="1"/>
  <c r="J387" i="26"/>
  <c r="J388" i="26"/>
  <c r="J389" i="26"/>
  <c r="J390" i="26"/>
  <c r="J391" i="26"/>
  <c r="J392" i="26"/>
  <c r="J393" i="26"/>
  <c r="J394" i="26"/>
  <c r="J395" i="26"/>
  <c r="J396" i="26"/>
  <c r="J397" i="26"/>
  <c r="J398" i="26"/>
  <c r="N398" i="26" s="1"/>
  <c r="J399" i="26"/>
  <c r="J400" i="26"/>
  <c r="J401" i="26"/>
  <c r="J402" i="26"/>
  <c r="J403" i="26"/>
  <c r="J404" i="26"/>
  <c r="J405" i="26"/>
  <c r="J406" i="26"/>
  <c r="J407" i="26"/>
  <c r="J408" i="26"/>
  <c r="J409" i="26"/>
  <c r="J410" i="26"/>
  <c r="N410" i="26" s="1"/>
  <c r="J411" i="26"/>
  <c r="J412" i="26"/>
  <c r="J413" i="26"/>
  <c r="J414" i="26"/>
  <c r="J415" i="26"/>
  <c r="J416" i="26"/>
  <c r="J417" i="26"/>
  <c r="J418" i="26"/>
  <c r="J419" i="26"/>
  <c r="J420" i="26"/>
  <c r="J421" i="26"/>
  <c r="J422" i="26"/>
  <c r="N422" i="26" s="1"/>
  <c r="J423" i="26"/>
  <c r="J424" i="26"/>
  <c r="J425" i="26"/>
  <c r="J426" i="26"/>
  <c r="J427" i="26"/>
  <c r="J428" i="26"/>
  <c r="J429" i="26"/>
  <c r="J430" i="26"/>
  <c r="J431" i="26"/>
  <c r="J432" i="26"/>
  <c r="J433" i="26"/>
  <c r="J434" i="26"/>
  <c r="J435" i="26"/>
  <c r="J436" i="26"/>
  <c r="J437" i="26"/>
  <c r="J438" i="26"/>
  <c r="J439" i="26"/>
  <c r="J440" i="26"/>
  <c r="J441" i="26"/>
  <c r="J442" i="26"/>
  <c r="J443" i="26"/>
  <c r="J444" i="26"/>
  <c r="J445" i="26"/>
  <c r="J446" i="26"/>
  <c r="J447" i="26"/>
  <c r="J448" i="26"/>
  <c r="J449" i="26"/>
  <c r="J450" i="26"/>
  <c r="J451" i="26"/>
  <c r="J452" i="26"/>
  <c r="J453" i="26"/>
  <c r="J454" i="26"/>
  <c r="J455" i="26"/>
  <c r="J456" i="26"/>
  <c r="J457" i="26"/>
  <c r="J458" i="26"/>
  <c r="J459" i="26"/>
  <c r="J460" i="26"/>
  <c r="J461" i="26"/>
  <c r="J462" i="26"/>
  <c r="J463" i="26"/>
  <c r="J464" i="26"/>
  <c r="J465" i="26"/>
  <c r="J466" i="26"/>
  <c r="J467" i="26"/>
  <c r="J468" i="26"/>
  <c r="J469" i="26"/>
  <c r="J470" i="26"/>
  <c r="J471" i="26"/>
  <c r="J472" i="26"/>
  <c r="J473" i="26"/>
  <c r="J474" i="26"/>
  <c r="J475" i="26"/>
  <c r="J476" i="26"/>
  <c r="J477" i="26"/>
  <c r="J478" i="26"/>
  <c r="J479" i="26"/>
  <c r="J480" i="26"/>
  <c r="J481" i="26"/>
  <c r="J482" i="26"/>
  <c r="J483" i="26"/>
  <c r="J484" i="26"/>
  <c r="J485" i="26"/>
  <c r="J486" i="26"/>
  <c r="J487" i="26"/>
  <c r="J488" i="26"/>
  <c r="J489" i="26"/>
  <c r="J490" i="26"/>
  <c r="J491" i="26"/>
  <c r="J492" i="26"/>
  <c r="J493" i="26"/>
  <c r="J494" i="26"/>
  <c r="J495" i="26"/>
  <c r="J496" i="26"/>
  <c r="J497" i="26"/>
  <c r="J498" i="26"/>
  <c r="J499" i="26"/>
  <c r="J500" i="26"/>
  <c r="J501" i="26"/>
  <c r="J502" i="26"/>
  <c r="J503" i="26"/>
  <c r="J504" i="26"/>
  <c r="J505" i="26"/>
  <c r="J506" i="26"/>
  <c r="J507" i="26"/>
  <c r="J508" i="26"/>
  <c r="J509" i="26"/>
  <c r="J510" i="26"/>
  <c r="J511" i="26"/>
  <c r="J512" i="26"/>
  <c r="J513" i="26"/>
  <c r="J514" i="26"/>
  <c r="J515" i="26"/>
  <c r="J516" i="26"/>
  <c r="J517" i="26"/>
  <c r="J518" i="26"/>
  <c r="J519" i="26"/>
  <c r="J520" i="26"/>
  <c r="J521" i="26"/>
  <c r="J522" i="26"/>
  <c r="J523" i="26"/>
  <c r="J524" i="26"/>
  <c r="J525" i="26"/>
  <c r="J526" i="26"/>
  <c r="J527" i="26"/>
  <c r="J528" i="26"/>
  <c r="J529" i="26"/>
  <c r="J530" i="26"/>
  <c r="J531" i="26"/>
  <c r="J532" i="26"/>
  <c r="J533" i="26"/>
  <c r="J534" i="26"/>
  <c r="J535" i="26"/>
  <c r="J536" i="26"/>
  <c r="J537" i="26"/>
  <c r="J538" i="26"/>
  <c r="J539" i="26"/>
  <c r="J540" i="26"/>
  <c r="J541" i="26"/>
  <c r="J542" i="26"/>
  <c r="J543" i="26"/>
  <c r="J544" i="26"/>
  <c r="J545" i="26"/>
  <c r="J546" i="26"/>
  <c r="J547" i="26"/>
  <c r="J548" i="26"/>
  <c r="J549" i="26"/>
  <c r="J550" i="26"/>
  <c r="J551" i="26"/>
  <c r="J552" i="26"/>
  <c r="J553" i="26"/>
  <c r="J554" i="26"/>
  <c r="J555" i="26"/>
  <c r="J556" i="26"/>
  <c r="J557" i="26"/>
  <c r="J558" i="26"/>
  <c r="J559" i="26"/>
  <c r="J560" i="26"/>
  <c r="J561" i="26"/>
  <c r="J562" i="26"/>
  <c r="J563" i="26"/>
  <c r="J564" i="26"/>
  <c r="J565" i="26"/>
  <c r="J566" i="26"/>
  <c r="J567" i="26"/>
  <c r="J568" i="26"/>
  <c r="J569" i="26"/>
  <c r="J570" i="26"/>
  <c r="J571" i="26"/>
  <c r="J572" i="26"/>
  <c r="J573" i="26"/>
  <c r="J574" i="26"/>
  <c r="J575" i="26"/>
  <c r="J576" i="26"/>
  <c r="J577" i="26"/>
  <c r="J578" i="26"/>
  <c r="J579" i="26"/>
  <c r="J580" i="26"/>
  <c r="J581" i="26"/>
  <c r="J582" i="26"/>
  <c r="J583" i="26"/>
  <c r="J584" i="26"/>
  <c r="J585" i="26"/>
  <c r="J586" i="26"/>
  <c r="J587" i="26"/>
  <c r="J588" i="26"/>
  <c r="J589" i="26"/>
  <c r="J590" i="26"/>
  <c r="J591" i="26"/>
  <c r="J592" i="26"/>
  <c r="J593" i="26"/>
  <c r="J594" i="26"/>
  <c r="J595" i="26"/>
  <c r="J596" i="26"/>
  <c r="J597" i="26"/>
  <c r="J598" i="26"/>
  <c r="J599" i="26"/>
  <c r="J600" i="26"/>
  <c r="J601" i="26"/>
  <c r="J602" i="26"/>
  <c r="J603" i="26"/>
  <c r="J604" i="26"/>
  <c r="J605" i="26"/>
  <c r="J606" i="26"/>
  <c r="J607" i="26"/>
  <c r="J608" i="26"/>
  <c r="J609" i="26"/>
  <c r="J610" i="26"/>
  <c r="J611" i="26"/>
  <c r="J612" i="26"/>
  <c r="J613" i="26"/>
  <c r="J614" i="26"/>
  <c r="J615" i="26"/>
  <c r="J616" i="26"/>
  <c r="J617" i="26"/>
  <c r="J618" i="26"/>
  <c r="J619" i="26"/>
  <c r="J620" i="26"/>
  <c r="J621" i="26"/>
  <c r="J622" i="26"/>
  <c r="J623" i="26"/>
  <c r="J624" i="26"/>
  <c r="J625" i="26"/>
  <c r="J626" i="26"/>
  <c r="J627" i="26"/>
  <c r="J628" i="26"/>
  <c r="J629" i="26"/>
  <c r="J630" i="26"/>
  <c r="J631" i="26"/>
  <c r="J632" i="26"/>
  <c r="J633" i="26"/>
  <c r="J634" i="26"/>
  <c r="J635" i="26"/>
  <c r="J636" i="26"/>
  <c r="J637" i="26"/>
  <c r="J638" i="26"/>
  <c r="J639" i="26"/>
  <c r="J640" i="26"/>
  <c r="J641" i="26"/>
  <c r="J642" i="26"/>
  <c r="J643" i="26"/>
  <c r="J644" i="26"/>
  <c r="J645" i="26"/>
  <c r="J646" i="26"/>
  <c r="J647" i="26"/>
  <c r="J648" i="26"/>
  <c r="J649" i="26"/>
  <c r="J650" i="26"/>
  <c r="J651" i="26"/>
  <c r="J652" i="26"/>
  <c r="J653" i="26"/>
  <c r="J654" i="26"/>
  <c r="J655" i="26"/>
  <c r="J656" i="26"/>
  <c r="J657" i="26"/>
  <c r="J658" i="26"/>
  <c r="J659" i="26"/>
  <c r="J660" i="26"/>
  <c r="J661" i="26"/>
  <c r="J662" i="26"/>
  <c r="J663" i="26"/>
  <c r="J664" i="26"/>
  <c r="J665" i="26"/>
  <c r="J666" i="26"/>
  <c r="J667" i="26"/>
  <c r="J668" i="26"/>
  <c r="J669" i="26"/>
  <c r="J670" i="26"/>
  <c r="J671" i="26"/>
  <c r="J672" i="26"/>
  <c r="J673" i="26"/>
  <c r="J674" i="26"/>
  <c r="J675" i="26"/>
  <c r="J676" i="26"/>
  <c r="J677" i="26"/>
  <c r="J678" i="26"/>
  <c r="J679" i="26"/>
  <c r="J680" i="26"/>
  <c r="J681" i="26"/>
  <c r="J682" i="26"/>
  <c r="J683" i="26"/>
  <c r="J684" i="26"/>
  <c r="J685" i="26"/>
  <c r="J686" i="26"/>
  <c r="J687" i="26"/>
  <c r="J688" i="26"/>
  <c r="J689" i="26"/>
  <c r="J690" i="26"/>
  <c r="J691" i="26"/>
  <c r="J692" i="26"/>
  <c r="J693" i="26"/>
  <c r="J694" i="26"/>
  <c r="J695" i="26"/>
  <c r="J696" i="26"/>
  <c r="J697" i="26"/>
  <c r="J698" i="26"/>
  <c r="J699" i="26"/>
  <c r="J700" i="26"/>
  <c r="J701" i="26"/>
  <c r="J702" i="26"/>
  <c r="J703" i="26"/>
  <c r="J704" i="26"/>
  <c r="J705" i="26"/>
  <c r="J706" i="26"/>
  <c r="J707" i="26"/>
  <c r="J708" i="26"/>
  <c r="J709" i="26"/>
  <c r="J710" i="26"/>
  <c r="J711" i="26"/>
  <c r="J712" i="26"/>
  <c r="J713" i="26"/>
  <c r="J714" i="26"/>
  <c r="J715" i="26"/>
  <c r="J716" i="26"/>
  <c r="J717" i="26"/>
  <c r="J718" i="26"/>
  <c r="J719" i="26"/>
  <c r="J720" i="26"/>
  <c r="J721" i="26"/>
  <c r="J722" i="26"/>
  <c r="J723" i="26"/>
  <c r="J724" i="26"/>
  <c r="J725" i="26"/>
  <c r="J726" i="26"/>
  <c r="J727" i="26"/>
  <c r="J728" i="26"/>
  <c r="J729" i="26"/>
  <c r="J730" i="26"/>
  <c r="J731" i="26"/>
  <c r="J732" i="26"/>
  <c r="J733" i="26"/>
  <c r="J734" i="26"/>
  <c r="J735" i="26"/>
  <c r="J736" i="26"/>
  <c r="J737" i="26"/>
  <c r="J738" i="26"/>
  <c r="J739" i="26"/>
  <c r="J740" i="26"/>
  <c r="J741" i="26"/>
  <c r="J742" i="26"/>
  <c r="J743" i="26"/>
  <c r="J744" i="26"/>
  <c r="J745" i="26"/>
  <c r="J746" i="26"/>
  <c r="J747" i="26"/>
  <c r="J748" i="26"/>
  <c r="J749" i="26"/>
  <c r="J750" i="26"/>
  <c r="J751" i="26"/>
  <c r="J752" i="26"/>
  <c r="J753" i="26"/>
  <c r="J754" i="26"/>
  <c r="J755" i="26"/>
  <c r="J756" i="26"/>
  <c r="J757" i="26"/>
  <c r="J758" i="26"/>
  <c r="J759" i="26"/>
  <c r="J760" i="26"/>
  <c r="J761" i="26"/>
  <c r="J762" i="26"/>
  <c r="J763" i="26"/>
  <c r="J764" i="26"/>
  <c r="J765" i="26"/>
  <c r="J766" i="26"/>
  <c r="J767" i="26"/>
  <c r="J768" i="26"/>
  <c r="J769" i="26"/>
  <c r="J770" i="26"/>
  <c r="J771" i="26"/>
  <c r="J772" i="26"/>
  <c r="J773" i="26"/>
  <c r="J774" i="26"/>
  <c r="J775" i="26"/>
  <c r="J776" i="26"/>
  <c r="J777" i="26"/>
  <c r="J778" i="26"/>
  <c r="J779" i="26"/>
  <c r="J780" i="26"/>
  <c r="J781" i="26"/>
  <c r="J782" i="26"/>
  <c r="J783" i="26"/>
  <c r="J784" i="26"/>
  <c r="J785" i="26"/>
  <c r="J786" i="26"/>
  <c r="J787" i="26"/>
  <c r="J788" i="26"/>
  <c r="J789" i="26"/>
  <c r="J790" i="26"/>
  <c r="J791" i="26"/>
  <c r="J792" i="26"/>
  <c r="J793" i="26"/>
  <c r="J794" i="26"/>
  <c r="J795" i="26"/>
  <c r="J796" i="26"/>
  <c r="J797" i="26"/>
  <c r="J798" i="26"/>
  <c r="J799" i="26"/>
  <c r="J800" i="26"/>
  <c r="J801" i="26"/>
  <c r="J802" i="26"/>
  <c r="J803" i="26"/>
  <c r="J804" i="26"/>
  <c r="J805" i="26"/>
  <c r="J806" i="26"/>
  <c r="J807" i="26"/>
  <c r="J808" i="26"/>
  <c r="J809" i="26"/>
  <c r="J810" i="26"/>
  <c r="J811" i="26"/>
  <c r="J812" i="26"/>
  <c r="J813" i="26"/>
  <c r="J814" i="26"/>
  <c r="J815" i="26"/>
  <c r="J816" i="26"/>
  <c r="J817" i="26"/>
  <c r="J818" i="26"/>
  <c r="J819" i="26"/>
  <c r="J820" i="26"/>
  <c r="J821" i="26"/>
  <c r="J822" i="26"/>
  <c r="J823" i="26"/>
  <c r="J824" i="26"/>
  <c r="J825" i="26"/>
  <c r="J826" i="26"/>
  <c r="J827" i="26"/>
  <c r="J828" i="26"/>
  <c r="J829" i="26"/>
  <c r="J830" i="26"/>
  <c r="J831" i="26"/>
  <c r="J832" i="26"/>
  <c r="J833" i="26"/>
  <c r="J834" i="26"/>
  <c r="J835" i="26"/>
  <c r="J836" i="26"/>
  <c r="J837" i="26"/>
  <c r="J838" i="26"/>
  <c r="J839" i="26"/>
  <c r="J840" i="26"/>
  <c r="J841" i="26"/>
  <c r="J842" i="26"/>
  <c r="J843" i="26"/>
  <c r="J844" i="26"/>
  <c r="J845" i="26"/>
  <c r="J846" i="26"/>
  <c r="J847" i="26"/>
  <c r="J848" i="26"/>
  <c r="J849" i="26"/>
  <c r="J850" i="26"/>
  <c r="J851" i="26"/>
  <c r="J852" i="26"/>
  <c r="J853" i="26"/>
  <c r="J854" i="26"/>
  <c r="J855" i="26"/>
  <c r="J856" i="26"/>
  <c r="J857" i="26"/>
  <c r="J858" i="26"/>
  <c r="J859" i="26"/>
  <c r="J860" i="26"/>
  <c r="J861" i="26"/>
  <c r="J862" i="26"/>
  <c r="J863" i="26"/>
  <c r="J864" i="26"/>
  <c r="J865" i="26"/>
  <c r="J866" i="26"/>
  <c r="J867" i="26"/>
  <c r="J868" i="26"/>
  <c r="J869" i="26"/>
  <c r="J870" i="26"/>
  <c r="J871" i="26"/>
  <c r="J872" i="26"/>
  <c r="J873" i="26"/>
  <c r="J874" i="26"/>
  <c r="J875" i="26"/>
  <c r="J876" i="26"/>
  <c r="J877" i="26"/>
  <c r="J878" i="26"/>
  <c r="J879" i="26"/>
  <c r="J880" i="26"/>
  <c r="J881" i="26"/>
  <c r="J882" i="26"/>
  <c r="J883" i="26"/>
  <c r="J884" i="26"/>
  <c r="J885" i="26"/>
  <c r="J886" i="26"/>
  <c r="J887" i="26"/>
  <c r="J888" i="26"/>
  <c r="J889" i="26"/>
  <c r="J890" i="26"/>
  <c r="J891" i="26"/>
  <c r="J892" i="26"/>
  <c r="J893" i="26"/>
  <c r="J894" i="26"/>
  <c r="J895" i="26"/>
  <c r="J896" i="26"/>
  <c r="J897" i="26"/>
  <c r="J898" i="26"/>
  <c r="J899" i="26"/>
  <c r="J900" i="26"/>
  <c r="J901" i="26"/>
  <c r="J902" i="26"/>
  <c r="J903" i="26"/>
  <c r="J904" i="26"/>
  <c r="J905" i="26"/>
  <c r="J906" i="26"/>
  <c r="J907" i="26"/>
  <c r="J908" i="26"/>
  <c r="J909" i="26"/>
  <c r="J910" i="26"/>
  <c r="J911" i="26"/>
  <c r="J912" i="26"/>
  <c r="J913" i="26"/>
  <c r="J914" i="26"/>
  <c r="J915" i="26"/>
  <c r="J916" i="26"/>
  <c r="J917" i="26"/>
  <c r="J918" i="26"/>
  <c r="J919" i="26"/>
  <c r="J920" i="26"/>
  <c r="J921" i="26"/>
  <c r="J922" i="26"/>
  <c r="J923" i="26"/>
  <c r="J924" i="26"/>
  <c r="J925" i="26"/>
  <c r="J926" i="26"/>
  <c r="J927" i="26"/>
  <c r="J928" i="26"/>
  <c r="J929" i="26"/>
  <c r="J930" i="26"/>
  <c r="J931" i="26"/>
  <c r="J932" i="26"/>
  <c r="J933" i="26"/>
  <c r="J934" i="26"/>
  <c r="J935" i="26"/>
  <c r="J936" i="26"/>
  <c r="J937" i="26"/>
  <c r="J938" i="26"/>
  <c r="J939" i="26"/>
  <c r="J940" i="26"/>
  <c r="J941" i="26"/>
  <c r="J942" i="26"/>
  <c r="J943" i="26"/>
  <c r="J944" i="26"/>
  <c r="J945" i="26"/>
  <c r="J946" i="26"/>
  <c r="J947" i="26"/>
  <c r="J948" i="26"/>
  <c r="J949" i="26"/>
  <c r="J950" i="26"/>
  <c r="J951" i="26"/>
  <c r="J952" i="26"/>
  <c r="J953" i="26"/>
  <c r="J954" i="26"/>
  <c r="J955" i="26"/>
  <c r="J956" i="26"/>
  <c r="J957" i="26"/>
  <c r="J958" i="26"/>
  <c r="J959" i="26"/>
  <c r="J960" i="26"/>
  <c r="J961" i="26"/>
  <c r="J962" i="26"/>
  <c r="J963" i="26"/>
  <c r="J964" i="26"/>
  <c r="J965" i="26"/>
  <c r="J966" i="26"/>
  <c r="J967" i="26"/>
  <c r="J968" i="26"/>
  <c r="J969" i="26"/>
  <c r="J970" i="26"/>
  <c r="J971" i="26"/>
  <c r="J972" i="26"/>
  <c r="J973" i="26"/>
  <c r="J974" i="26"/>
  <c r="J975" i="26"/>
  <c r="J976" i="26"/>
  <c r="J977" i="26"/>
  <c r="J978" i="26"/>
  <c r="J979" i="26"/>
  <c r="J980" i="26"/>
  <c r="J981" i="26"/>
  <c r="J982" i="26"/>
  <c r="J983" i="26"/>
  <c r="J984" i="26"/>
  <c r="J985" i="26"/>
  <c r="J986" i="26"/>
  <c r="J987" i="26"/>
  <c r="J988" i="26"/>
  <c r="J989" i="26"/>
  <c r="J990" i="26"/>
  <c r="J991" i="26"/>
  <c r="J992" i="26"/>
  <c r="J993" i="26"/>
  <c r="J994" i="26"/>
  <c r="J995" i="26"/>
  <c r="J996" i="26"/>
  <c r="J997" i="26"/>
  <c r="J998" i="26"/>
  <c r="J999" i="26"/>
  <c r="J1000" i="26"/>
  <c r="J1001" i="26"/>
  <c r="J1002" i="26"/>
  <c r="J1003" i="26"/>
  <c r="J1004" i="26"/>
  <c r="J1005" i="26"/>
  <c r="J1006" i="26"/>
  <c r="J1007" i="26"/>
  <c r="J1008" i="26"/>
  <c r="J1009" i="26"/>
  <c r="J1010" i="26"/>
  <c r="J1011" i="26"/>
  <c r="J1012" i="26"/>
  <c r="J1013" i="26"/>
  <c r="J1014" i="26"/>
  <c r="J1015" i="26"/>
  <c r="J1016" i="26"/>
  <c r="J1017" i="26"/>
  <c r="J1018" i="26"/>
  <c r="J1019" i="26"/>
  <c r="J1020" i="26"/>
  <c r="J1021" i="26"/>
  <c r="J1022" i="26"/>
  <c r="J1023" i="26"/>
  <c r="J1024" i="26"/>
  <c r="J1025" i="26"/>
  <c r="J1026" i="26"/>
  <c r="J1027" i="26"/>
  <c r="J1028" i="26"/>
  <c r="J1029" i="26"/>
  <c r="J1030" i="26"/>
  <c r="J1031" i="26"/>
  <c r="J1032" i="26"/>
  <c r="J1033" i="26"/>
  <c r="J1034" i="26"/>
  <c r="J1035" i="26"/>
  <c r="J1036" i="26"/>
  <c r="J1037" i="26"/>
  <c r="J1038" i="26"/>
  <c r="J1039" i="26"/>
  <c r="J1040" i="26"/>
  <c r="J1041" i="26"/>
  <c r="J1042" i="26"/>
  <c r="J1043" i="26"/>
  <c r="J1044" i="26"/>
  <c r="J1045" i="26"/>
  <c r="J1046" i="26"/>
  <c r="J1047" i="26"/>
  <c r="J1048" i="26"/>
  <c r="J1049" i="26"/>
  <c r="J1050" i="26"/>
  <c r="J1051" i="26"/>
  <c r="J1052" i="26"/>
  <c r="J1053" i="26"/>
  <c r="J1054" i="26"/>
  <c r="J1055" i="26"/>
  <c r="J1056" i="26"/>
  <c r="J1057" i="26"/>
  <c r="J1058" i="26"/>
  <c r="J1059" i="26"/>
  <c r="J1060" i="26"/>
  <c r="J1061" i="26"/>
  <c r="J1062" i="26"/>
  <c r="J1063" i="26"/>
  <c r="J1064" i="26"/>
  <c r="J1065" i="26"/>
  <c r="J1066" i="26"/>
  <c r="J1067" i="26"/>
  <c r="J1068" i="26"/>
  <c r="J1069" i="26"/>
  <c r="J1070" i="26"/>
  <c r="J1071" i="26"/>
  <c r="J1072" i="26"/>
  <c r="J1073" i="26"/>
  <c r="J1074" i="26"/>
  <c r="J1075" i="26"/>
  <c r="J1076" i="26"/>
  <c r="J1077" i="26"/>
  <c r="J1078" i="26"/>
  <c r="J1079" i="26"/>
  <c r="J1080" i="26"/>
  <c r="J1081" i="26"/>
  <c r="J1082" i="26"/>
  <c r="J1083" i="26"/>
  <c r="J1084" i="26"/>
  <c r="J1085" i="26"/>
  <c r="J1086" i="26"/>
  <c r="J1087" i="26"/>
  <c r="J1088" i="26"/>
  <c r="J1089" i="26"/>
  <c r="J1090" i="26"/>
  <c r="J1091" i="26"/>
  <c r="J1092" i="26"/>
  <c r="J1093" i="26"/>
  <c r="J1094" i="26"/>
  <c r="J1095" i="26"/>
  <c r="J1096" i="26"/>
  <c r="J1097" i="26"/>
  <c r="J1098" i="26"/>
  <c r="J1099" i="26"/>
  <c r="J1100" i="26"/>
  <c r="J1101" i="26"/>
  <c r="J1102" i="26"/>
  <c r="J1103" i="26"/>
  <c r="J1104" i="26"/>
  <c r="J1105" i="26"/>
  <c r="J1106" i="26"/>
  <c r="J1107" i="26"/>
  <c r="J1108" i="26"/>
  <c r="J1109" i="26"/>
  <c r="J1110" i="26"/>
  <c r="J1111" i="26"/>
  <c r="J1112" i="26"/>
  <c r="J1113" i="26"/>
  <c r="J1114" i="26"/>
  <c r="J1115" i="26"/>
  <c r="J1116" i="26"/>
  <c r="J1117" i="26"/>
  <c r="J1118" i="26"/>
  <c r="J1119" i="26"/>
  <c r="J1120" i="26"/>
  <c r="J1121" i="26"/>
  <c r="J1122" i="26"/>
  <c r="J1123" i="26"/>
  <c r="J1124" i="26"/>
  <c r="J1125" i="26"/>
  <c r="J1126" i="26"/>
  <c r="J1127" i="26"/>
  <c r="J1128" i="26"/>
  <c r="J1129" i="26"/>
  <c r="J1130" i="26"/>
  <c r="J1131" i="26"/>
  <c r="J1132" i="26"/>
  <c r="J1133" i="26"/>
  <c r="J1134" i="26"/>
  <c r="J1135" i="26"/>
  <c r="J1136" i="26"/>
  <c r="J1137" i="26"/>
  <c r="J1138" i="26"/>
  <c r="J1139" i="26"/>
  <c r="J1140" i="26"/>
  <c r="J1141" i="26"/>
  <c r="J1142" i="26"/>
  <c r="J1143" i="26"/>
  <c r="J1144" i="26"/>
  <c r="J1145" i="26"/>
  <c r="J1146" i="26"/>
  <c r="J1147" i="26"/>
  <c r="J1148" i="26"/>
  <c r="J1149" i="26"/>
  <c r="J1150" i="26"/>
  <c r="J1151" i="26"/>
  <c r="J1152" i="26"/>
  <c r="J1153" i="26"/>
  <c r="J1154" i="26"/>
  <c r="J1155" i="26"/>
  <c r="J1156" i="26"/>
  <c r="J1157" i="26"/>
  <c r="J1158" i="26"/>
  <c r="J1159" i="26"/>
  <c r="J1160" i="26"/>
  <c r="J1161" i="26"/>
  <c r="J1162" i="26"/>
  <c r="J1163" i="26"/>
  <c r="J1164" i="26"/>
  <c r="J1165" i="26"/>
  <c r="J1166" i="26"/>
  <c r="J1167" i="26"/>
  <c r="J1168" i="26"/>
  <c r="J1169" i="26"/>
  <c r="J1170" i="26"/>
  <c r="J1171" i="26"/>
  <c r="J1172" i="26"/>
  <c r="J1173" i="26"/>
  <c r="J1174" i="26"/>
  <c r="J1175" i="26"/>
  <c r="J1176" i="26"/>
  <c r="J1177" i="26"/>
  <c r="J1178" i="26"/>
  <c r="J1179" i="26"/>
  <c r="J1180" i="26"/>
  <c r="J1181" i="26"/>
  <c r="J1182" i="26"/>
  <c r="J1183" i="26"/>
  <c r="J1184" i="26"/>
  <c r="J1185" i="26"/>
  <c r="J1186" i="26"/>
  <c r="J1187" i="26"/>
  <c r="J1188" i="26"/>
  <c r="J1189" i="26"/>
  <c r="J1190" i="26"/>
  <c r="J1191" i="26"/>
  <c r="J1192" i="26"/>
  <c r="J1193" i="26"/>
  <c r="J1194" i="26"/>
  <c r="J1195" i="26"/>
  <c r="J1196" i="26"/>
  <c r="J1197" i="26"/>
  <c r="J1198" i="26"/>
  <c r="J1199" i="26"/>
  <c r="J1200" i="26"/>
  <c r="J1201" i="26"/>
  <c r="J1202" i="26"/>
  <c r="J1203" i="26"/>
  <c r="J1204" i="26"/>
  <c r="J1205" i="26"/>
  <c r="J1206" i="26"/>
  <c r="J1207" i="26"/>
  <c r="J1208" i="26"/>
  <c r="J1209" i="26"/>
  <c r="J1210" i="26"/>
  <c r="J1211" i="26"/>
  <c r="J1212" i="26"/>
  <c r="J1213" i="26"/>
  <c r="J1214" i="26"/>
  <c r="J1215" i="26"/>
  <c r="J1216" i="26"/>
  <c r="J1217" i="26"/>
  <c r="J1218" i="26"/>
  <c r="J1219" i="26"/>
  <c r="J1220" i="26"/>
  <c r="J1221" i="26"/>
  <c r="J1222" i="26"/>
  <c r="J1223" i="26"/>
  <c r="J1224" i="26"/>
  <c r="J1225" i="26"/>
  <c r="J1226" i="26"/>
  <c r="J1227" i="26"/>
  <c r="J1228" i="26"/>
  <c r="J1229" i="26"/>
  <c r="J1230" i="26"/>
  <c r="J1231" i="26"/>
  <c r="J1232" i="26"/>
  <c r="J1233" i="26"/>
  <c r="J1234" i="26"/>
  <c r="J1235" i="26"/>
  <c r="J1236" i="26"/>
  <c r="J1237" i="26"/>
  <c r="J1238" i="26"/>
  <c r="J1239" i="26"/>
  <c r="J1240" i="26"/>
  <c r="J1241" i="26"/>
  <c r="J1242" i="26"/>
  <c r="J1243" i="26"/>
  <c r="J1244" i="26"/>
  <c r="J1245" i="26"/>
  <c r="J1246" i="26"/>
  <c r="J1247" i="26"/>
  <c r="J1248" i="26"/>
  <c r="J1249" i="26"/>
  <c r="J1250" i="26"/>
  <c r="J1251" i="26"/>
  <c r="J1252" i="26"/>
  <c r="J1253" i="26"/>
  <c r="J1254" i="26"/>
  <c r="J1255" i="26"/>
  <c r="J1256" i="26"/>
  <c r="J1257" i="26"/>
  <c r="J1258" i="26"/>
  <c r="J1259" i="26"/>
  <c r="J1260" i="26"/>
  <c r="J1261" i="26"/>
  <c r="J1262" i="26"/>
  <c r="J1263" i="26"/>
  <c r="J1264" i="26"/>
  <c r="J1265" i="26"/>
  <c r="J1266" i="26"/>
  <c r="J1267" i="26"/>
  <c r="J1268" i="26"/>
  <c r="J1269" i="26"/>
  <c r="J1270" i="26"/>
  <c r="J1271" i="26"/>
  <c r="J1272" i="26"/>
  <c r="J1273" i="26"/>
  <c r="J1274" i="26"/>
  <c r="J1275" i="26"/>
  <c r="J1276" i="26"/>
  <c r="J1277" i="26"/>
  <c r="J1278" i="26"/>
  <c r="J1279" i="26"/>
  <c r="J1280" i="26"/>
  <c r="J1281" i="26"/>
  <c r="J1282" i="26"/>
  <c r="J1283" i="26"/>
  <c r="J1284" i="26"/>
  <c r="J1285" i="26"/>
  <c r="J1286" i="26"/>
  <c r="J1287" i="26"/>
  <c r="J1288" i="26"/>
  <c r="J1289" i="26"/>
  <c r="J1290" i="26"/>
  <c r="J1291" i="26"/>
  <c r="J1292" i="26"/>
  <c r="J1293" i="26"/>
  <c r="J1294" i="26"/>
  <c r="J1295" i="26"/>
  <c r="J1296" i="26"/>
  <c r="J1297" i="26"/>
  <c r="J1298" i="26"/>
  <c r="J1299" i="26"/>
  <c r="J1300" i="26"/>
  <c r="J1301" i="26"/>
  <c r="J1302" i="26"/>
  <c r="J1303" i="26"/>
  <c r="J1304" i="26"/>
  <c r="J1305" i="26"/>
  <c r="J1306" i="26"/>
  <c r="J1307" i="26"/>
  <c r="J1308" i="26"/>
  <c r="J1309" i="26"/>
  <c r="J1310" i="26"/>
  <c r="J1311" i="26"/>
  <c r="J1312" i="26"/>
  <c r="J1313" i="26"/>
  <c r="J1314" i="26"/>
  <c r="J1315" i="26"/>
  <c r="J1316" i="26"/>
  <c r="J1317" i="26"/>
  <c r="J1318" i="26"/>
  <c r="J1319" i="26"/>
  <c r="J1320" i="26"/>
  <c r="J1321" i="26"/>
  <c r="J1322" i="26"/>
  <c r="J1323" i="26"/>
  <c r="J1324" i="26"/>
  <c r="J1325" i="26"/>
  <c r="J1326" i="26"/>
  <c r="J1327" i="26"/>
  <c r="J1328" i="26"/>
  <c r="J1329" i="26"/>
  <c r="J1330" i="26"/>
  <c r="J1331" i="26"/>
  <c r="J1332" i="26"/>
  <c r="J1333" i="26"/>
  <c r="J1334" i="26"/>
  <c r="J1335" i="26"/>
  <c r="J1336" i="26"/>
  <c r="J1337" i="26"/>
  <c r="J1338" i="26"/>
  <c r="J1339" i="26"/>
  <c r="J1340" i="26"/>
  <c r="J1341" i="26"/>
  <c r="J1342" i="26"/>
  <c r="J1343" i="26"/>
  <c r="J1344" i="26"/>
  <c r="J1345" i="26"/>
  <c r="J1346" i="26"/>
  <c r="J1347" i="26"/>
  <c r="J1348" i="26"/>
  <c r="J1349" i="26"/>
  <c r="J1350" i="26"/>
  <c r="J1351" i="26"/>
  <c r="J1352" i="26"/>
  <c r="J1353" i="26"/>
  <c r="J1354" i="26"/>
  <c r="J1355" i="26"/>
  <c r="J1356" i="26"/>
  <c r="J1357" i="26"/>
  <c r="J1358" i="26"/>
  <c r="J1359" i="26"/>
  <c r="J1360" i="26"/>
  <c r="J1361" i="26"/>
  <c r="J1362" i="26"/>
  <c r="J1363" i="26"/>
  <c r="J1364" i="26"/>
  <c r="J1365" i="26"/>
  <c r="J1366" i="26"/>
  <c r="J1367" i="26"/>
  <c r="J1368" i="26"/>
  <c r="J1369" i="26"/>
  <c r="J1370" i="26"/>
  <c r="J1371" i="26"/>
  <c r="J1372" i="26"/>
  <c r="J1373" i="26"/>
  <c r="J1374" i="26"/>
  <c r="J1375" i="26"/>
  <c r="J1376" i="26"/>
  <c r="J1377" i="26"/>
  <c r="J1378" i="26"/>
  <c r="J1379" i="26"/>
  <c r="J1380" i="26"/>
  <c r="J1381" i="26"/>
  <c r="J1382" i="26"/>
  <c r="J1383" i="26"/>
  <c r="J1384" i="26"/>
  <c r="J1385" i="26"/>
  <c r="J1386" i="26"/>
  <c r="J1387" i="26"/>
  <c r="J1388" i="26"/>
  <c r="J1389" i="26"/>
  <c r="J1390" i="26"/>
  <c r="J1391" i="26"/>
  <c r="J1392" i="26"/>
  <c r="J1393" i="26"/>
  <c r="J1394" i="26"/>
  <c r="J1395" i="26"/>
  <c r="J1396" i="26"/>
  <c r="J1397" i="26"/>
  <c r="J1398" i="26"/>
  <c r="J1399" i="26"/>
  <c r="J1400" i="26"/>
  <c r="J1401" i="26"/>
  <c r="J1402" i="26"/>
  <c r="J1403" i="26"/>
  <c r="J1404" i="26"/>
  <c r="J1405" i="26"/>
  <c r="J1406" i="26"/>
  <c r="J1407" i="26"/>
  <c r="J1408" i="26"/>
  <c r="J1409" i="26"/>
  <c r="J1410" i="26"/>
  <c r="J1411" i="26"/>
  <c r="J1412" i="26"/>
  <c r="J1413" i="26"/>
  <c r="J1414" i="26"/>
  <c r="J1415" i="26"/>
  <c r="J1416" i="26"/>
  <c r="J1417" i="26"/>
  <c r="J1418" i="26"/>
  <c r="J1419" i="26"/>
  <c r="J1420" i="26"/>
  <c r="J1421" i="26"/>
  <c r="J1422" i="26"/>
  <c r="J1423" i="26"/>
  <c r="J1424" i="26"/>
  <c r="J1425" i="26"/>
  <c r="J1426" i="26"/>
  <c r="J1427" i="26"/>
  <c r="J1428" i="26"/>
  <c r="J1429" i="26"/>
  <c r="J1430" i="26"/>
  <c r="J1431" i="26"/>
  <c r="J1432" i="26"/>
  <c r="J1433" i="26"/>
  <c r="J1434" i="26"/>
  <c r="J1435" i="26"/>
  <c r="J1436" i="26"/>
  <c r="J1437" i="26"/>
  <c r="J1438" i="26"/>
  <c r="J1439" i="26"/>
  <c r="J1440" i="26"/>
  <c r="J1441" i="26"/>
  <c r="J1442" i="26"/>
  <c r="J1443" i="26"/>
  <c r="J1444" i="26"/>
  <c r="J1445" i="26"/>
  <c r="J1446" i="26"/>
  <c r="J1447" i="26"/>
  <c r="J1448" i="26"/>
  <c r="J1449" i="26"/>
  <c r="J1450" i="26"/>
  <c r="J1451" i="26"/>
  <c r="J1452" i="26"/>
  <c r="J1453" i="26"/>
  <c r="J1454" i="26"/>
  <c r="J1455" i="26"/>
  <c r="J1456" i="26"/>
  <c r="J1457" i="26"/>
  <c r="J1458" i="26"/>
  <c r="J1459" i="26"/>
  <c r="J1460" i="26"/>
  <c r="J1461" i="26"/>
  <c r="J1462" i="26"/>
  <c r="J1463" i="26"/>
  <c r="J1464" i="26"/>
  <c r="J1465" i="26"/>
  <c r="J1466" i="26"/>
  <c r="J1467" i="26"/>
  <c r="J1468" i="26"/>
  <c r="J1469" i="26"/>
  <c r="J1470" i="26"/>
  <c r="J1471" i="26"/>
  <c r="J1472" i="26"/>
  <c r="J1473" i="26"/>
  <c r="J1474" i="26"/>
  <c r="J1475" i="26"/>
  <c r="J1476" i="26"/>
  <c r="J1477" i="26"/>
  <c r="J1478" i="26"/>
  <c r="J1479" i="26"/>
  <c r="J1480" i="26"/>
  <c r="J1481" i="26"/>
  <c r="J1482" i="26"/>
  <c r="J1483" i="26"/>
  <c r="J1484" i="26"/>
  <c r="J1485" i="26"/>
  <c r="J1486" i="26"/>
  <c r="J1487" i="26"/>
  <c r="J1488" i="26"/>
  <c r="J1489" i="26"/>
  <c r="J1490" i="26"/>
  <c r="J1491" i="26"/>
  <c r="J1492" i="26"/>
  <c r="J1493" i="26"/>
  <c r="J1494" i="26"/>
  <c r="J1495" i="26"/>
  <c r="J1496" i="26"/>
  <c r="J1497" i="26"/>
  <c r="J1498" i="26"/>
  <c r="J1499" i="26"/>
  <c r="J1500" i="26"/>
  <c r="J1501" i="26"/>
  <c r="J1502" i="26"/>
  <c r="J1503" i="26"/>
  <c r="J1504" i="26"/>
  <c r="J1505" i="26"/>
  <c r="J1506" i="26"/>
  <c r="J1507" i="26"/>
  <c r="J1508" i="26"/>
  <c r="J1509" i="26"/>
  <c r="J1510" i="26"/>
  <c r="J1511" i="26"/>
  <c r="J1512" i="26"/>
  <c r="J1513" i="26"/>
  <c r="J1514" i="26"/>
  <c r="J1515" i="26"/>
  <c r="J1516" i="26"/>
  <c r="J1517" i="26"/>
  <c r="J1518" i="26"/>
  <c r="J1519" i="26"/>
  <c r="J1520" i="26"/>
  <c r="J1521" i="26"/>
  <c r="J1522" i="26"/>
  <c r="J1523" i="26"/>
  <c r="J1524" i="26"/>
  <c r="J1525" i="26"/>
  <c r="J1526" i="26"/>
  <c r="J1527" i="26"/>
  <c r="J1528" i="26"/>
  <c r="J1529" i="26"/>
  <c r="J1530" i="26"/>
  <c r="J1531" i="26"/>
  <c r="J1532" i="26"/>
  <c r="J1533" i="26"/>
  <c r="J1534" i="26"/>
  <c r="J1535" i="26"/>
  <c r="J1536" i="26"/>
  <c r="J1537" i="26"/>
  <c r="J1538" i="26"/>
  <c r="J1539" i="26"/>
  <c r="J1540" i="26"/>
  <c r="J1541" i="26"/>
  <c r="J1542" i="26"/>
  <c r="J1543" i="26"/>
  <c r="J1544" i="26"/>
  <c r="J1545" i="26"/>
  <c r="J1546" i="26"/>
  <c r="J1547" i="26"/>
  <c r="J1548" i="26"/>
  <c r="J1549" i="26"/>
  <c r="J1550" i="26"/>
  <c r="J1551" i="26"/>
  <c r="J1552" i="26"/>
  <c r="J1553" i="26"/>
  <c r="J1554" i="26"/>
  <c r="J1555" i="26"/>
  <c r="J1556" i="26"/>
  <c r="J1557" i="26"/>
  <c r="J1558" i="26"/>
  <c r="J1559" i="26"/>
  <c r="J1560" i="26"/>
  <c r="J1561" i="26"/>
  <c r="J1562" i="26"/>
  <c r="J1563" i="26"/>
  <c r="J1564" i="26"/>
  <c r="J1565" i="26"/>
  <c r="J1566" i="26"/>
  <c r="J1567" i="26"/>
  <c r="J1568" i="26"/>
  <c r="J1569" i="26"/>
  <c r="J1570" i="26"/>
  <c r="J1571" i="26"/>
  <c r="J1572" i="26"/>
  <c r="J1573" i="26"/>
  <c r="J1574" i="26"/>
  <c r="J1575" i="26"/>
  <c r="J1576" i="26"/>
  <c r="J1577" i="26"/>
  <c r="J1578" i="26"/>
  <c r="J1579" i="26"/>
  <c r="J1580" i="26"/>
  <c r="J1581" i="26"/>
  <c r="J1582" i="26"/>
  <c r="J1583" i="26"/>
  <c r="J1584" i="26"/>
  <c r="J1585" i="26"/>
  <c r="J1586" i="26"/>
  <c r="J1587" i="26"/>
  <c r="J1588" i="26"/>
  <c r="J1589" i="26"/>
  <c r="J1590" i="26"/>
  <c r="J1591" i="26"/>
  <c r="J1592" i="26"/>
  <c r="J1593" i="26"/>
  <c r="J1594" i="26"/>
  <c r="J1595" i="26"/>
  <c r="J1596" i="26"/>
  <c r="J1597" i="26"/>
  <c r="J1598" i="26"/>
  <c r="J1599" i="26"/>
  <c r="J1600" i="26"/>
  <c r="J1601" i="26"/>
  <c r="J1602" i="26"/>
  <c r="J1603" i="26"/>
  <c r="J1604" i="26"/>
  <c r="J1605" i="26"/>
  <c r="J1606" i="26"/>
  <c r="J1607" i="26"/>
  <c r="J1608" i="26"/>
  <c r="J1609" i="26"/>
  <c r="J1610" i="26"/>
  <c r="J1611" i="26"/>
  <c r="J1612" i="26"/>
  <c r="J1613" i="26"/>
  <c r="J1614" i="26"/>
  <c r="J1615" i="26"/>
  <c r="J1616" i="26"/>
  <c r="J1617" i="26"/>
  <c r="J1618" i="26"/>
  <c r="J1619" i="26"/>
  <c r="J1620" i="26"/>
  <c r="J1621" i="26"/>
  <c r="J1622" i="26"/>
  <c r="J1623" i="26"/>
  <c r="J1624" i="26"/>
  <c r="J1625" i="26"/>
  <c r="J1626" i="26"/>
  <c r="J1627" i="26"/>
  <c r="J1628" i="26"/>
  <c r="J1629" i="26"/>
  <c r="J1630" i="26"/>
  <c r="J1631" i="26"/>
  <c r="J1632" i="26"/>
  <c r="J1633" i="26"/>
  <c r="J1634" i="26"/>
  <c r="J1635" i="26"/>
  <c r="J1636" i="26"/>
  <c r="J1637" i="26"/>
  <c r="J1638" i="26"/>
  <c r="J1639" i="26"/>
  <c r="J1640" i="26"/>
  <c r="J1641" i="26"/>
  <c r="J1642" i="26"/>
  <c r="J1643" i="26"/>
  <c r="J1644" i="26"/>
  <c r="J1645" i="26"/>
  <c r="J1646" i="26"/>
  <c r="J1647" i="26"/>
  <c r="J1648" i="26"/>
  <c r="J1649" i="26"/>
  <c r="J1650" i="26"/>
  <c r="J1651" i="26"/>
  <c r="J1652" i="26"/>
  <c r="N3" i="26"/>
  <c r="N4" i="26"/>
  <c r="N5" i="26"/>
  <c r="N6" i="26"/>
  <c r="N7" i="26"/>
  <c r="N8" i="26"/>
  <c r="N9" i="26"/>
  <c r="N10" i="26"/>
  <c r="N11" i="26"/>
  <c r="N12" i="26"/>
  <c r="N13" i="26"/>
  <c r="N14" i="26"/>
  <c r="N15" i="26"/>
  <c r="N16" i="26"/>
  <c r="N17" i="26"/>
  <c r="N18" i="26"/>
  <c r="N19" i="26"/>
  <c r="N20" i="26"/>
  <c r="N21" i="26"/>
  <c r="N22" i="26"/>
  <c r="N23" i="26"/>
  <c r="N24" i="26"/>
  <c r="N25" i="26"/>
  <c r="N26" i="26"/>
  <c r="N27" i="26"/>
  <c r="N28" i="26"/>
  <c r="N29" i="26"/>
  <c r="N30" i="26"/>
  <c r="N31" i="26"/>
  <c r="N32" i="26"/>
  <c r="N33" i="26"/>
  <c r="N34" i="26"/>
  <c r="N35" i="26"/>
  <c r="N36" i="26"/>
  <c r="N37" i="26"/>
  <c r="N38" i="26"/>
  <c r="N39" i="26"/>
  <c r="N40" i="26"/>
  <c r="N41" i="26"/>
  <c r="N42" i="26"/>
  <c r="N43" i="26"/>
  <c r="N44" i="26"/>
  <c r="N45" i="26"/>
  <c r="N46" i="26"/>
  <c r="N47" i="26"/>
  <c r="N48" i="26"/>
  <c r="N49" i="26"/>
  <c r="N50" i="26"/>
  <c r="N51" i="26"/>
  <c r="N52" i="26"/>
  <c r="N53" i="26"/>
  <c r="N54" i="26"/>
  <c r="N55" i="26"/>
  <c r="N56" i="26"/>
  <c r="N57" i="26"/>
  <c r="N58" i="26"/>
  <c r="N59" i="26"/>
  <c r="N60" i="26"/>
  <c r="N61" i="26"/>
  <c r="N62" i="26"/>
  <c r="N63" i="26"/>
  <c r="N64" i="26"/>
  <c r="N65" i="26"/>
  <c r="N66" i="26"/>
  <c r="N67" i="26"/>
  <c r="N68" i="26"/>
  <c r="N69" i="26"/>
  <c r="N70" i="26"/>
  <c r="N71" i="26"/>
  <c r="N72" i="26"/>
  <c r="N73" i="26"/>
  <c r="N74" i="26"/>
  <c r="N75" i="26"/>
  <c r="N76" i="26"/>
  <c r="N77" i="26"/>
  <c r="N78" i="26"/>
  <c r="N79" i="26"/>
  <c r="N80" i="26"/>
  <c r="N81" i="26"/>
  <c r="N82" i="26"/>
  <c r="N83" i="26"/>
  <c r="N84" i="26"/>
  <c r="N85" i="26"/>
  <c r="N86" i="26"/>
  <c r="N87" i="26"/>
  <c r="N88" i="26"/>
  <c r="N89" i="26"/>
  <c r="N90" i="26"/>
  <c r="N91" i="26"/>
  <c r="N92" i="26"/>
  <c r="N93" i="26"/>
  <c r="N94" i="26"/>
  <c r="N95" i="26"/>
  <c r="N96" i="26"/>
  <c r="N97" i="26"/>
  <c r="N98" i="26"/>
  <c r="N99" i="26"/>
  <c r="N100" i="26"/>
  <c r="N101" i="26"/>
  <c r="N102" i="26"/>
  <c r="N103" i="26"/>
  <c r="N104" i="26"/>
  <c r="N105" i="26"/>
  <c r="N106" i="26"/>
  <c r="N107" i="26"/>
  <c r="N108" i="26"/>
  <c r="N109" i="26"/>
  <c r="N110" i="26"/>
  <c r="N111" i="26"/>
  <c r="N112" i="26"/>
  <c r="N113" i="26"/>
  <c r="N114" i="26"/>
  <c r="N115" i="26"/>
  <c r="N116" i="26"/>
  <c r="N117" i="26"/>
  <c r="N118" i="26"/>
  <c r="N119" i="26"/>
  <c r="N120" i="26"/>
  <c r="N121" i="26"/>
  <c r="N122" i="26"/>
  <c r="N123" i="26"/>
  <c r="N124" i="26"/>
  <c r="N125" i="26"/>
  <c r="N126" i="26"/>
  <c r="N127" i="26"/>
  <c r="N128" i="26"/>
  <c r="N129" i="26"/>
  <c r="N130" i="26"/>
  <c r="N131" i="26"/>
  <c r="N132" i="26"/>
  <c r="N133" i="26"/>
  <c r="N134" i="26"/>
  <c r="N135" i="26"/>
  <c r="N136" i="26"/>
  <c r="N137" i="26"/>
  <c r="N138" i="26"/>
  <c r="N139" i="26"/>
  <c r="N140" i="26"/>
  <c r="N141" i="26"/>
  <c r="N142" i="26"/>
  <c r="N143" i="26"/>
  <c r="N144" i="26"/>
  <c r="N145" i="26"/>
  <c r="N146" i="26"/>
  <c r="N147" i="26"/>
  <c r="N148" i="26"/>
  <c r="N149" i="26"/>
  <c r="N150" i="26"/>
  <c r="N151" i="26"/>
  <c r="N152" i="26"/>
  <c r="N153" i="26"/>
  <c r="N154" i="26"/>
  <c r="N155" i="26"/>
  <c r="N156" i="26"/>
  <c r="N157" i="26"/>
  <c r="N158" i="26"/>
  <c r="N159" i="26"/>
  <c r="N160" i="26"/>
  <c r="N161" i="26"/>
  <c r="N162" i="26"/>
  <c r="N163" i="26"/>
  <c r="N164" i="26"/>
  <c r="N165" i="26"/>
  <c r="N166" i="26"/>
  <c r="N167" i="26"/>
  <c r="N168" i="26"/>
  <c r="N169" i="26"/>
  <c r="N170" i="26"/>
  <c r="N171" i="26"/>
  <c r="N172" i="26"/>
  <c r="N173" i="26"/>
  <c r="N174" i="26"/>
  <c r="N175" i="26"/>
  <c r="N176" i="26"/>
  <c r="N177" i="26"/>
  <c r="N178" i="26"/>
  <c r="N179" i="26"/>
  <c r="N180" i="26"/>
  <c r="N181" i="26"/>
  <c r="N182" i="26"/>
  <c r="N183" i="26"/>
  <c r="N184" i="26"/>
  <c r="N185" i="26"/>
  <c r="N186" i="26"/>
  <c r="N187" i="26"/>
  <c r="N188" i="26"/>
  <c r="N189" i="26"/>
  <c r="N190" i="26"/>
  <c r="N191" i="26"/>
  <c r="N192" i="26"/>
  <c r="N193" i="26"/>
  <c r="N194" i="26"/>
  <c r="N195" i="26"/>
  <c r="N196" i="26"/>
  <c r="N197" i="26"/>
  <c r="N198" i="26"/>
  <c r="N199" i="26"/>
  <c r="N200" i="26"/>
  <c r="N201" i="26"/>
  <c r="N202" i="26"/>
  <c r="N203" i="26"/>
  <c r="N204" i="26"/>
  <c r="N205" i="26"/>
  <c r="N206" i="26"/>
  <c r="N207" i="26"/>
  <c r="N208" i="26"/>
  <c r="N209" i="26"/>
  <c r="N210" i="26"/>
  <c r="N211" i="26"/>
  <c r="N212" i="26"/>
  <c r="N213" i="26"/>
  <c r="N214" i="26"/>
  <c r="N215" i="26"/>
  <c r="N216" i="26"/>
  <c r="N217" i="26"/>
  <c r="N218" i="26"/>
  <c r="N219" i="26"/>
  <c r="N220" i="26"/>
  <c r="N221" i="26"/>
  <c r="N222" i="26"/>
  <c r="N223" i="26"/>
  <c r="N224" i="26"/>
  <c r="N225" i="26"/>
  <c r="N226" i="26"/>
  <c r="N227" i="26"/>
  <c r="N228" i="26"/>
  <c r="N229" i="26"/>
  <c r="N230" i="26"/>
  <c r="N231" i="26"/>
  <c r="N232" i="26"/>
  <c r="N233" i="26"/>
  <c r="N234" i="26"/>
  <c r="N235" i="26"/>
  <c r="N236" i="26"/>
  <c r="N237" i="26"/>
  <c r="N238" i="26"/>
  <c r="N239" i="26"/>
  <c r="N240" i="26"/>
  <c r="N241" i="26"/>
  <c r="N242" i="26"/>
  <c r="N243" i="26"/>
  <c r="N244" i="26"/>
  <c r="N245" i="26"/>
  <c r="N246" i="26"/>
  <c r="N247" i="26"/>
  <c r="N248" i="26"/>
  <c r="N249" i="26"/>
  <c r="N250" i="26"/>
  <c r="N251" i="26"/>
  <c r="N252" i="26"/>
  <c r="N253" i="26"/>
  <c r="N254" i="26"/>
  <c r="N255" i="26"/>
  <c r="N256" i="26"/>
  <c r="N257" i="26"/>
  <c r="N258" i="26"/>
  <c r="N259" i="26"/>
  <c r="N260" i="26"/>
  <c r="N261" i="26"/>
  <c r="N262" i="26"/>
  <c r="N263" i="26"/>
  <c r="N264" i="26"/>
  <c r="N265" i="26"/>
  <c r="N266" i="26"/>
  <c r="N267" i="26"/>
  <c r="N268" i="26"/>
  <c r="N269" i="26"/>
  <c r="N270" i="26"/>
  <c r="N271" i="26"/>
  <c r="N272" i="26"/>
  <c r="N273" i="26"/>
  <c r="N274" i="26"/>
  <c r="N275" i="26"/>
  <c r="N276" i="26"/>
  <c r="N277" i="26"/>
  <c r="N278" i="26"/>
  <c r="N279" i="26"/>
  <c r="N280" i="26"/>
  <c r="N281" i="26"/>
  <c r="N282" i="26"/>
  <c r="N283" i="26"/>
  <c r="N284" i="26"/>
  <c r="N285" i="26"/>
  <c r="N286" i="26"/>
  <c r="N287" i="26"/>
  <c r="N288" i="26"/>
  <c r="N289" i="26"/>
  <c r="N290" i="26"/>
  <c r="N291" i="26"/>
  <c r="N292" i="26"/>
  <c r="N293" i="26"/>
  <c r="N294" i="26"/>
  <c r="N295" i="26"/>
  <c r="N296" i="26"/>
  <c r="N297" i="26"/>
  <c r="N298" i="26"/>
  <c r="N299" i="26"/>
  <c r="N300" i="26"/>
  <c r="N301" i="26"/>
  <c r="N302" i="26"/>
  <c r="N303" i="26"/>
  <c r="N304" i="26"/>
  <c r="N305" i="26"/>
  <c r="N306" i="26"/>
  <c r="N307" i="26"/>
  <c r="N308" i="26"/>
  <c r="N309" i="26"/>
  <c r="N310" i="26"/>
  <c r="N311" i="26"/>
  <c r="N312" i="26"/>
  <c r="N313" i="26"/>
  <c r="N314" i="26"/>
  <c r="N315" i="26"/>
  <c r="N316" i="26"/>
  <c r="N317" i="26"/>
  <c r="N318" i="26"/>
  <c r="N319" i="26"/>
  <c r="N320" i="26"/>
  <c r="N321" i="26"/>
  <c r="N322" i="26"/>
  <c r="N323" i="26"/>
  <c r="N324" i="26"/>
  <c r="N325" i="26"/>
  <c r="N326" i="26"/>
  <c r="N327" i="26"/>
  <c r="N328" i="26"/>
  <c r="N329" i="26"/>
  <c r="N330" i="26"/>
  <c r="N331" i="26"/>
  <c r="N332" i="26"/>
  <c r="N333" i="26"/>
  <c r="N334" i="26"/>
  <c r="N335" i="26"/>
  <c r="N336" i="26"/>
  <c r="N337" i="26"/>
  <c r="N338" i="26"/>
  <c r="N339" i="26"/>
  <c r="N340" i="26"/>
  <c r="N341" i="26"/>
  <c r="N342" i="26"/>
  <c r="N343" i="26"/>
  <c r="N344" i="26"/>
  <c r="N345" i="26"/>
  <c r="N346" i="26"/>
  <c r="N347" i="26"/>
  <c r="N348" i="26"/>
  <c r="N349" i="26"/>
  <c r="N350" i="26"/>
  <c r="N351" i="26"/>
  <c r="N352" i="26"/>
  <c r="N353" i="26"/>
  <c r="N354" i="26"/>
  <c r="N355" i="26"/>
  <c r="N356" i="26"/>
  <c r="N357" i="26"/>
  <c r="N358" i="26"/>
  <c r="N359" i="26"/>
  <c r="N360" i="26"/>
  <c r="N361" i="26"/>
  <c r="N362" i="26"/>
  <c r="N363" i="26"/>
  <c r="N364" i="26"/>
  <c r="N365" i="26"/>
  <c r="N366" i="26"/>
  <c r="N367" i="26"/>
  <c r="N368" i="26"/>
  <c r="N369" i="26"/>
  <c r="N370" i="26"/>
  <c r="N371" i="26"/>
  <c r="N372" i="26"/>
  <c r="N373" i="26"/>
  <c r="N375" i="26"/>
  <c r="N376" i="26"/>
  <c r="N377" i="26"/>
  <c r="N378" i="26"/>
  <c r="N379" i="26"/>
  <c r="N380" i="26"/>
  <c r="N381" i="26"/>
  <c r="N382" i="26"/>
  <c r="N383" i="26"/>
  <c r="N384" i="26"/>
  <c r="N385" i="26"/>
  <c r="N387" i="26"/>
  <c r="N388" i="26"/>
  <c r="N389" i="26"/>
  <c r="N390" i="26"/>
  <c r="N391" i="26"/>
  <c r="N392" i="26"/>
  <c r="N393" i="26"/>
  <c r="N394" i="26"/>
  <c r="N395" i="26"/>
  <c r="N396" i="26"/>
  <c r="N397" i="26"/>
  <c r="N399" i="26"/>
  <c r="N400" i="26"/>
  <c r="N401" i="26"/>
  <c r="N402" i="26"/>
  <c r="N403" i="26"/>
  <c r="N404" i="26"/>
  <c r="N405" i="26"/>
  <c r="N406" i="26"/>
  <c r="N407" i="26"/>
  <c r="N408" i="26"/>
  <c r="N409" i="26"/>
  <c r="N411" i="26"/>
  <c r="N412" i="26"/>
  <c r="N413" i="26"/>
  <c r="N414" i="26"/>
  <c r="N415" i="26"/>
  <c r="N416" i="26"/>
  <c r="N417" i="26"/>
  <c r="N418" i="26"/>
  <c r="N419" i="26"/>
  <c r="N420" i="26"/>
  <c r="N421" i="26"/>
  <c r="N423" i="26"/>
  <c r="N424" i="26"/>
  <c r="N425" i="26"/>
  <c r="N426" i="26"/>
  <c r="N427" i="26"/>
  <c r="N428" i="26"/>
  <c r="N429" i="26"/>
  <c r="N430" i="26"/>
  <c r="N431" i="26"/>
  <c r="N432" i="26"/>
  <c r="N433" i="26"/>
  <c r="N435" i="26"/>
  <c r="N436" i="26"/>
  <c r="N437" i="26"/>
  <c r="N438" i="26"/>
  <c r="N439" i="26"/>
  <c r="N440" i="26"/>
  <c r="N441" i="26"/>
  <c r="N442" i="26"/>
  <c r="N443" i="26"/>
  <c r="N444" i="26"/>
  <c r="N445" i="26"/>
  <c r="N447" i="26"/>
  <c r="N448" i="26"/>
  <c r="N449" i="26"/>
  <c r="N450" i="26"/>
  <c r="N451" i="26"/>
  <c r="N452" i="26"/>
  <c r="N453" i="26"/>
  <c r="N454" i="26"/>
  <c r="N455" i="26"/>
  <c r="N456" i="26"/>
  <c r="N457" i="26"/>
  <c r="N459" i="26"/>
  <c r="N460" i="26"/>
  <c r="N461" i="26"/>
  <c r="N462" i="26"/>
  <c r="N463" i="26"/>
  <c r="N464" i="26"/>
  <c r="N465" i="26"/>
  <c r="N466" i="26"/>
  <c r="N467" i="26"/>
  <c r="N468" i="26"/>
  <c r="N469" i="26"/>
  <c r="N471" i="26"/>
  <c r="N472" i="26"/>
  <c r="N473" i="26"/>
  <c r="N474" i="26"/>
  <c r="N475" i="26"/>
  <c r="N476" i="26"/>
  <c r="N477" i="26"/>
  <c r="N478" i="26"/>
  <c r="N479" i="26"/>
  <c r="N480" i="26"/>
  <c r="N481" i="26"/>
  <c r="N483" i="26"/>
  <c r="N484" i="26"/>
  <c r="N485" i="26"/>
  <c r="N486" i="26"/>
  <c r="N487" i="26"/>
  <c r="N488" i="26"/>
  <c r="N489" i="26"/>
  <c r="N490" i="26"/>
  <c r="N491" i="26"/>
  <c r="N492" i="26"/>
  <c r="N493" i="26"/>
  <c r="N495" i="26"/>
  <c r="N496" i="26"/>
  <c r="N497" i="26"/>
  <c r="N498" i="26"/>
  <c r="N499" i="26"/>
  <c r="N500" i="26"/>
  <c r="N501" i="26"/>
  <c r="N502" i="26"/>
  <c r="N503" i="26"/>
  <c r="N504" i="26"/>
  <c r="N505" i="26"/>
  <c r="N507" i="26"/>
  <c r="N508" i="26"/>
  <c r="N509" i="26"/>
  <c r="N510" i="26"/>
  <c r="N511" i="26"/>
  <c r="N512" i="26"/>
  <c r="N513" i="26"/>
  <c r="N514" i="26"/>
  <c r="N515" i="26"/>
  <c r="N516" i="26"/>
  <c r="N517" i="26"/>
  <c r="N519" i="26"/>
  <c r="N520" i="26"/>
  <c r="N521" i="26"/>
  <c r="N522" i="26"/>
  <c r="N523" i="26"/>
  <c r="N524" i="26"/>
  <c r="N525" i="26"/>
  <c r="N526" i="26"/>
  <c r="N527" i="26"/>
  <c r="N528" i="26"/>
  <c r="N529" i="26"/>
  <c r="N531" i="26"/>
  <c r="N532" i="26"/>
  <c r="N533" i="26"/>
  <c r="N534" i="26"/>
  <c r="N535" i="26"/>
  <c r="N536" i="26"/>
  <c r="N537" i="26"/>
  <c r="N538" i="26"/>
  <c r="N539" i="26"/>
  <c r="N540" i="26"/>
  <c r="N541" i="26"/>
  <c r="N543" i="26"/>
  <c r="N544" i="26"/>
  <c r="N545" i="26"/>
  <c r="N546" i="26"/>
  <c r="N547" i="26"/>
  <c r="N548" i="26"/>
  <c r="N549" i="26"/>
  <c r="N550" i="26"/>
  <c r="N551" i="26"/>
  <c r="N552" i="26"/>
  <c r="N553" i="26"/>
  <c r="N555" i="26"/>
  <c r="N556" i="26"/>
  <c r="N557" i="26"/>
  <c r="N558" i="26"/>
  <c r="N559" i="26"/>
  <c r="N560" i="26"/>
  <c r="N561" i="26"/>
  <c r="N562" i="26"/>
  <c r="N563" i="26"/>
  <c r="N564" i="26"/>
  <c r="N565" i="26"/>
  <c r="N567" i="26"/>
  <c r="N568" i="26"/>
  <c r="N569" i="26"/>
  <c r="N570" i="26"/>
  <c r="N571" i="26"/>
  <c r="N572" i="26"/>
  <c r="N573" i="26"/>
  <c r="N574" i="26"/>
  <c r="N575" i="26"/>
  <c r="N576" i="26"/>
  <c r="N577" i="26"/>
  <c r="N579" i="26"/>
  <c r="N580" i="26"/>
  <c r="N581" i="26"/>
  <c r="N582" i="26"/>
  <c r="N583" i="26"/>
  <c r="N584" i="26"/>
  <c r="N585" i="26"/>
  <c r="N586" i="26"/>
  <c r="N587" i="26"/>
  <c r="N588" i="26"/>
  <c r="N589" i="26"/>
  <c r="N591" i="26"/>
  <c r="N592" i="26"/>
  <c r="N593" i="26"/>
  <c r="N594" i="26"/>
  <c r="N595" i="26"/>
  <c r="N596" i="26"/>
  <c r="N597" i="26"/>
  <c r="N598" i="26"/>
  <c r="N599" i="26"/>
  <c r="N600" i="26"/>
  <c r="N601" i="26"/>
  <c r="N603" i="26"/>
  <c r="N604" i="26"/>
  <c r="N605" i="26"/>
  <c r="N606" i="26"/>
  <c r="N607" i="26"/>
  <c r="N608" i="26"/>
  <c r="N609" i="26"/>
  <c r="N610" i="26"/>
  <c r="N611" i="26"/>
  <c r="N612" i="26"/>
  <c r="N613" i="26"/>
  <c r="N615" i="26"/>
  <c r="N616" i="26"/>
  <c r="N617" i="26"/>
  <c r="N618" i="26"/>
  <c r="N619" i="26"/>
  <c r="N620" i="26"/>
  <c r="N621" i="26"/>
  <c r="N622" i="26"/>
  <c r="N623" i="26"/>
  <c r="N624" i="26"/>
  <c r="N625" i="26"/>
  <c r="N627" i="26"/>
  <c r="N628" i="26"/>
  <c r="N629" i="26"/>
  <c r="N630" i="26"/>
  <c r="N631" i="26"/>
  <c r="N632" i="26"/>
  <c r="N633" i="26"/>
  <c r="N634" i="26"/>
  <c r="N635" i="26"/>
  <c r="N636" i="26"/>
  <c r="N637" i="26"/>
  <c r="N639" i="26"/>
  <c r="N640" i="26"/>
  <c r="N641" i="26"/>
  <c r="N642" i="26"/>
  <c r="N643" i="26"/>
  <c r="N644" i="26"/>
  <c r="N645" i="26"/>
  <c r="N646" i="26"/>
  <c r="N647" i="26"/>
  <c r="N648" i="26"/>
  <c r="N649" i="26"/>
  <c r="N651" i="26"/>
  <c r="N652" i="26"/>
  <c r="N653" i="26"/>
  <c r="N654" i="26"/>
  <c r="N655" i="26"/>
  <c r="N656" i="26"/>
  <c r="N657" i="26"/>
  <c r="N658" i="26"/>
  <c r="N659" i="26"/>
  <c r="N660" i="26"/>
  <c r="N661" i="26"/>
  <c r="N663" i="26"/>
  <c r="N664" i="26"/>
  <c r="N665" i="26"/>
  <c r="N666" i="26"/>
  <c r="N667" i="26"/>
  <c r="N668" i="26"/>
  <c r="N669" i="26"/>
  <c r="N670" i="26"/>
  <c r="N671" i="26"/>
  <c r="N672" i="26"/>
  <c r="N673" i="26"/>
  <c r="N675" i="26"/>
  <c r="N676" i="26"/>
  <c r="N677" i="26"/>
  <c r="N678" i="26"/>
  <c r="N679" i="26"/>
  <c r="N680" i="26"/>
  <c r="N681" i="26"/>
  <c r="N682" i="26"/>
  <c r="N683" i="26"/>
  <c r="N684" i="26"/>
  <c r="N685" i="26"/>
  <c r="N687" i="26"/>
  <c r="N688" i="26"/>
  <c r="N689" i="26"/>
  <c r="N690" i="26"/>
  <c r="N691" i="26"/>
  <c r="N692" i="26"/>
  <c r="N693" i="26"/>
  <c r="N694" i="26"/>
  <c r="N695" i="26"/>
  <c r="N696" i="26"/>
  <c r="N697" i="26"/>
  <c r="N699" i="26"/>
  <c r="N700" i="26"/>
  <c r="N701" i="26"/>
  <c r="N702" i="26"/>
  <c r="N703" i="26"/>
  <c r="N704" i="26"/>
  <c r="N705" i="26"/>
  <c r="N706" i="26"/>
  <c r="N707" i="26"/>
  <c r="N708" i="26"/>
  <c r="N709" i="26"/>
  <c r="N711" i="26"/>
  <c r="N712" i="26"/>
  <c r="N713" i="26"/>
  <c r="N714" i="26"/>
  <c r="N715" i="26"/>
  <c r="N716" i="26"/>
  <c r="N717" i="26"/>
  <c r="N718" i="26"/>
  <c r="N719" i="26"/>
  <c r="N720" i="26"/>
  <c r="N721" i="26"/>
  <c r="N723" i="26"/>
  <c r="N724" i="26"/>
  <c r="N725" i="26"/>
  <c r="N726" i="26"/>
  <c r="N727" i="26"/>
  <c r="N728" i="26"/>
  <c r="N729" i="26"/>
  <c r="N730" i="26"/>
  <c r="N731" i="26"/>
  <c r="N732" i="26"/>
  <c r="N733" i="26"/>
  <c r="N735" i="26"/>
  <c r="N736" i="26"/>
  <c r="N737" i="26"/>
  <c r="N738" i="26"/>
  <c r="N739" i="26"/>
  <c r="N740" i="26"/>
  <c r="N741" i="26"/>
  <c r="N742" i="26"/>
  <c r="N743" i="26"/>
  <c r="N744" i="26"/>
  <c r="N745" i="26"/>
  <c r="N747" i="26"/>
  <c r="N748" i="26"/>
  <c r="N749" i="26"/>
  <c r="N750" i="26"/>
  <c r="N751" i="26"/>
  <c r="N752" i="26"/>
  <c r="N753" i="26"/>
  <c r="N754" i="26"/>
  <c r="N755" i="26"/>
  <c r="N756" i="26"/>
  <c r="N757" i="26"/>
  <c r="N759" i="26"/>
  <c r="N760" i="26"/>
  <c r="N761" i="26"/>
  <c r="N762" i="26"/>
  <c r="N763" i="26"/>
  <c r="N764" i="26"/>
  <c r="N765" i="26"/>
  <c r="N766" i="26"/>
  <c r="N767" i="26"/>
  <c r="N768" i="26"/>
  <c r="N769" i="26"/>
  <c r="N771" i="26"/>
  <c r="N772" i="26"/>
  <c r="N773" i="26"/>
  <c r="N774" i="26"/>
  <c r="N775" i="26"/>
  <c r="N776" i="26"/>
  <c r="N777" i="26"/>
  <c r="N778" i="26"/>
  <c r="N779" i="26"/>
  <c r="N780" i="26"/>
  <c r="N781" i="26"/>
  <c r="N783" i="26"/>
  <c r="N784" i="26"/>
  <c r="N785" i="26"/>
  <c r="N786" i="26"/>
  <c r="N787" i="26"/>
  <c r="N788" i="26"/>
  <c r="N789" i="26"/>
  <c r="N790" i="26"/>
  <c r="N791" i="26"/>
  <c r="N792" i="26"/>
  <c r="N793" i="26"/>
  <c r="N795" i="26"/>
  <c r="N796" i="26"/>
  <c r="N797" i="26"/>
  <c r="N798" i="26"/>
  <c r="N799" i="26"/>
  <c r="N800" i="26"/>
  <c r="N801" i="26"/>
  <c r="N802" i="26"/>
  <c r="N803" i="26"/>
  <c r="N804" i="26"/>
  <c r="N805" i="26"/>
  <c r="N807" i="26"/>
  <c r="N808" i="26"/>
  <c r="N809" i="26"/>
  <c r="N810" i="26"/>
  <c r="N811" i="26"/>
  <c r="N812" i="26"/>
  <c r="N813" i="26"/>
  <c r="N814" i="26"/>
  <c r="N815" i="26"/>
  <c r="N816" i="26"/>
  <c r="N817" i="26"/>
  <c r="N819" i="26"/>
  <c r="N820" i="26"/>
  <c r="N821" i="26"/>
  <c r="N822" i="26"/>
  <c r="N823" i="26"/>
  <c r="N824" i="26"/>
  <c r="N825" i="26"/>
  <c r="N826" i="26"/>
  <c r="N827" i="26"/>
  <c r="N828" i="26"/>
  <c r="N829" i="26"/>
  <c r="N831" i="26"/>
  <c r="N832" i="26"/>
  <c r="N833" i="26"/>
  <c r="N834" i="26"/>
  <c r="N835" i="26"/>
  <c r="N836" i="26"/>
  <c r="N837" i="26"/>
  <c r="N838" i="26"/>
  <c r="N839" i="26"/>
  <c r="N840" i="26"/>
  <c r="N841" i="26"/>
  <c r="N843" i="26"/>
  <c r="N844" i="26"/>
  <c r="N845" i="26"/>
  <c r="N846" i="26"/>
  <c r="N847" i="26"/>
  <c r="N848" i="26"/>
  <c r="N849" i="26"/>
  <c r="N850" i="26"/>
  <c r="N851" i="26"/>
  <c r="N852" i="26"/>
  <c r="N853" i="26"/>
  <c r="N855" i="26"/>
  <c r="N856" i="26"/>
  <c r="N857" i="26"/>
  <c r="N858" i="26"/>
  <c r="N859" i="26"/>
  <c r="N860" i="26"/>
  <c r="N861" i="26"/>
  <c r="N862" i="26"/>
  <c r="N863" i="26"/>
  <c r="N864" i="26"/>
  <c r="N865" i="26"/>
  <c r="N867" i="26"/>
  <c r="N868" i="26"/>
  <c r="N869" i="26"/>
  <c r="N870" i="26"/>
  <c r="N871" i="26"/>
  <c r="N872" i="26"/>
  <c r="N873" i="26"/>
  <c r="N874" i="26"/>
  <c r="N875" i="26"/>
  <c r="N876" i="26"/>
  <c r="N877" i="26"/>
  <c r="N879" i="26"/>
  <c r="N880" i="26"/>
  <c r="N881" i="26"/>
  <c r="N882" i="26"/>
  <c r="N883" i="26"/>
  <c r="N884" i="26"/>
  <c r="N885" i="26"/>
  <c r="N886" i="26"/>
  <c r="N887" i="26"/>
  <c r="N888" i="26"/>
  <c r="N889" i="26"/>
  <c r="N891" i="26"/>
  <c r="N892" i="26"/>
  <c r="N893" i="26"/>
  <c r="N894" i="26"/>
  <c r="N895" i="26"/>
  <c r="N896" i="26"/>
  <c r="N897" i="26"/>
  <c r="N898" i="26"/>
  <c r="N899" i="26"/>
  <c r="N900" i="26"/>
  <c r="N901" i="26"/>
  <c r="N903" i="26"/>
  <c r="N904" i="26"/>
  <c r="N905" i="26"/>
  <c r="N906" i="26"/>
  <c r="N907" i="26"/>
  <c r="N908" i="26"/>
  <c r="N909" i="26"/>
  <c r="N910" i="26"/>
  <c r="N911" i="26"/>
  <c r="N912" i="26"/>
  <c r="N913" i="26"/>
  <c r="N915" i="26"/>
  <c r="N916" i="26"/>
  <c r="N917" i="26"/>
  <c r="N918" i="26"/>
  <c r="N919" i="26"/>
  <c r="N920" i="26"/>
  <c r="N921" i="26"/>
  <c r="N922" i="26"/>
  <c r="N923" i="26"/>
  <c r="N924" i="26"/>
  <c r="N925" i="26"/>
  <c r="N927" i="26"/>
  <c r="N928" i="26"/>
  <c r="N929" i="26"/>
  <c r="N930" i="26"/>
  <c r="N931" i="26"/>
  <c r="N932" i="26"/>
  <c r="N933" i="26"/>
  <c r="N934" i="26"/>
  <c r="N935" i="26"/>
  <c r="N936" i="26"/>
  <c r="N937" i="26"/>
  <c r="N939" i="26"/>
  <c r="N940" i="26"/>
  <c r="N941" i="26"/>
  <c r="N942" i="26"/>
  <c r="N943" i="26"/>
  <c r="N944" i="26"/>
  <c r="N945" i="26"/>
  <c r="N946" i="26"/>
  <c r="N947" i="26"/>
  <c r="N948" i="26"/>
  <c r="N949" i="26"/>
  <c r="N951" i="26"/>
  <c r="N952" i="26"/>
  <c r="N953" i="26"/>
  <c r="N954" i="26"/>
  <c r="N955" i="26"/>
  <c r="N956" i="26"/>
  <c r="N957" i="26"/>
  <c r="N958" i="26"/>
  <c r="N959" i="26"/>
  <c r="N960" i="26"/>
  <c r="N961" i="26"/>
  <c r="N963" i="26"/>
  <c r="N964" i="26"/>
  <c r="N965" i="26"/>
  <c r="N966" i="26"/>
  <c r="N967" i="26"/>
  <c r="N968" i="26"/>
  <c r="N969" i="26"/>
  <c r="N970" i="26"/>
  <c r="N971" i="26"/>
  <c r="N972" i="26"/>
  <c r="N973" i="26"/>
  <c r="N975" i="26"/>
  <c r="N976" i="26"/>
  <c r="N977" i="26"/>
  <c r="N978" i="26"/>
  <c r="N979" i="26"/>
  <c r="N980" i="26"/>
  <c r="N981" i="26"/>
  <c r="N982" i="26"/>
  <c r="N983" i="26"/>
  <c r="N984" i="26"/>
  <c r="N985" i="26"/>
  <c r="N987" i="26"/>
  <c r="N988" i="26"/>
  <c r="N989" i="26"/>
  <c r="N990" i="26"/>
  <c r="N991" i="26"/>
  <c r="N992" i="26"/>
  <c r="N993" i="26"/>
  <c r="N994" i="26"/>
  <c r="N995" i="26"/>
  <c r="N996" i="26"/>
  <c r="N997" i="26"/>
  <c r="N999" i="26"/>
  <c r="N1000" i="26"/>
  <c r="N1001" i="26"/>
  <c r="N1002" i="26"/>
  <c r="N1003" i="26"/>
  <c r="N1004" i="26"/>
  <c r="N1005" i="26"/>
  <c r="N1006" i="26"/>
  <c r="N1007" i="26"/>
  <c r="N1008" i="26"/>
  <c r="N1009" i="26"/>
  <c r="N1011" i="26"/>
  <c r="N1012" i="26"/>
  <c r="N1013" i="26"/>
  <c r="N1014" i="26"/>
  <c r="N1015" i="26"/>
  <c r="N1016" i="26"/>
  <c r="N1017" i="26"/>
  <c r="N1018" i="26"/>
  <c r="N1019" i="26"/>
  <c r="N1020" i="26"/>
  <c r="N1021" i="26"/>
  <c r="N1023" i="26"/>
  <c r="N1024" i="26"/>
  <c r="N1025" i="26"/>
  <c r="N1026" i="26"/>
  <c r="N1027" i="26"/>
  <c r="N1028" i="26"/>
  <c r="N1029" i="26"/>
  <c r="N1030" i="26"/>
  <c r="N1031" i="26"/>
  <c r="N1032" i="26"/>
  <c r="N1033" i="26"/>
  <c r="N1035" i="26"/>
  <c r="N1036" i="26"/>
  <c r="N1037" i="26"/>
  <c r="N1038" i="26"/>
  <c r="N1039" i="26"/>
  <c r="N1040" i="26"/>
  <c r="N1041" i="26"/>
  <c r="N1042" i="26"/>
  <c r="N1043" i="26"/>
  <c r="N1044" i="26"/>
  <c r="N1045" i="26"/>
  <c r="N1047" i="26"/>
  <c r="N1048" i="26"/>
  <c r="N1049" i="26"/>
  <c r="N1050" i="26"/>
  <c r="N1051" i="26"/>
  <c r="N1052" i="26"/>
  <c r="N1053" i="26"/>
  <c r="N1054" i="26"/>
  <c r="N1055" i="26"/>
  <c r="N1056" i="26"/>
  <c r="N1057" i="26"/>
  <c r="N1059" i="26"/>
  <c r="N1060" i="26"/>
  <c r="N1061" i="26"/>
  <c r="N1062" i="26"/>
  <c r="N1063" i="26"/>
  <c r="N1064" i="26"/>
  <c r="N1065" i="26"/>
  <c r="N1066" i="26"/>
  <c r="N1067" i="26"/>
  <c r="N1068" i="26"/>
  <c r="N1069" i="26"/>
  <c r="N1071" i="26"/>
  <c r="N1072" i="26"/>
  <c r="N1073" i="26"/>
  <c r="N1074" i="26"/>
  <c r="N1075" i="26"/>
  <c r="N1076" i="26"/>
  <c r="N1077" i="26"/>
  <c r="N1078" i="26"/>
  <c r="N1079" i="26"/>
  <c r="N1080" i="26"/>
  <c r="N1081" i="26"/>
  <c r="N1083" i="26"/>
  <c r="N1084" i="26"/>
  <c r="N1085" i="26"/>
  <c r="N1086" i="26"/>
  <c r="N1087" i="26"/>
  <c r="N1088" i="26"/>
  <c r="N1089" i="26"/>
  <c r="N1090" i="26"/>
  <c r="N1091" i="26"/>
  <c r="N1092" i="26"/>
  <c r="N1093" i="26"/>
  <c r="N1095" i="26"/>
  <c r="N1096" i="26"/>
  <c r="N1097" i="26"/>
  <c r="N1098" i="26"/>
  <c r="N1099" i="26"/>
  <c r="N1100" i="26"/>
  <c r="N1101" i="26"/>
  <c r="N1102" i="26"/>
  <c r="N1103" i="26"/>
  <c r="N1104" i="26"/>
  <c r="N1105" i="26"/>
  <c r="N1107" i="26"/>
  <c r="N1108" i="26"/>
  <c r="N1109" i="26"/>
  <c r="N1110" i="26"/>
  <c r="N1111" i="26"/>
  <c r="N1112" i="26"/>
  <c r="N1113" i="26"/>
  <c r="N1114" i="26"/>
  <c r="N1115" i="26"/>
  <c r="N1116" i="26"/>
  <c r="N1117" i="26"/>
  <c r="N1119" i="26"/>
  <c r="N1120" i="26"/>
  <c r="N1121" i="26"/>
  <c r="N1122" i="26"/>
  <c r="N1123" i="26"/>
  <c r="N1124" i="26"/>
  <c r="N1125" i="26"/>
  <c r="N1126" i="26"/>
  <c r="N1127" i="26"/>
  <c r="N1128" i="26"/>
  <c r="N1129" i="26"/>
  <c r="N1131" i="26"/>
  <c r="N1132" i="26"/>
  <c r="N1133" i="26"/>
  <c r="N1134" i="26"/>
  <c r="N1135" i="26"/>
  <c r="N1136" i="26"/>
  <c r="N1137" i="26"/>
  <c r="N1138" i="26"/>
  <c r="N1139" i="26"/>
  <c r="N1140" i="26"/>
  <c r="N1141" i="26"/>
  <c r="N1143" i="26"/>
  <c r="N1144" i="26"/>
  <c r="N1145" i="26"/>
  <c r="N1146" i="26"/>
  <c r="N1147" i="26"/>
  <c r="N1148" i="26"/>
  <c r="N1149" i="26"/>
  <c r="N1150" i="26"/>
  <c r="N1151" i="26"/>
  <c r="N1152" i="26"/>
  <c r="N1153" i="26"/>
  <c r="N1155" i="26"/>
  <c r="N1156" i="26"/>
  <c r="N1157" i="26"/>
  <c r="N1158" i="26"/>
  <c r="N1159" i="26"/>
  <c r="N1160" i="26"/>
  <c r="N1161" i="26"/>
  <c r="N1162" i="26"/>
  <c r="N1163" i="26"/>
  <c r="N1164" i="26"/>
  <c r="N1165" i="26"/>
  <c r="N1167" i="26"/>
  <c r="N1168" i="26"/>
  <c r="N1169" i="26"/>
  <c r="N1170" i="26"/>
  <c r="N1171" i="26"/>
  <c r="N1172" i="26"/>
  <c r="N1173" i="26"/>
  <c r="N1174" i="26"/>
  <c r="N1175" i="26"/>
  <c r="N1176" i="26"/>
  <c r="N1177" i="26"/>
  <c r="N1179" i="26"/>
  <c r="N1180" i="26"/>
  <c r="N1181" i="26"/>
  <c r="N1182" i="26"/>
  <c r="N1183" i="26"/>
  <c r="N1184" i="26"/>
  <c r="N1185" i="26"/>
  <c r="N1186" i="26"/>
  <c r="N1187" i="26"/>
  <c r="N1188" i="26"/>
  <c r="N1189" i="26"/>
  <c r="N1191" i="26"/>
  <c r="N1192" i="26"/>
  <c r="N1193" i="26"/>
  <c r="N1194" i="26"/>
  <c r="N1195" i="26"/>
  <c r="N1196" i="26"/>
  <c r="N1197" i="26"/>
  <c r="N1198" i="26"/>
  <c r="N1199" i="26"/>
  <c r="N1200" i="26"/>
  <c r="N1201" i="26"/>
  <c r="N1203" i="26"/>
  <c r="N1204" i="26"/>
  <c r="N1205" i="26"/>
  <c r="N1206" i="26"/>
  <c r="N1207" i="26"/>
  <c r="N1208" i="26"/>
  <c r="N1209" i="26"/>
  <c r="N1210" i="26"/>
  <c r="N1211" i="26"/>
  <c r="N1212" i="26"/>
  <c r="N1213" i="26"/>
  <c r="N1215" i="26"/>
  <c r="N1216" i="26"/>
  <c r="N1217" i="26"/>
  <c r="N1218" i="26"/>
  <c r="N1219" i="26"/>
  <c r="N1220" i="26"/>
  <c r="N1221" i="26"/>
  <c r="N1222" i="26"/>
  <c r="N1223" i="26"/>
  <c r="N1224" i="26"/>
  <c r="N1225" i="26"/>
  <c r="N1227" i="26"/>
  <c r="N1228" i="26"/>
  <c r="N1229" i="26"/>
  <c r="N1230" i="26"/>
  <c r="N1231" i="26"/>
  <c r="N1232" i="26"/>
  <c r="N1233" i="26"/>
  <c r="N1234" i="26"/>
  <c r="N1235" i="26"/>
  <c r="N1236" i="26"/>
  <c r="N1237" i="26"/>
  <c r="N1239" i="26"/>
  <c r="N1240" i="26"/>
  <c r="N1241" i="26"/>
  <c r="N1242" i="26"/>
  <c r="N1243" i="26"/>
  <c r="N1244" i="26"/>
  <c r="N1245" i="26"/>
  <c r="N1246" i="26"/>
  <c r="N1247" i="26"/>
  <c r="N1248" i="26"/>
  <c r="N1249" i="26"/>
  <c r="N1251" i="26"/>
  <c r="N1252" i="26"/>
  <c r="N1253" i="26"/>
  <c r="N1254" i="26"/>
  <c r="N1255" i="26"/>
  <c r="N1256" i="26"/>
  <c r="N1257" i="26"/>
  <c r="N1258" i="26"/>
  <c r="N1259" i="26"/>
  <c r="N1260" i="26"/>
  <c r="N1261" i="26"/>
  <c r="N1263" i="26"/>
  <c r="N1264" i="26"/>
  <c r="N1265" i="26"/>
  <c r="N1266" i="26"/>
  <c r="N1267" i="26"/>
  <c r="N1268" i="26"/>
  <c r="N1269" i="26"/>
  <c r="N1270" i="26"/>
  <c r="N1271" i="26"/>
  <c r="N1272" i="26"/>
  <c r="N1273" i="26"/>
  <c r="N1275" i="26"/>
  <c r="N1276" i="26"/>
  <c r="N1277" i="26"/>
  <c r="N1278" i="26"/>
  <c r="N1279" i="26"/>
  <c r="N1280" i="26"/>
  <c r="N1281" i="26"/>
  <c r="N1282" i="26"/>
  <c r="N1283" i="26"/>
  <c r="N1284" i="26"/>
  <c r="N1285" i="26"/>
  <c r="N1287" i="26"/>
  <c r="N1288" i="26"/>
  <c r="N1289" i="26"/>
  <c r="N1290" i="26"/>
  <c r="N1291" i="26"/>
  <c r="N1292" i="26"/>
  <c r="N1293" i="26"/>
  <c r="N1294" i="26"/>
  <c r="N1295" i="26"/>
  <c r="N1296" i="26"/>
  <c r="N1297" i="26"/>
  <c r="N1299" i="26"/>
  <c r="N1300" i="26"/>
  <c r="N1301" i="26"/>
  <c r="N1302" i="26"/>
  <c r="N1303" i="26"/>
  <c r="N1304" i="26"/>
  <c r="N1305" i="26"/>
  <c r="N1306" i="26"/>
  <c r="N1307" i="26"/>
  <c r="N1308" i="26"/>
  <c r="N1309" i="26"/>
  <c r="N1311" i="26"/>
  <c r="N1312" i="26"/>
  <c r="N1313" i="26"/>
  <c r="N1314" i="26"/>
  <c r="N1315" i="26"/>
  <c r="N1316" i="26"/>
  <c r="N1317" i="26"/>
  <c r="N1318" i="26"/>
  <c r="N1319" i="26"/>
  <c r="N1320" i="26"/>
  <c r="N1321" i="26"/>
  <c r="N1323" i="26"/>
  <c r="N1324" i="26"/>
  <c r="N1325" i="26"/>
  <c r="N1326" i="26"/>
  <c r="N1327" i="26"/>
  <c r="N1328" i="26"/>
  <c r="N1329" i="26"/>
  <c r="N1330" i="26"/>
  <c r="N1331" i="26"/>
  <c r="N1332" i="26"/>
  <c r="N1333" i="26"/>
  <c r="N1335" i="26"/>
  <c r="N1336" i="26"/>
  <c r="N1337" i="26"/>
  <c r="N1338" i="26"/>
  <c r="N1339" i="26"/>
  <c r="N1340" i="26"/>
  <c r="N1341" i="26"/>
  <c r="N1342" i="26"/>
  <c r="N1343" i="26"/>
  <c r="N1344" i="26"/>
  <c r="N1345" i="26"/>
  <c r="N1347" i="26"/>
  <c r="N1348" i="26"/>
  <c r="N1349" i="26"/>
  <c r="N1350" i="26"/>
  <c r="N1351" i="26"/>
  <c r="N1352" i="26"/>
  <c r="N1353" i="26"/>
  <c r="N1354" i="26"/>
  <c r="N1355" i="26"/>
  <c r="N1356" i="26"/>
  <c r="N1357" i="26"/>
  <c r="N1359" i="26"/>
  <c r="N1360" i="26"/>
  <c r="N1361" i="26"/>
  <c r="N1362" i="26"/>
  <c r="N1363" i="26"/>
  <c r="N1364" i="26"/>
  <c r="N1365" i="26"/>
  <c r="N1366" i="26"/>
  <c r="N1367" i="26"/>
  <c r="N1368" i="26"/>
  <c r="N1369" i="26"/>
  <c r="N1371" i="26"/>
  <c r="N1372" i="26"/>
  <c r="N1373" i="26"/>
  <c r="N1374" i="26"/>
  <c r="N1375" i="26"/>
  <c r="N1376" i="26"/>
  <c r="N1377" i="26"/>
  <c r="N1378" i="26"/>
  <c r="N1379" i="26"/>
  <c r="N1380" i="26"/>
  <c r="N1381" i="26"/>
  <c r="N1383" i="26"/>
  <c r="N1384" i="26"/>
  <c r="N1385" i="26"/>
  <c r="N1386" i="26"/>
  <c r="N1387" i="26"/>
  <c r="N1388" i="26"/>
  <c r="N1389" i="26"/>
  <c r="N1390" i="26"/>
  <c r="N1391" i="26"/>
  <c r="N1392" i="26"/>
  <c r="N1393" i="26"/>
  <c r="N1395" i="26"/>
  <c r="N1396" i="26"/>
  <c r="N1397" i="26"/>
  <c r="N1398" i="26"/>
  <c r="N1399" i="26"/>
  <c r="N1400" i="26"/>
  <c r="N1401" i="26"/>
  <c r="N1402" i="26"/>
  <c r="N1403" i="26"/>
  <c r="N1404" i="26"/>
  <c r="N1405" i="26"/>
  <c r="N1407" i="26"/>
  <c r="N1408" i="26"/>
  <c r="N1409" i="26"/>
  <c r="N1410" i="26"/>
  <c r="N1411" i="26"/>
  <c r="N1412" i="26"/>
  <c r="N1413" i="26"/>
  <c r="N1414" i="26"/>
  <c r="N1415" i="26"/>
  <c r="N1416" i="26"/>
  <c r="N1417" i="26"/>
  <c r="N1419" i="26"/>
  <c r="N1420" i="26"/>
  <c r="N1421" i="26"/>
  <c r="N1422" i="26"/>
  <c r="N1423" i="26"/>
  <c r="N1424" i="26"/>
  <c r="N1425" i="26"/>
  <c r="N1426" i="26"/>
  <c r="N1427" i="26"/>
  <c r="N1428" i="26"/>
  <c r="N1429" i="26"/>
  <c r="N1431" i="26"/>
  <c r="N1432" i="26"/>
  <c r="N1433" i="26"/>
  <c r="N1434" i="26"/>
  <c r="N1435" i="26"/>
  <c r="N1436" i="26"/>
  <c r="N1437" i="26"/>
  <c r="N1438" i="26"/>
  <c r="N1439" i="26"/>
  <c r="N1440" i="26"/>
  <c r="N1441" i="26"/>
  <c r="N1443" i="26"/>
  <c r="N1444" i="26"/>
  <c r="N1445" i="26"/>
  <c r="N1446" i="26"/>
  <c r="N1447" i="26"/>
  <c r="N1448" i="26"/>
  <c r="N1449" i="26"/>
  <c r="N1450" i="26"/>
  <c r="N1451" i="26"/>
  <c r="N1452" i="26"/>
  <c r="N1453" i="26"/>
  <c r="N1455" i="26"/>
  <c r="N1456" i="26"/>
  <c r="N1457" i="26"/>
  <c r="N1458" i="26"/>
  <c r="N1459" i="26"/>
  <c r="N1460" i="26"/>
  <c r="N1461" i="26"/>
  <c r="N1462" i="26"/>
  <c r="N1463" i="26"/>
  <c r="N1464" i="26"/>
  <c r="N1465" i="26"/>
  <c r="N1467" i="26"/>
  <c r="N1468" i="26"/>
  <c r="N1469" i="26"/>
  <c r="N1470" i="26"/>
  <c r="N1471" i="26"/>
  <c r="N1472" i="26"/>
  <c r="N1473" i="26"/>
  <c r="N1474" i="26"/>
  <c r="N1475" i="26"/>
  <c r="N1476" i="26"/>
  <c r="N1477" i="26"/>
  <c r="N1479" i="26"/>
  <c r="N1480" i="26"/>
  <c r="N1481" i="26"/>
  <c r="N1482" i="26"/>
  <c r="N1483" i="26"/>
  <c r="N1484" i="26"/>
  <c r="N1485" i="26"/>
  <c r="N1486" i="26"/>
  <c r="N1487" i="26"/>
  <c r="N1488" i="26"/>
  <c r="N1489" i="26"/>
  <c r="N1491" i="26"/>
  <c r="N1492" i="26"/>
  <c r="N1493" i="26"/>
  <c r="N1494" i="26"/>
  <c r="N1495" i="26"/>
  <c r="N1496" i="26"/>
  <c r="N1497" i="26"/>
  <c r="N1498" i="26"/>
  <c r="N1499" i="26"/>
  <c r="N1500" i="26"/>
  <c r="N1501" i="26"/>
  <c r="N1503" i="26"/>
  <c r="N1504" i="26"/>
  <c r="N1505" i="26"/>
  <c r="N1506" i="26"/>
  <c r="N1507" i="26"/>
  <c r="N1508" i="26"/>
  <c r="N1509" i="26"/>
  <c r="N1510" i="26"/>
  <c r="N1511" i="26"/>
  <c r="N1512" i="26"/>
  <c r="N1513" i="26"/>
  <c r="N1515" i="26"/>
  <c r="N1516" i="26"/>
  <c r="N1517" i="26"/>
  <c r="N1518" i="26"/>
  <c r="N1519" i="26"/>
  <c r="N1520" i="26"/>
  <c r="N1521" i="26"/>
  <c r="N1522" i="26"/>
  <c r="N1523" i="26"/>
  <c r="N1524" i="26"/>
  <c r="N1525" i="26"/>
  <c r="N1527" i="26"/>
  <c r="N1528" i="26"/>
  <c r="N1529" i="26"/>
  <c r="N1530" i="26"/>
  <c r="N1531" i="26"/>
  <c r="N1532" i="26"/>
  <c r="N1533" i="26"/>
  <c r="N1534" i="26"/>
  <c r="N1535" i="26"/>
  <c r="N1536" i="26"/>
  <c r="N1537" i="26"/>
  <c r="N1539" i="26"/>
  <c r="N1540" i="26"/>
  <c r="N1541" i="26"/>
  <c r="N1542" i="26"/>
  <c r="N1543" i="26"/>
  <c r="N1544" i="26"/>
  <c r="N1545" i="26"/>
  <c r="N1546" i="26"/>
  <c r="N1547" i="26"/>
  <c r="N1548" i="26"/>
  <c r="N1549" i="26"/>
  <c r="N1551" i="26"/>
  <c r="N1552" i="26"/>
  <c r="N1553" i="26"/>
  <c r="N1554" i="26"/>
  <c r="N1555" i="26"/>
  <c r="N1556" i="26"/>
  <c r="N1557" i="26"/>
  <c r="N1558" i="26"/>
  <c r="N1559" i="26"/>
  <c r="N1560" i="26"/>
  <c r="N1561" i="26"/>
  <c r="N1563" i="26"/>
  <c r="N1564" i="26"/>
  <c r="N1565" i="26"/>
  <c r="N1566" i="26"/>
  <c r="N1567" i="26"/>
  <c r="N1568" i="26"/>
  <c r="N1569" i="26"/>
  <c r="N1570" i="26"/>
  <c r="N1571" i="26"/>
  <c r="N1572" i="26"/>
  <c r="N1573" i="26"/>
  <c r="N1575" i="26"/>
  <c r="N1576" i="26"/>
  <c r="N1577" i="26"/>
  <c r="N1578" i="26"/>
  <c r="N1579" i="26"/>
  <c r="N1580" i="26"/>
  <c r="N1581" i="26"/>
  <c r="N1582" i="26"/>
  <c r="N1583" i="26"/>
  <c r="N1584" i="26"/>
  <c r="N1585" i="26"/>
  <c r="N1587" i="26"/>
  <c r="N1588" i="26"/>
  <c r="N1589" i="26"/>
  <c r="N1590" i="26"/>
  <c r="N1591" i="26"/>
  <c r="N1592" i="26"/>
  <c r="N1593" i="26"/>
  <c r="N1594" i="26"/>
  <c r="N1595" i="26"/>
  <c r="N1596" i="26"/>
  <c r="N1597" i="26"/>
  <c r="N1599" i="26"/>
  <c r="N1600" i="26"/>
  <c r="N1601" i="26"/>
  <c r="N1602" i="26"/>
  <c r="N1603" i="26"/>
  <c r="N1604" i="26"/>
  <c r="N1605" i="26"/>
  <c r="N1606" i="26"/>
  <c r="N1607" i="26"/>
  <c r="N1608" i="26"/>
  <c r="N1609" i="26"/>
  <c r="N1611" i="26"/>
  <c r="N1612" i="26"/>
  <c r="N1613" i="26"/>
  <c r="N1614" i="26"/>
  <c r="N1615" i="26"/>
  <c r="N1616" i="26"/>
  <c r="N1617" i="26"/>
  <c r="N1618" i="26"/>
  <c r="N1619" i="26"/>
  <c r="N1620" i="26"/>
  <c r="N1621" i="26"/>
  <c r="N1623" i="26"/>
  <c r="N1624" i="26"/>
  <c r="N1625" i="26"/>
  <c r="N1626" i="26"/>
  <c r="N1627" i="26"/>
  <c r="N1628" i="26"/>
  <c r="N1629" i="26"/>
  <c r="N1630" i="26"/>
  <c r="N1631" i="26"/>
  <c r="N1632" i="26"/>
  <c r="N1633" i="26"/>
  <c r="N1635" i="26"/>
  <c r="N1636" i="26"/>
  <c r="N1637" i="26"/>
  <c r="N1638" i="26"/>
  <c r="N1639" i="26"/>
  <c r="N1640" i="26"/>
  <c r="N1641" i="26"/>
  <c r="N1642" i="26"/>
  <c r="N1643" i="26"/>
  <c r="N1644" i="26"/>
  <c r="N1645" i="26"/>
  <c r="N1647" i="26"/>
  <c r="N1648" i="26"/>
  <c r="N1649" i="26"/>
  <c r="N1650" i="26"/>
  <c r="N1651" i="26"/>
  <c r="N1652" i="26"/>
  <c r="O3" i="26"/>
  <c r="O4" i="26"/>
  <c r="O5" i="26"/>
  <c r="O6" i="26"/>
  <c r="O7" i="26"/>
  <c r="O8" i="26"/>
  <c r="O9" i="26"/>
  <c r="O10" i="26"/>
  <c r="O11" i="26"/>
  <c r="O12" i="26"/>
  <c r="O13" i="26"/>
  <c r="O14" i="26"/>
  <c r="O15" i="26"/>
  <c r="O16" i="26"/>
  <c r="O17" i="26"/>
  <c r="O18" i="26"/>
  <c r="O19" i="26"/>
  <c r="O20" i="26"/>
  <c r="O21" i="26"/>
  <c r="O22" i="26"/>
  <c r="O23" i="26"/>
  <c r="O24" i="26"/>
  <c r="O25" i="26"/>
  <c r="O26" i="26"/>
  <c r="O27" i="26"/>
  <c r="O28" i="26"/>
  <c r="O29" i="26"/>
  <c r="O30" i="26"/>
  <c r="O31" i="26"/>
  <c r="O32" i="26"/>
  <c r="O33" i="26"/>
  <c r="O34" i="26"/>
  <c r="O35" i="26"/>
  <c r="O36" i="26"/>
  <c r="O37" i="26"/>
  <c r="O38" i="26"/>
  <c r="O39" i="26"/>
  <c r="O40" i="26"/>
  <c r="O41" i="26"/>
  <c r="O42" i="26"/>
  <c r="O43" i="26"/>
  <c r="O44" i="26"/>
  <c r="O45" i="26"/>
  <c r="O46" i="26"/>
  <c r="O47" i="26"/>
  <c r="O48" i="26"/>
  <c r="O49" i="26"/>
  <c r="O50" i="26"/>
  <c r="O51" i="26"/>
  <c r="O52" i="26"/>
  <c r="O53" i="26"/>
  <c r="O54" i="26"/>
  <c r="O55" i="26"/>
  <c r="O56" i="26"/>
  <c r="O57" i="26"/>
  <c r="O58" i="26"/>
  <c r="O59" i="26"/>
  <c r="O60" i="26"/>
  <c r="O61" i="26"/>
  <c r="O62" i="26"/>
  <c r="O63" i="26"/>
  <c r="O64" i="26"/>
  <c r="O65" i="26"/>
  <c r="O66" i="26"/>
  <c r="O67" i="26"/>
  <c r="O68" i="26"/>
  <c r="O69" i="26"/>
  <c r="O70" i="26"/>
  <c r="O71" i="26"/>
  <c r="O72" i="26"/>
  <c r="O73" i="26"/>
  <c r="O74" i="26"/>
  <c r="O75" i="26"/>
  <c r="O76" i="26"/>
  <c r="O77" i="26"/>
  <c r="O78" i="26"/>
  <c r="O79" i="26"/>
  <c r="O80" i="26"/>
  <c r="O81" i="26"/>
  <c r="O82" i="26"/>
  <c r="O83" i="26"/>
  <c r="O84" i="26"/>
  <c r="O85" i="26"/>
  <c r="O86" i="26"/>
  <c r="O87" i="26"/>
  <c r="O88" i="26"/>
  <c r="O89" i="26"/>
  <c r="O90" i="26"/>
  <c r="O91" i="26"/>
  <c r="O92" i="26"/>
  <c r="O93" i="26"/>
  <c r="O94" i="26"/>
  <c r="O95" i="26"/>
  <c r="O96" i="26"/>
  <c r="O97" i="26"/>
  <c r="O98" i="26"/>
  <c r="O99" i="26"/>
  <c r="O100" i="26"/>
  <c r="O101" i="26"/>
  <c r="O102" i="26"/>
  <c r="O103" i="26"/>
  <c r="O104" i="26"/>
  <c r="O105" i="26"/>
  <c r="O106" i="26"/>
  <c r="O107" i="26"/>
  <c r="O108" i="26"/>
  <c r="O109" i="26"/>
  <c r="O110" i="26"/>
  <c r="O111" i="26"/>
  <c r="O112" i="26"/>
  <c r="O113" i="26"/>
  <c r="O114" i="26"/>
  <c r="O115" i="26"/>
  <c r="O116" i="26"/>
  <c r="O117" i="26"/>
  <c r="O118" i="26"/>
  <c r="O119" i="26"/>
  <c r="O120" i="26"/>
  <c r="O121" i="26"/>
  <c r="O122" i="26"/>
  <c r="O123" i="26"/>
  <c r="O124" i="26"/>
  <c r="O125" i="26"/>
  <c r="O126" i="26"/>
  <c r="O127" i="26"/>
  <c r="O128" i="26"/>
  <c r="O129" i="26"/>
  <c r="O130" i="26"/>
  <c r="O131" i="26"/>
  <c r="O132" i="26"/>
  <c r="O133" i="26"/>
  <c r="O134" i="26"/>
  <c r="O135" i="26"/>
  <c r="O136" i="26"/>
  <c r="O137" i="26"/>
  <c r="O138" i="26"/>
  <c r="O139" i="26"/>
  <c r="O140" i="26"/>
  <c r="O141" i="26"/>
  <c r="O142" i="26"/>
  <c r="O143" i="26"/>
  <c r="O144" i="26"/>
  <c r="O145" i="26"/>
  <c r="O146" i="26"/>
  <c r="O147" i="26"/>
  <c r="O148" i="26"/>
  <c r="O149" i="26"/>
  <c r="O150" i="26"/>
  <c r="O151" i="26"/>
  <c r="O152" i="26"/>
  <c r="O153" i="26"/>
  <c r="O154" i="26"/>
  <c r="O155" i="26"/>
  <c r="O156" i="26"/>
  <c r="O157" i="26"/>
  <c r="O158" i="26"/>
  <c r="O159" i="26"/>
  <c r="O160" i="26"/>
  <c r="O161" i="26"/>
  <c r="O162" i="26"/>
  <c r="O163" i="26"/>
  <c r="O164" i="26"/>
  <c r="O165" i="26"/>
  <c r="O166" i="26"/>
  <c r="O167" i="26"/>
  <c r="O168" i="26"/>
  <c r="O169" i="26"/>
  <c r="O170" i="26"/>
  <c r="O171" i="26"/>
  <c r="O172" i="26"/>
  <c r="O173" i="26"/>
  <c r="O174" i="26"/>
  <c r="O175" i="26"/>
  <c r="O176" i="26"/>
  <c r="O177" i="26"/>
  <c r="O178" i="26"/>
  <c r="O179" i="26"/>
  <c r="O180" i="26"/>
  <c r="O181" i="26"/>
  <c r="O182" i="26"/>
  <c r="O183" i="26"/>
  <c r="O184" i="26"/>
  <c r="O185" i="26"/>
  <c r="O186" i="26"/>
  <c r="O187" i="26"/>
  <c r="O188" i="26"/>
  <c r="O189" i="26"/>
  <c r="O190" i="26"/>
  <c r="O191" i="26"/>
  <c r="O192" i="26"/>
  <c r="O193" i="26"/>
  <c r="O194" i="26"/>
  <c r="O195" i="26"/>
  <c r="O196" i="26"/>
  <c r="O197" i="26"/>
  <c r="O198" i="26"/>
  <c r="O199" i="26"/>
  <c r="O200" i="26"/>
  <c r="O201" i="26"/>
  <c r="O202" i="26"/>
  <c r="O203" i="26"/>
  <c r="O204" i="26"/>
  <c r="O205" i="26"/>
  <c r="O206" i="26"/>
  <c r="O207" i="26"/>
  <c r="O208" i="26"/>
  <c r="O209" i="26"/>
  <c r="O210" i="26"/>
  <c r="O211" i="26"/>
  <c r="O212" i="26"/>
  <c r="O213" i="26"/>
  <c r="O214" i="26"/>
  <c r="O215" i="26"/>
  <c r="O216" i="26"/>
  <c r="O217" i="26"/>
  <c r="O218" i="26"/>
  <c r="O219" i="26"/>
  <c r="O220" i="26"/>
  <c r="O221" i="26"/>
  <c r="O222" i="26"/>
  <c r="O223" i="26"/>
  <c r="O224" i="26"/>
  <c r="O225" i="26"/>
  <c r="O226" i="26"/>
  <c r="O227" i="26"/>
  <c r="O228" i="26"/>
  <c r="O229" i="26"/>
  <c r="O230" i="26"/>
  <c r="O231" i="26"/>
  <c r="O232" i="26"/>
  <c r="O233" i="26"/>
  <c r="O234" i="26"/>
  <c r="O235" i="26"/>
  <c r="O236" i="26"/>
  <c r="O237" i="26"/>
  <c r="O238" i="26"/>
  <c r="O239" i="26"/>
  <c r="O240" i="26"/>
  <c r="O241" i="26"/>
  <c r="O242" i="26"/>
  <c r="O243" i="26"/>
  <c r="O244" i="26"/>
  <c r="O245" i="26"/>
  <c r="O246" i="26"/>
  <c r="O247" i="26"/>
  <c r="O248" i="26"/>
  <c r="O249" i="26"/>
  <c r="O250" i="26"/>
  <c r="O251" i="26"/>
  <c r="O252" i="26"/>
  <c r="O253" i="26"/>
  <c r="O254" i="26"/>
  <c r="O255" i="26"/>
  <c r="O256" i="26"/>
  <c r="O257" i="26"/>
  <c r="O258" i="26"/>
  <c r="O259" i="26"/>
  <c r="O260" i="26"/>
  <c r="O261" i="26"/>
  <c r="O262" i="26"/>
  <c r="O263" i="26"/>
  <c r="O264" i="26"/>
  <c r="O265" i="26"/>
  <c r="O266" i="26"/>
  <c r="O267" i="26"/>
  <c r="O268" i="26"/>
  <c r="O269" i="26"/>
  <c r="O270" i="26"/>
  <c r="O271" i="26"/>
  <c r="O272" i="26"/>
  <c r="O273" i="26"/>
  <c r="O274" i="26"/>
  <c r="O275" i="26"/>
  <c r="O276" i="26"/>
  <c r="O277" i="26"/>
  <c r="O278" i="26"/>
  <c r="O279" i="26"/>
  <c r="O280" i="26"/>
  <c r="O281" i="26"/>
  <c r="O282" i="26"/>
  <c r="O283" i="26"/>
  <c r="O284" i="26"/>
  <c r="O285" i="26"/>
  <c r="O286" i="26"/>
  <c r="O287" i="26"/>
  <c r="O288" i="26"/>
  <c r="O289" i="26"/>
  <c r="O290" i="26"/>
  <c r="O291" i="26"/>
  <c r="O292" i="26"/>
  <c r="O293" i="26"/>
  <c r="O294" i="26"/>
  <c r="O295" i="26"/>
  <c r="O296" i="26"/>
  <c r="O297" i="26"/>
  <c r="O298" i="26"/>
  <c r="O299" i="26"/>
  <c r="O300" i="26"/>
  <c r="O301" i="26"/>
  <c r="O302" i="26"/>
  <c r="O303" i="26"/>
  <c r="O304" i="26"/>
  <c r="O305" i="26"/>
  <c r="O306" i="26"/>
  <c r="O307" i="26"/>
  <c r="O308" i="26"/>
  <c r="O309" i="26"/>
  <c r="O310" i="26"/>
  <c r="O311" i="26"/>
  <c r="O312" i="26"/>
  <c r="O313" i="26"/>
  <c r="O314" i="26"/>
  <c r="O315" i="26"/>
  <c r="O316" i="26"/>
  <c r="O317" i="26"/>
  <c r="O318" i="26"/>
  <c r="O319" i="26"/>
  <c r="O320" i="26"/>
  <c r="O321" i="26"/>
  <c r="O322" i="26"/>
  <c r="O323" i="26"/>
  <c r="O324" i="26"/>
  <c r="O325" i="26"/>
  <c r="O326" i="26"/>
  <c r="O327" i="26"/>
  <c r="O328" i="26"/>
  <c r="O329" i="26"/>
  <c r="O330" i="26"/>
  <c r="O331" i="26"/>
  <c r="O332" i="26"/>
  <c r="O333" i="26"/>
  <c r="O334" i="26"/>
  <c r="O335" i="26"/>
  <c r="O336" i="26"/>
  <c r="O337" i="26"/>
  <c r="O338" i="26"/>
  <c r="O339" i="26"/>
  <c r="O340" i="26"/>
  <c r="O341" i="26"/>
  <c r="O342" i="26"/>
  <c r="O343" i="26"/>
  <c r="O344" i="26"/>
  <c r="O345" i="26"/>
  <c r="O346" i="26"/>
  <c r="O347" i="26"/>
  <c r="O348" i="26"/>
  <c r="O349" i="26"/>
  <c r="O350" i="26"/>
  <c r="O351" i="26"/>
  <c r="O352" i="26"/>
  <c r="O353" i="26"/>
  <c r="O354" i="26"/>
  <c r="O355" i="26"/>
  <c r="O356" i="26"/>
  <c r="O357" i="26"/>
  <c r="O358" i="26"/>
  <c r="O359" i="26"/>
  <c r="O360" i="26"/>
  <c r="O361" i="26"/>
  <c r="O362" i="26"/>
  <c r="O363" i="26"/>
  <c r="O364" i="26"/>
  <c r="O365" i="26"/>
  <c r="O366" i="26"/>
  <c r="O367" i="26"/>
  <c r="O368" i="26"/>
  <c r="O369" i="26"/>
  <c r="O370" i="26"/>
  <c r="O371" i="26"/>
  <c r="O372" i="26"/>
  <c r="O373" i="26"/>
  <c r="O374" i="26"/>
  <c r="O375" i="26"/>
  <c r="O376" i="26"/>
  <c r="O377" i="26"/>
  <c r="O378" i="26"/>
  <c r="O379" i="26"/>
  <c r="O380" i="26"/>
  <c r="O381" i="26"/>
  <c r="O382" i="26"/>
  <c r="O383" i="26"/>
  <c r="O384" i="26"/>
  <c r="O385" i="26"/>
  <c r="O386" i="26"/>
  <c r="O387" i="26"/>
  <c r="O388" i="26"/>
  <c r="O389" i="26"/>
  <c r="O390" i="26"/>
  <c r="O391" i="26"/>
  <c r="O392" i="26"/>
  <c r="O393" i="26"/>
  <c r="O394" i="26"/>
  <c r="O395" i="26"/>
  <c r="O396" i="26"/>
  <c r="O397" i="26"/>
  <c r="O398" i="26"/>
  <c r="O399" i="26"/>
  <c r="O400" i="26"/>
  <c r="O401" i="26"/>
  <c r="O402" i="26"/>
  <c r="O403" i="26"/>
  <c r="O404" i="26"/>
  <c r="O405" i="26"/>
  <c r="O406" i="26"/>
  <c r="O407" i="26"/>
  <c r="O408" i="26"/>
  <c r="O409" i="26"/>
  <c r="O410" i="26"/>
  <c r="O411" i="26"/>
  <c r="O412" i="26"/>
  <c r="O413" i="26"/>
  <c r="O414" i="26"/>
  <c r="O415" i="26"/>
  <c r="O416" i="26"/>
  <c r="O417" i="26"/>
  <c r="O418" i="26"/>
  <c r="O419" i="26"/>
  <c r="O420" i="26"/>
  <c r="O421" i="26"/>
  <c r="O422" i="26"/>
  <c r="O423" i="26"/>
  <c r="O424" i="26"/>
  <c r="O425" i="26"/>
  <c r="O426" i="26"/>
  <c r="O427" i="26"/>
  <c r="O428" i="26"/>
  <c r="O429" i="26"/>
  <c r="O430" i="26"/>
  <c r="O431" i="26"/>
  <c r="O432" i="26"/>
  <c r="O433" i="26"/>
  <c r="O434" i="26"/>
  <c r="O435" i="26"/>
  <c r="O436" i="26"/>
  <c r="O437" i="26"/>
  <c r="O438" i="26"/>
  <c r="O439" i="26"/>
  <c r="O440" i="26"/>
  <c r="O441" i="26"/>
  <c r="O442" i="26"/>
  <c r="O443" i="26"/>
  <c r="O444" i="26"/>
  <c r="O445" i="26"/>
  <c r="O446" i="26"/>
  <c r="O447" i="26"/>
  <c r="O448" i="26"/>
  <c r="O449" i="26"/>
  <c r="O450" i="26"/>
  <c r="O451" i="26"/>
  <c r="O452" i="26"/>
  <c r="O453" i="26"/>
  <c r="O454" i="26"/>
  <c r="O455" i="26"/>
  <c r="O456" i="26"/>
  <c r="O457" i="26"/>
  <c r="O458" i="26"/>
  <c r="O459" i="26"/>
  <c r="O460" i="26"/>
  <c r="O461" i="26"/>
  <c r="O462" i="26"/>
  <c r="O463" i="26"/>
  <c r="O464" i="26"/>
  <c r="O465" i="26"/>
  <c r="O466" i="26"/>
  <c r="O467" i="26"/>
  <c r="O468" i="26"/>
  <c r="O469" i="26"/>
  <c r="O470" i="26"/>
  <c r="O471" i="26"/>
  <c r="O472" i="26"/>
  <c r="O473" i="26"/>
  <c r="O474" i="26"/>
  <c r="O475" i="26"/>
  <c r="O476" i="26"/>
  <c r="O477" i="26"/>
  <c r="O478" i="26"/>
  <c r="O479" i="26"/>
  <c r="O480" i="26"/>
  <c r="O481" i="26"/>
  <c r="O482" i="26"/>
  <c r="O483" i="26"/>
  <c r="O484" i="26"/>
  <c r="O485" i="26"/>
  <c r="O486" i="26"/>
  <c r="O487" i="26"/>
  <c r="O488" i="26"/>
  <c r="O489" i="26"/>
  <c r="O490" i="26"/>
  <c r="O491" i="26"/>
  <c r="O492" i="26"/>
  <c r="O493" i="26"/>
  <c r="O494" i="26"/>
  <c r="O495" i="26"/>
  <c r="O496" i="26"/>
  <c r="O497" i="26"/>
  <c r="O498" i="26"/>
  <c r="O499" i="26"/>
  <c r="O500" i="26"/>
  <c r="O501" i="26"/>
  <c r="O502" i="26"/>
  <c r="O503" i="26"/>
  <c r="O504" i="26"/>
  <c r="O505" i="26"/>
  <c r="O506" i="26"/>
  <c r="O507" i="26"/>
  <c r="O508" i="26"/>
  <c r="O509" i="26"/>
  <c r="O510" i="26"/>
  <c r="O511" i="26"/>
  <c r="O512" i="26"/>
  <c r="O513" i="26"/>
  <c r="O514" i="26"/>
  <c r="O515" i="26"/>
  <c r="O516" i="26"/>
  <c r="O517" i="26"/>
  <c r="O518" i="26"/>
  <c r="O519" i="26"/>
  <c r="O520" i="26"/>
  <c r="O521" i="26"/>
  <c r="O522" i="26"/>
  <c r="O523" i="26"/>
  <c r="O524" i="26"/>
  <c r="O525" i="26"/>
  <c r="O526" i="26"/>
  <c r="O527" i="26"/>
  <c r="O528" i="26"/>
  <c r="O529" i="26"/>
  <c r="O530" i="26"/>
  <c r="O531" i="26"/>
  <c r="O532" i="26"/>
  <c r="O533" i="26"/>
  <c r="O534" i="26"/>
  <c r="O535" i="26"/>
  <c r="O536" i="26"/>
  <c r="O537" i="26"/>
  <c r="O538" i="26"/>
  <c r="O539" i="26"/>
  <c r="O540" i="26"/>
  <c r="O541" i="26"/>
  <c r="O542" i="26"/>
  <c r="O543" i="26"/>
  <c r="O544" i="26"/>
  <c r="O545" i="26"/>
  <c r="O546" i="26"/>
  <c r="O547" i="26"/>
  <c r="O548" i="26"/>
  <c r="O549" i="26"/>
  <c r="O550" i="26"/>
  <c r="O551" i="26"/>
  <c r="O552" i="26"/>
  <c r="O553" i="26"/>
  <c r="O554" i="26"/>
  <c r="O555" i="26"/>
  <c r="O556" i="26"/>
  <c r="O557" i="26"/>
  <c r="O558" i="26"/>
  <c r="O559" i="26"/>
  <c r="O560" i="26"/>
  <c r="O561" i="26"/>
  <c r="O562" i="26"/>
  <c r="O563" i="26"/>
  <c r="O564" i="26"/>
  <c r="O565" i="26"/>
  <c r="O566" i="26"/>
  <c r="O567" i="26"/>
  <c r="O568" i="26"/>
  <c r="O569" i="26"/>
  <c r="O570" i="26"/>
  <c r="O571" i="26"/>
  <c r="O572" i="26"/>
  <c r="O573" i="26"/>
  <c r="O574" i="26"/>
  <c r="O575" i="26"/>
  <c r="O576" i="26"/>
  <c r="O577" i="26"/>
  <c r="O578" i="26"/>
  <c r="O579" i="26"/>
  <c r="O580" i="26"/>
  <c r="O581" i="26"/>
  <c r="O582" i="26"/>
  <c r="O583" i="26"/>
  <c r="O584" i="26"/>
  <c r="O585" i="26"/>
  <c r="O586" i="26"/>
  <c r="O587" i="26"/>
  <c r="O588" i="26"/>
  <c r="O589" i="26"/>
  <c r="O590" i="26"/>
  <c r="O591" i="26"/>
  <c r="O592" i="26"/>
  <c r="O593" i="26"/>
  <c r="O594" i="26"/>
  <c r="O595" i="26"/>
  <c r="O596" i="26"/>
  <c r="O597" i="26"/>
  <c r="O598" i="26"/>
  <c r="O599" i="26"/>
  <c r="O600" i="26"/>
  <c r="O601" i="26"/>
  <c r="O602" i="26"/>
  <c r="O603" i="26"/>
  <c r="O604" i="26"/>
  <c r="O605" i="26"/>
  <c r="O606" i="26"/>
  <c r="O607" i="26"/>
  <c r="O608" i="26"/>
  <c r="O609" i="26"/>
  <c r="O610" i="26"/>
  <c r="O611" i="26"/>
  <c r="O612" i="26"/>
  <c r="O613" i="26"/>
  <c r="O614" i="26"/>
  <c r="O615" i="26"/>
  <c r="O616" i="26"/>
  <c r="O617" i="26"/>
  <c r="O618" i="26"/>
  <c r="O619" i="26"/>
  <c r="O620" i="26"/>
  <c r="O621" i="26"/>
  <c r="O622" i="26"/>
  <c r="O623" i="26"/>
  <c r="O624" i="26"/>
  <c r="O625" i="26"/>
  <c r="O626" i="26"/>
  <c r="O627" i="26"/>
  <c r="O628" i="26"/>
  <c r="O629" i="26"/>
  <c r="O630" i="26"/>
  <c r="O631" i="26"/>
  <c r="O632" i="26"/>
  <c r="O633" i="26"/>
  <c r="O634" i="26"/>
  <c r="O635" i="26"/>
  <c r="O636" i="26"/>
  <c r="O637" i="26"/>
  <c r="O638" i="26"/>
  <c r="O639" i="26"/>
  <c r="O640" i="26"/>
  <c r="O641" i="26"/>
  <c r="O642" i="26"/>
  <c r="O643" i="26"/>
  <c r="O644" i="26"/>
  <c r="O645" i="26"/>
  <c r="O646" i="26"/>
  <c r="O647" i="26"/>
  <c r="O648" i="26"/>
  <c r="O649" i="26"/>
  <c r="O650" i="26"/>
  <c r="O651" i="26"/>
  <c r="O652" i="26"/>
  <c r="O653" i="26"/>
  <c r="O654" i="26"/>
  <c r="O655" i="26"/>
  <c r="O656" i="26"/>
  <c r="O657" i="26"/>
  <c r="O658" i="26"/>
  <c r="O659" i="26"/>
  <c r="O660" i="26"/>
  <c r="O661" i="26"/>
  <c r="O662" i="26"/>
  <c r="O663" i="26"/>
  <c r="O664" i="26"/>
  <c r="O665" i="26"/>
  <c r="O666" i="26"/>
  <c r="O667" i="26"/>
  <c r="O668" i="26"/>
  <c r="O669" i="26"/>
  <c r="O670" i="26"/>
  <c r="O671" i="26"/>
  <c r="O672" i="26"/>
  <c r="O673" i="26"/>
  <c r="O674" i="26"/>
  <c r="O675" i="26"/>
  <c r="O676" i="26"/>
  <c r="O677" i="26"/>
  <c r="O678" i="26"/>
  <c r="O679" i="26"/>
  <c r="O680" i="26"/>
  <c r="O681" i="26"/>
  <c r="O682" i="26"/>
  <c r="O683" i="26"/>
  <c r="O684" i="26"/>
  <c r="O685" i="26"/>
  <c r="O686" i="26"/>
  <c r="O687" i="26"/>
  <c r="O688" i="26"/>
  <c r="O689" i="26"/>
  <c r="O690" i="26"/>
  <c r="O691" i="26"/>
  <c r="O692" i="26"/>
  <c r="O693" i="26"/>
  <c r="O694" i="26"/>
  <c r="O695" i="26"/>
  <c r="O696" i="26"/>
  <c r="O697" i="26"/>
  <c r="O698" i="26"/>
  <c r="O699" i="26"/>
  <c r="O700" i="26"/>
  <c r="O701" i="26"/>
  <c r="O702" i="26"/>
  <c r="O703" i="26"/>
  <c r="O704" i="26"/>
  <c r="O705" i="26"/>
  <c r="O706" i="26"/>
  <c r="O707" i="26"/>
  <c r="O708" i="26"/>
  <c r="O709" i="26"/>
  <c r="O710" i="26"/>
  <c r="O711" i="26"/>
  <c r="O712" i="26"/>
  <c r="O713" i="26"/>
  <c r="O714" i="26"/>
  <c r="O715" i="26"/>
  <c r="O716" i="26"/>
  <c r="O717" i="26"/>
  <c r="O718" i="26"/>
  <c r="O719" i="26"/>
  <c r="O720" i="26"/>
  <c r="O721" i="26"/>
  <c r="O722" i="26"/>
  <c r="O723" i="26"/>
  <c r="O724" i="26"/>
  <c r="O725" i="26"/>
  <c r="O726" i="26"/>
  <c r="O727" i="26"/>
  <c r="O728" i="26"/>
  <c r="O729" i="26"/>
  <c r="O730" i="26"/>
  <c r="O731" i="26"/>
  <c r="O732" i="26"/>
  <c r="O733" i="26"/>
  <c r="O734" i="26"/>
  <c r="O735" i="26"/>
  <c r="O736" i="26"/>
  <c r="O737" i="26"/>
  <c r="O738" i="26"/>
  <c r="O739" i="26"/>
  <c r="O740" i="26"/>
  <c r="O741" i="26"/>
  <c r="O742" i="26"/>
  <c r="O743" i="26"/>
  <c r="O744" i="26"/>
  <c r="O745" i="26"/>
  <c r="O746" i="26"/>
  <c r="O747" i="26"/>
  <c r="O748" i="26"/>
  <c r="O749" i="26"/>
  <c r="O750" i="26"/>
  <c r="O751" i="26"/>
  <c r="O752" i="26"/>
  <c r="O753" i="26"/>
  <c r="O754" i="26"/>
  <c r="O755" i="26"/>
  <c r="O756" i="26"/>
  <c r="O757" i="26"/>
  <c r="O758" i="26"/>
  <c r="O759" i="26"/>
  <c r="O760" i="26"/>
  <c r="O761" i="26"/>
  <c r="O762" i="26"/>
  <c r="O763" i="26"/>
  <c r="O764" i="26"/>
  <c r="O765" i="26"/>
  <c r="O766" i="26"/>
  <c r="O767" i="26"/>
  <c r="O768" i="26"/>
  <c r="O769" i="26"/>
  <c r="O770" i="26"/>
  <c r="O771" i="26"/>
  <c r="O772" i="26"/>
  <c r="O773" i="26"/>
  <c r="O774" i="26"/>
  <c r="O775" i="26"/>
  <c r="O776" i="26"/>
  <c r="O777" i="26"/>
  <c r="O778" i="26"/>
  <c r="O779" i="26"/>
  <c r="O780" i="26"/>
  <c r="O781" i="26"/>
  <c r="O782" i="26"/>
  <c r="O783" i="26"/>
  <c r="O784" i="26"/>
  <c r="O785" i="26"/>
  <c r="O786" i="26"/>
  <c r="O787" i="26"/>
  <c r="O788" i="26"/>
  <c r="O789" i="26"/>
  <c r="O790" i="26"/>
  <c r="O791" i="26"/>
  <c r="O792" i="26"/>
  <c r="O793" i="26"/>
  <c r="O794" i="26"/>
  <c r="O795" i="26"/>
  <c r="O796" i="26"/>
  <c r="O797" i="26"/>
  <c r="O798" i="26"/>
  <c r="O799" i="26"/>
  <c r="O800" i="26"/>
  <c r="O801" i="26"/>
  <c r="O802" i="26"/>
  <c r="O803" i="26"/>
  <c r="O804" i="26"/>
  <c r="O805" i="26"/>
  <c r="O806" i="26"/>
  <c r="O807" i="26"/>
  <c r="O808" i="26"/>
  <c r="O809" i="26"/>
  <c r="O810" i="26"/>
  <c r="O811" i="26"/>
  <c r="O812" i="26"/>
  <c r="O813" i="26"/>
  <c r="O814" i="26"/>
  <c r="O815" i="26"/>
  <c r="O816" i="26"/>
  <c r="O817" i="26"/>
  <c r="O818" i="26"/>
  <c r="O819" i="26"/>
  <c r="O820" i="26"/>
  <c r="O821" i="26"/>
  <c r="O822" i="26"/>
  <c r="O823" i="26"/>
  <c r="O824" i="26"/>
  <c r="O825" i="26"/>
  <c r="O826" i="26"/>
  <c r="O827" i="26"/>
  <c r="O828" i="26"/>
  <c r="O829" i="26"/>
  <c r="O830" i="26"/>
  <c r="O831" i="26"/>
  <c r="O832" i="26"/>
  <c r="O833" i="26"/>
  <c r="O834" i="26"/>
  <c r="O835" i="26"/>
  <c r="O836" i="26"/>
  <c r="O837" i="26"/>
  <c r="O838" i="26"/>
  <c r="O839" i="26"/>
  <c r="O840" i="26"/>
  <c r="O841" i="26"/>
  <c r="O842" i="26"/>
  <c r="O843" i="26"/>
  <c r="O844" i="26"/>
  <c r="O845" i="26"/>
  <c r="O846" i="26"/>
  <c r="O847" i="26"/>
  <c r="O848" i="26"/>
  <c r="O849" i="26"/>
  <c r="O850" i="26"/>
  <c r="O851" i="26"/>
  <c r="O852" i="26"/>
  <c r="O853" i="26"/>
  <c r="O854" i="26"/>
  <c r="O855" i="26"/>
  <c r="O856" i="26"/>
  <c r="O857" i="26"/>
  <c r="O858" i="26"/>
  <c r="O859" i="26"/>
  <c r="O860" i="26"/>
  <c r="O861" i="26"/>
  <c r="O862" i="26"/>
  <c r="O863" i="26"/>
  <c r="O864" i="26"/>
  <c r="O865" i="26"/>
  <c r="O866" i="26"/>
  <c r="O867" i="26"/>
  <c r="O868" i="26"/>
  <c r="O869" i="26"/>
  <c r="O870" i="26"/>
  <c r="O871" i="26"/>
  <c r="O872" i="26"/>
  <c r="O873" i="26"/>
  <c r="O874" i="26"/>
  <c r="O875" i="26"/>
  <c r="O876" i="26"/>
  <c r="O877" i="26"/>
  <c r="O878" i="26"/>
  <c r="O879" i="26"/>
  <c r="O880" i="26"/>
  <c r="O881" i="26"/>
  <c r="O882" i="26"/>
  <c r="O883" i="26"/>
  <c r="O884" i="26"/>
  <c r="O885" i="26"/>
  <c r="O886" i="26"/>
  <c r="O887" i="26"/>
  <c r="O888" i="26"/>
  <c r="O889" i="26"/>
  <c r="O890" i="26"/>
  <c r="O891" i="26"/>
  <c r="O892" i="26"/>
  <c r="O893" i="26"/>
  <c r="O894" i="26"/>
  <c r="O895" i="26"/>
  <c r="O896" i="26"/>
  <c r="O897" i="26"/>
  <c r="O898" i="26"/>
  <c r="O899" i="26"/>
  <c r="O900" i="26"/>
  <c r="O901" i="26"/>
  <c r="O902" i="26"/>
  <c r="O903" i="26"/>
  <c r="O904" i="26"/>
  <c r="O905" i="26"/>
  <c r="O906" i="26"/>
  <c r="O907" i="26"/>
  <c r="O908" i="26"/>
  <c r="O909" i="26"/>
  <c r="O910" i="26"/>
  <c r="O911" i="26"/>
  <c r="O912" i="26"/>
  <c r="O913" i="26"/>
  <c r="O914" i="26"/>
  <c r="O915" i="26"/>
  <c r="O916" i="26"/>
  <c r="O917" i="26"/>
  <c r="O918" i="26"/>
  <c r="O919" i="26"/>
  <c r="O920" i="26"/>
  <c r="O921" i="26"/>
  <c r="O922" i="26"/>
  <c r="O923" i="26"/>
  <c r="O924" i="26"/>
  <c r="O925" i="26"/>
  <c r="O926" i="26"/>
  <c r="O927" i="26"/>
  <c r="O928" i="26"/>
  <c r="O929" i="26"/>
  <c r="O930" i="26"/>
  <c r="O931" i="26"/>
  <c r="O932" i="26"/>
  <c r="O933" i="26"/>
  <c r="O934" i="26"/>
  <c r="O935" i="26"/>
  <c r="O936" i="26"/>
  <c r="O937" i="26"/>
  <c r="O938" i="26"/>
  <c r="O939" i="26"/>
  <c r="O940" i="26"/>
  <c r="O941" i="26"/>
  <c r="O942" i="26"/>
  <c r="O943" i="26"/>
  <c r="O944" i="26"/>
  <c r="O945" i="26"/>
  <c r="O946" i="26"/>
  <c r="O947" i="26"/>
  <c r="O948" i="26"/>
  <c r="O949" i="26"/>
  <c r="O950" i="26"/>
  <c r="O951" i="26"/>
  <c r="O952" i="26"/>
  <c r="O953" i="26"/>
  <c r="O954" i="26"/>
  <c r="O955" i="26"/>
  <c r="O956" i="26"/>
  <c r="O957" i="26"/>
  <c r="O958" i="26"/>
  <c r="O959" i="26"/>
  <c r="O960" i="26"/>
  <c r="O961" i="26"/>
  <c r="O962" i="26"/>
  <c r="O963" i="26"/>
  <c r="O964" i="26"/>
  <c r="O965" i="26"/>
  <c r="O966" i="26"/>
  <c r="O967" i="26"/>
  <c r="O968" i="26"/>
  <c r="O969" i="26"/>
  <c r="O970" i="26"/>
  <c r="O971" i="26"/>
  <c r="O972" i="26"/>
  <c r="O973" i="26"/>
  <c r="O974" i="26"/>
  <c r="O975" i="26"/>
  <c r="O976" i="26"/>
  <c r="O977" i="26"/>
  <c r="O978" i="26"/>
  <c r="O979" i="26"/>
  <c r="O980" i="26"/>
  <c r="O981" i="26"/>
  <c r="O982" i="26"/>
  <c r="O983" i="26"/>
  <c r="O984" i="26"/>
  <c r="O985" i="26"/>
  <c r="O986" i="26"/>
  <c r="O987" i="26"/>
  <c r="O988" i="26"/>
  <c r="O989" i="26"/>
  <c r="O990" i="26"/>
  <c r="O991" i="26"/>
  <c r="O992" i="26"/>
  <c r="O993" i="26"/>
  <c r="O994" i="26"/>
  <c r="O995" i="26"/>
  <c r="O996" i="26"/>
  <c r="O997" i="26"/>
  <c r="O998" i="26"/>
  <c r="O999" i="26"/>
  <c r="O1000" i="26"/>
  <c r="O1001" i="26"/>
  <c r="O1002" i="26"/>
  <c r="O1003" i="26"/>
  <c r="O1004" i="26"/>
  <c r="O1005" i="26"/>
  <c r="O1006" i="26"/>
  <c r="O1007" i="26"/>
  <c r="O1008" i="26"/>
  <c r="O1009" i="26"/>
  <c r="O1010" i="26"/>
  <c r="O1011" i="26"/>
  <c r="O1012" i="26"/>
  <c r="O1013" i="26"/>
  <c r="O1014" i="26"/>
  <c r="O1015" i="26"/>
  <c r="O1016" i="26"/>
  <c r="O1017" i="26"/>
  <c r="O1018" i="26"/>
  <c r="O1019" i="26"/>
  <c r="O1020" i="26"/>
  <c r="O1021" i="26"/>
  <c r="O1022" i="26"/>
  <c r="O1023" i="26"/>
  <c r="O1024" i="26"/>
  <c r="O1025" i="26"/>
  <c r="O1026" i="26"/>
  <c r="O1027" i="26"/>
  <c r="O1028" i="26"/>
  <c r="O1029" i="26"/>
  <c r="O1030" i="26"/>
  <c r="O1031" i="26"/>
  <c r="O1032" i="26"/>
  <c r="O1033" i="26"/>
  <c r="O1034" i="26"/>
  <c r="O1035" i="26"/>
  <c r="O1036" i="26"/>
  <c r="O1037" i="26"/>
  <c r="O1038" i="26"/>
  <c r="O1039" i="26"/>
  <c r="O1040" i="26"/>
  <c r="O1041" i="26"/>
  <c r="O1042" i="26"/>
  <c r="O1043" i="26"/>
  <c r="O1044" i="26"/>
  <c r="O1045" i="26"/>
  <c r="O1046" i="26"/>
  <c r="O1047" i="26"/>
  <c r="O1048" i="26"/>
  <c r="O1049" i="26"/>
  <c r="O1050" i="26"/>
  <c r="O1051" i="26"/>
  <c r="O1052" i="26"/>
  <c r="O1053" i="26"/>
  <c r="O1054" i="26"/>
  <c r="O1055" i="26"/>
  <c r="O1056" i="26"/>
  <c r="O1057" i="26"/>
  <c r="O1058" i="26"/>
  <c r="O1059" i="26"/>
  <c r="O1060" i="26"/>
  <c r="O1061" i="26"/>
  <c r="O1062" i="26"/>
  <c r="O1063" i="26"/>
  <c r="O1064" i="26"/>
  <c r="O1065" i="26"/>
  <c r="O1066" i="26"/>
  <c r="O1067" i="26"/>
  <c r="O1068" i="26"/>
  <c r="O1069" i="26"/>
  <c r="O1070" i="26"/>
  <c r="O1071" i="26"/>
  <c r="O1072" i="26"/>
  <c r="O1073" i="26"/>
  <c r="O1074" i="26"/>
  <c r="O1075" i="26"/>
  <c r="O1076" i="26"/>
  <c r="O1077" i="26"/>
  <c r="O1078" i="26"/>
  <c r="O1079" i="26"/>
  <c r="O1080" i="26"/>
  <c r="O1081" i="26"/>
  <c r="O1082" i="26"/>
  <c r="O1083" i="26"/>
  <c r="O1084" i="26"/>
  <c r="O1085" i="26"/>
  <c r="O1086" i="26"/>
  <c r="O1087" i="26"/>
  <c r="O1088" i="26"/>
  <c r="O1089" i="26"/>
  <c r="O1090" i="26"/>
  <c r="O1091" i="26"/>
  <c r="O1092" i="26"/>
  <c r="O1093" i="26"/>
  <c r="O1094" i="26"/>
  <c r="O1095" i="26"/>
  <c r="O1096" i="26"/>
  <c r="O1097" i="26"/>
  <c r="O1098" i="26"/>
  <c r="O1099" i="26"/>
  <c r="O1100" i="26"/>
  <c r="O1101" i="26"/>
  <c r="O1102" i="26"/>
  <c r="O1103" i="26"/>
  <c r="O1104" i="26"/>
  <c r="O1105" i="26"/>
  <c r="O1106" i="26"/>
  <c r="O1107" i="26"/>
  <c r="O1108" i="26"/>
  <c r="O1109" i="26"/>
  <c r="O1110" i="26"/>
  <c r="O1111" i="26"/>
  <c r="O1112" i="26"/>
  <c r="O1113" i="26"/>
  <c r="O1114" i="26"/>
  <c r="O1115" i="26"/>
  <c r="O1116" i="26"/>
  <c r="O1117" i="26"/>
  <c r="O1118" i="26"/>
  <c r="O1119" i="26"/>
  <c r="O1120" i="26"/>
  <c r="O1121" i="26"/>
  <c r="O1122" i="26"/>
  <c r="O1123" i="26"/>
  <c r="O1124" i="26"/>
  <c r="O1125" i="26"/>
  <c r="O1126" i="26"/>
  <c r="O1127" i="26"/>
  <c r="O1128" i="26"/>
  <c r="O1129" i="26"/>
  <c r="O1130" i="26"/>
  <c r="O1131" i="26"/>
  <c r="O1132" i="26"/>
  <c r="O1133" i="26"/>
  <c r="O1134" i="26"/>
  <c r="O1135" i="26"/>
  <c r="O1136" i="26"/>
  <c r="O1137" i="26"/>
  <c r="O1138" i="26"/>
  <c r="O1139" i="26"/>
  <c r="O1140" i="26"/>
  <c r="O1141" i="26"/>
  <c r="O1142" i="26"/>
  <c r="O1143" i="26"/>
  <c r="O1144" i="26"/>
  <c r="O1145" i="26"/>
  <c r="O1146" i="26"/>
  <c r="O1147" i="26"/>
  <c r="O1148" i="26"/>
  <c r="O1149" i="26"/>
  <c r="O1150" i="26"/>
  <c r="O1151" i="26"/>
  <c r="O1152" i="26"/>
  <c r="O1153" i="26"/>
  <c r="O1154" i="26"/>
  <c r="O1155" i="26"/>
  <c r="O1156" i="26"/>
  <c r="O1157" i="26"/>
  <c r="O1158" i="26"/>
  <c r="O1159" i="26"/>
  <c r="O1160" i="26"/>
  <c r="O1161" i="26"/>
  <c r="O1162" i="26"/>
  <c r="O1163" i="26"/>
  <c r="O1164" i="26"/>
  <c r="O1165" i="26"/>
  <c r="O1166" i="26"/>
  <c r="O1167" i="26"/>
  <c r="O1168" i="26"/>
  <c r="O1169" i="26"/>
  <c r="O1170" i="26"/>
  <c r="O1171" i="26"/>
  <c r="O1172" i="26"/>
  <c r="O1173" i="26"/>
  <c r="O1174" i="26"/>
  <c r="O1175" i="26"/>
  <c r="O1176" i="26"/>
  <c r="O1177" i="26"/>
  <c r="O1178" i="26"/>
  <c r="O1179" i="26"/>
  <c r="O1180" i="26"/>
  <c r="O1181" i="26"/>
  <c r="O1182" i="26"/>
  <c r="O1183" i="26"/>
  <c r="O1184" i="26"/>
  <c r="O1185" i="26"/>
  <c r="O1186" i="26"/>
  <c r="O1187" i="26"/>
  <c r="O1188" i="26"/>
  <c r="O1189" i="26"/>
  <c r="O1190" i="26"/>
  <c r="O1191" i="26"/>
  <c r="O1192" i="26"/>
  <c r="O1193" i="26"/>
  <c r="O1194" i="26"/>
  <c r="O1195" i="26"/>
  <c r="O1196" i="26"/>
  <c r="O1197" i="26"/>
  <c r="O1198" i="26"/>
  <c r="O1199" i="26"/>
  <c r="O1200" i="26"/>
  <c r="O1201" i="26"/>
  <c r="O1202" i="26"/>
  <c r="O1203" i="26"/>
  <c r="O1204" i="26"/>
  <c r="O1205" i="26"/>
  <c r="O1206" i="26"/>
  <c r="O1207" i="26"/>
  <c r="O1208" i="26"/>
  <c r="O1209" i="26"/>
  <c r="O1210" i="26"/>
  <c r="O1211" i="26"/>
  <c r="O1212" i="26"/>
  <c r="O1213" i="26"/>
  <c r="O1214" i="26"/>
  <c r="O1215" i="26"/>
  <c r="O1216" i="26"/>
  <c r="O1217" i="26"/>
  <c r="O1218" i="26"/>
  <c r="O1219" i="26"/>
  <c r="O1220" i="26"/>
  <c r="O1221" i="26"/>
  <c r="O1222" i="26"/>
  <c r="O1223" i="26"/>
  <c r="O1224" i="26"/>
  <c r="O1225" i="26"/>
  <c r="O1226" i="26"/>
  <c r="O1227" i="26"/>
  <c r="O1228" i="26"/>
  <c r="O1229" i="26"/>
  <c r="O1230" i="26"/>
  <c r="O1231" i="26"/>
  <c r="O1232" i="26"/>
  <c r="O1233" i="26"/>
  <c r="O1234" i="26"/>
  <c r="O1235" i="26"/>
  <c r="O1236" i="26"/>
  <c r="O1237" i="26"/>
  <c r="O1238" i="26"/>
  <c r="O1239" i="26"/>
  <c r="O1240" i="26"/>
  <c r="O1241" i="26"/>
  <c r="O1242" i="26"/>
  <c r="O1243" i="26"/>
  <c r="O1244" i="26"/>
  <c r="O1245" i="26"/>
  <c r="O1246" i="26"/>
  <c r="O1247" i="26"/>
  <c r="O1248" i="26"/>
  <c r="O1249" i="26"/>
  <c r="O1250" i="26"/>
  <c r="O1251" i="26"/>
  <c r="O1252" i="26"/>
  <c r="O1253" i="26"/>
  <c r="O1254" i="26"/>
  <c r="O1255" i="26"/>
  <c r="O1256" i="26"/>
  <c r="O1257" i="26"/>
  <c r="O1258" i="26"/>
  <c r="O1259" i="26"/>
  <c r="O1260" i="26"/>
  <c r="O1261" i="26"/>
  <c r="O1262" i="26"/>
  <c r="O1263" i="26"/>
  <c r="O1264" i="26"/>
  <c r="O1265" i="26"/>
  <c r="O1266" i="26"/>
  <c r="O1267" i="26"/>
  <c r="O1268" i="26"/>
  <c r="O1269" i="26"/>
  <c r="O1270" i="26"/>
  <c r="O1271" i="26"/>
  <c r="O1272" i="26"/>
  <c r="O1273" i="26"/>
  <c r="O1274" i="26"/>
  <c r="O1275" i="26"/>
  <c r="O1276" i="26"/>
  <c r="O1277" i="26"/>
  <c r="O1278" i="26"/>
  <c r="O1279" i="26"/>
  <c r="O1280" i="26"/>
  <c r="O1281" i="26"/>
  <c r="O1282" i="26"/>
  <c r="O1283" i="26"/>
  <c r="O1284" i="26"/>
  <c r="O1285" i="26"/>
  <c r="O1286" i="26"/>
  <c r="O1287" i="26"/>
  <c r="O1288" i="26"/>
  <c r="O1289" i="26"/>
  <c r="O1290" i="26"/>
  <c r="O1291" i="26"/>
  <c r="O1292" i="26"/>
  <c r="O1293" i="26"/>
  <c r="O1294" i="26"/>
  <c r="O1295" i="26"/>
  <c r="O1296" i="26"/>
  <c r="O1297" i="26"/>
  <c r="O1298" i="26"/>
  <c r="O1299" i="26"/>
  <c r="O1300" i="26"/>
  <c r="O1301" i="26"/>
  <c r="O1302" i="26"/>
  <c r="O1303" i="26"/>
  <c r="O1304" i="26"/>
  <c r="O1305" i="26"/>
  <c r="O1306" i="26"/>
  <c r="O1307" i="26"/>
  <c r="O1308" i="26"/>
  <c r="O1309" i="26"/>
  <c r="O1310" i="26"/>
  <c r="O1311" i="26"/>
  <c r="O1312" i="26"/>
  <c r="O1313" i="26"/>
  <c r="O1314" i="26"/>
  <c r="O1315" i="26"/>
  <c r="O1316" i="26"/>
  <c r="O1317" i="26"/>
  <c r="O1318" i="26"/>
  <c r="O1319" i="26"/>
  <c r="O1320" i="26"/>
  <c r="O1321" i="26"/>
  <c r="O1322" i="26"/>
  <c r="O1323" i="26"/>
  <c r="O1324" i="26"/>
  <c r="O1325" i="26"/>
  <c r="O1326" i="26"/>
  <c r="O1327" i="26"/>
  <c r="O1328" i="26"/>
  <c r="O1329" i="26"/>
  <c r="O1330" i="26"/>
  <c r="O1331" i="26"/>
  <c r="O1332" i="26"/>
  <c r="O1333" i="26"/>
  <c r="O1334" i="26"/>
  <c r="O1335" i="26"/>
  <c r="O1336" i="26"/>
  <c r="O1337" i="26"/>
  <c r="O1338" i="26"/>
  <c r="O1339" i="26"/>
  <c r="O1340" i="26"/>
  <c r="O1341" i="26"/>
  <c r="O1342" i="26"/>
  <c r="O1343" i="26"/>
  <c r="O1344" i="26"/>
  <c r="O1345" i="26"/>
  <c r="O1346" i="26"/>
  <c r="O1347" i="26"/>
  <c r="O1348" i="26"/>
  <c r="O1349" i="26"/>
  <c r="O1350" i="26"/>
  <c r="O1351" i="26"/>
  <c r="O1352" i="26"/>
  <c r="O1353" i="26"/>
  <c r="O1354" i="26"/>
  <c r="O1355" i="26"/>
  <c r="O1356" i="26"/>
  <c r="O1357" i="26"/>
  <c r="O1358" i="26"/>
  <c r="O1359" i="26"/>
  <c r="O1360" i="26"/>
  <c r="O1361" i="26"/>
  <c r="O1362" i="26"/>
  <c r="O1363" i="26"/>
  <c r="O1364" i="26"/>
  <c r="O1365" i="26"/>
  <c r="O1366" i="26"/>
  <c r="O1367" i="26"/>
  <c r="O1368" i="26"/>
  <c r="O1369" i="26"/>
  <c r="O1370" i="26"/>
  <c r="O1371" i="26"/>
  <c r="O1372" i="26"/>
  <c r="O1373" i="26"/>
  <c r="O1374" i="26"/>
  <c r="O1375" i="26"/>
  <c r="O1376" i="26"/>
  <c r="O1377" i="26"/>
  <c r="O1378" i="26"/>
  <c r="O1379" i="26"/>
  <c r="O1380" i="26"/>
  <c r="O1381" i="26"/>
  <c r="O1382" i="26"/>
  <c r="O1383" i="26"/>
  <c r="O1384" i="26"/>
  <c r="O1385" i="26"/>
  <c r="O1386" i="26"/>
  <c r="O1387" i="26"/>
  <c r="O1388" i="26"/>
  <c r="O1389" i="26"/>
  <c r="O1390" i="26"/>
  <c r="O1391" i="26"/>
  <c r="O1392" i="26"/>
  <c r="O1393" i="26"/>
  <c r="O1394" i="26"/>
  <c r="O1395" i="26"/>
  <c r="O1396" i="26"/>
  <c r="O1397" i="26"/>
  <c r="O1398" i="26"/>
  <c r="O1399" i="26"/>
  <c r="O1400" i="26"/>
  <c r="O1401" i="26"/>
  <c r="O1402" i="26"/>
  <c r="O1403" i="26"/>
  <c r="O1404" i="26"/>
  <c r="O1405" i="26"/>
  <c r="O1406" i="26"/>
  <c r="O1407" i="26"/>
  <c r="O1408" i="26"/>
  <c r="O1409" i="26"/>
  <c r="O1410" i="26"/>
  <c r="O1411" i="26"/>
  <c r="O1412" i="26"/>
  <c r="O1413" i="26"/>
  <c r="O1414" i="26"/>
  <c r="O1415" i="26"/>
  <c r="O1416" i="26"/>
  <c r="O1417" i="26"/>
  <c r="O1418" i="26"/>
  <c r="O1419" i="26"/>
  <c r="O1420" i="26"/>
  <c r="O1421" i="26"/>
  <c r="O1422" i="26"/>
  <c r="O1423" i="26"/>
  <c r="O1424" i="26"/>
  <c r="O1425" i="26"/>
  <c r="O1426" i="26"/>
  <c r="O1427" i="26"/>
  <c r="O1428" i="26"/>
  <c r="O1429" i="26"/>
  <c r="O1430" i="26"/>
  <c r="O1431" i="26"/>
  <c r="O1432" i="26"/>
  <c r="O1433" i="26"/>
  <c r="O1434" i="26"/>
  <c r="O1435" i="26"/>
  <c r="O1436" i="26"/>
  <c r="O1437" i="26"/>
  <c r="O1438" i="26"/>
  <c r="O1439" i="26"/>
  <c r="O1440" i="26"/>
  <c r="O1441" i="26"/>
  <c r="O1442" i="26"/>
  <c r="O1443" i="26"/>
  <c r="O1444" i="26"/>
  <c r="O1445" i="26"/>
  <c r="O1446" i="26"/>
  <c r="O1447" i="26"/>
  <c r="O1448" i="26"/>
  <c r="O1449" i="26"/>
  <c r="O1450" i="26"/>
  <c r="O1451" i="26"/>
  <c r="O1452" i="26"/>
  <c r="O1453" i="26"/>
  <c r="O1454" i="26"/>
  <c r="O1455" i="26"/>
  <c r="O1456" i="26"/>
  <c r="O1457" i="26"/>
  <c r="O1458" i="26"/>
  <c r="O1459" i="26"/>
  <c r="O1460" i="26"/>
  <c r="O1461" i="26"/>
  <c r="O1462" i="26"/>
  <c r="O1463" i="26"/>
  <c r="O1464" i="26"/>
  <c r="O1465" i="26"/>
  <c r="O1466" i="26"/>
  <c r="O1467" i="26"/>
  <c r="O1468" i="26"/>
  <c r="O1469" i="26"/>
  <c r="O1470" i="26"/>
  <c r="O1471" i="26"/>
  <c r="O1472" i="26"/>
  <c r="O1473" i="26"/>
  <c r="O1474" i="26"/>
  <c r="O1475" i="26"/>
  <c r="O1476" i="26"/>
  <c r="O1477" i="26"/>
  <c r="O1478" i="26"/>
  <c r="O1479" i="26"/>
  <c r="O1480" i="26"/>
  <c r="O1481" i="26"/>
  <c r="O1482" i="26"/>
  <c r="O1483" i="26"/>
  <c r="O1484" i="26"/>
  <c r="O1485" i="26"/>
  <c r="O1486" i="26"/>
  <c r="O1487" i="26"/>
  <c r="O1488" i="26"/>
  <c r="O1489" i="26"/>
  <c r="O1490" i="26"/>
  <c r="O1491" i="26"/>
  <c r="O1492" i="26"/>
  <c r="O1493" i="26"/>
  <c r="O1494" i="26"/>
  <c r="O1495" i="26"/>
  <c r="O1496" i="26"/>
  <c r="O1497" i="26"/>
  <c r="O1498" i="26"/>
  <c r="O1499" i="26"/>
  <c r="O1500" i="26"/>
  <c r="O1501" i="26"/>
  <c r="O1502" i="26"/>
  <c r="O1503" i="26"/>
  <c r="O1504" i="26"/>
  <c r="O1505" i="26"/>
  <c r="O1506" i="26"/>
  <c r="O1507" i="26"/>
  <c r="O1508" i="26"/>
  <c r="O1509" i="26"/>
  <c r="O1510" i="26"/>
  <c r="O1511" i="26"/>
  <c r="O1512" i="26"/>
  <c r="O1513" i="26"/>
  <c r="O1514" i="26"/>
  <c r="O1515" i="26"/>
  <c r="O1516" i="26"/>
  <c r="O1517" i="26"/>
  <c r="O1518" i="26"/>
  <c r="O1519" i="26"/>
  <c r="O1520" i="26"/>
  <c r="O1521" i="26"/>
  <c r="O1522" i="26"/>
  <c r="O1523" i="26"/>
  <c r="O1524" i="26"/>
  <c r="O1525" i="26"/>
  <c r="O1526" i="26"/>
  <c r="O1527" i="26"/>
  <c r="O1528" i="26"/>
  <c r="O1529" i="26"/>
  <c r="O1530" i="26"/>
  <c r="O1531" i="26"/>
  <c r="O1532" i="26"/>
  <c r="O1533" i="26"/>
  <c r="O1534" i="26"/>
  <c r="O1535" i="26"/>
  <c r="O1536" i="26"/>
  <c r="O1537" i="26"/>
  <c r="O1538" i="26"/>
  <c r="O1539" i="26"/>
  <c r="O1540" i="26"/>
  <c r="O1541" i="26"/>
  <c r="O1542" i="26"/>
  <c r="O1543" i="26"/>
  <c r="O1544" i="26"/>
  <c r="O1545" i="26"/>
  <c r="O1546" i="26"/>
  <c r="O1547" i="26"/>
  <c r="O1548" i="26"/>
  <c r="O1549" i="26"/>
  <c r="O1550" i="26"/>
  <c r="O1551" i="26"/>
  <c r="O1552" i="26"/>
  <c r="O1553" i="26"/>
  <c r="O1554" i="26"/>
  <c r="O1555" i="26"/>
  <c r="O1556" i="26"/>
  <c r="O1557" i="26"/>
  <c r="O1558" i="26"/>
  <c r="O1559" i="26"/>
  <c r="O1560" i="26"/>
  <c r="O1561" i="26"/>
  <c r="O1562" i="26"/>
  <c r="O1563" i="26"/>
  <c r="O1564" i="26"/>
  <c r="O1565" i="26"/>
  <c r="O1566" i="26"/>
  <c r="O1567" i="26"/>
  <c r="O1568" i="26"/>
  <c r="O1569" i="26"/>
  <c r="O1570" i="26"/>
  <c r="O1571" i="26"/>
  <c r="O1572" i="26"/>
  <c r="O1573" i="26"/>
  <c r="O1574" i="26"/>
  <c r="O1575" i="26"/>
  <c r="O1576" i="26"/>
  <c r="O1577" i="26"/>
  <c r="O1578" i="26"/>
  <c r="O1579" i="26"/>
  <c r="O1580" i="26"/>
  <c r="O1581" i="26"/>
  <c r="O1582" i="26"/>
  <c r="O1583" i="26"/>
  <c r="O1584" i="26"/>
  <c r="O1585" i="26"/>
  <c r="O1586" i="26"/>
  <c r="O1587" i="26"/>
  <c r="O1588" i="26"/>
  <c r="O1589" i="26"/>
  <c r="O1590" i="26"/>
  <c r="O1591" i="26"/>
  <c r="O1592" i="26"/>
  <c r="O1593" i="26"/>
  <c r="O1594" i="26"/>
  <c r="O1595" i="26"/>
  <c r="O1596" i="26"/>
  <c r="O1597" i="26"/>
  <c r="O1598" i="26"/>
  <c r="O1599" i="26"/>
  <c r="O1600" i="26"/>
  <c r="O1601" i="26"/>
  <c r="O1602" i="26"/>
  <c r="O1603" i="26"/>
  <c r="O1604" i="26"/>
  <c r="O1605" i="26"/>
  <c r="O1606" i="26"/>
  <c r="O1607" i="26"/>
  <c r="O1608" i="26"/>
  <c r="O1609" i="26"/>
  <c r="O1610" i="26"/>
  <c r="O1611" i="26"/>
  <c r="O1612" i="26"/>
  <c r="O1613" i="26"/>
  <c r="O1614" i="26"/>
  <c r="O1615" i="26"/>
  <c r="O1616" i="26"/>
  <c r="O1617" i="26"/>
  <c r="O1618" i="26"/>
  <c r="O1619" i="26"/>
  <c r="O1620" i="26"/>
  <c r="O1621" i="26"/>
  <c r="O1622" i="26"/>
  <c r="O1623" i="26"/>
  <c r="O1624" i="26"/>
  <c r="O1625" i="26"/>
  <c r="O1626" i="26"/>
  <c r="O1627" i="26"/>
  <c r="O1628" i="26"/>
  <c r="O1629" i="26"/>
  <c r="O1630" i="26"/>
  <c r="O1631" i="26"/>
  <c r="O1632" i="26"/>
  <c r="O1633" i="26"/>
  <c r="O1634" i="26"/>
  <c r="O1635" i="26"/>
  <c r="O1636" i="26"/>
  <c r="O1637" i="26"/>
  <c r="O1638" i="26"/>
  <c r="O1639" i="26"/>
  <c r="O1640" i="26"/>
  <c r="O1641" i="26"/>
  <c r="O1642" i="26"/>
  <c r="O1643" i="26"/>
  <c r="O1644" i="26"/>
  <c r="O1645" i="26"/>
  <c r="O1646" i="26"/>
  <c r="O1647" i="26"/>
  <c r="O1648" i="26"/>
  <c r="O1649" i="26"/>
  <c r="O1650" i="26"/>
  <c r="O1651" i="26"/>
  <c r="O1652" i="26"/>
  <c r="P3" i="26"/>
  <c r="P4" i="26"/>
  <c r="P5" i="26"/>
  <c r="P6" i="26"/>
  <c r="P7" i="26"/>
  <c r="P8" i="26"/>
  <c r="P9" i="26"/>
  <c r="P10" i="26"/>
  <c r="P11" i="26"/>
  <c r="P12" i="26"/>
  <c r="P13" i="26"/>
  <c r="P14" i="26"/>
  <c r="P15" i="26"/>
  <c r="P16" i="26"/>
  <c r="P17" i="26"/>
  <c r="P18" i="26"/>
  <c r="P19" i="26"/>
  <c r="P20" i="26"/>
  <c r="P21" i="26"/>
  <c r="P22" i="26"/>
  <c r="P23" i="26"/>
  <c r="P24" i="26"/>
  <c r="P25" i="26"/>
  <c r="P26" i="26"/>
  <c r="P27" i="26"/>
  <c r="P28" i="26"/>
  <c r="P29" i="26"/>
  <c r="P30" i="26"/>
  <c r="P31" i="26"/>
  <c r="P32" i="26"/>
  <c r="P33" i="26"/>
  <c r="P34" i="26"/>
  <c r="P35" i="26"/>
  <c r="P36" i="26"/>
  <c r="P37" i="26"/>
  <c r="P38" i="26"/>
  <c r="P39" i="26"/>
  <c r="P40" i="26"/>
  <c r="P41" i="26"/>
  <c r="P42" i="26"/>
  <c r="P43" i="26"/>
  <c r="P44" i="26"/>
  <c r="P45" i="26"/>
  <c r="P46" i="26"/>
  <c r="P47" i="26"/>
  <c r="P48" i="26"/>
  <c r="P49" i="26"/>
  <c r="P50" i="26"/>
  <c r="P51" i="26"/>
  <c r="P52" i="26"/>
  <c r="P53" i="26"/>
  <c r="P54" i="26"/>
  <c r="P55" i="26"/>
  <c r="P56" i="26"/>
  <c r="P57" i="26"/>
  <c r="P58" i="26"/>
  <c r="P59" i="26"/>
  <c r="P60" i="26"/>
  <c r="P61" i="26"/>
  <c r="P62" i="26"/>
  <c r="P63" i="26"/>
  <c r="P64" i="26"/>
  <c r="P65" i="26"/>
  <c r="P66" i="26"/>
  <c r="P67" i="26"/>
  <c r="P68" i="26"/>
  <c r="P69" i="26"/>
  <c r="P70" i="26"/>
  <c r="P71" i="26"/>
  <c r="P72" i="26"/>
  <c r="P73" i="26"/>
  <c r="P74" i="26"/>
  <c r="P75" i="26"/>
  <c r="P76" i="26"/>
  <c r="P77" i="26"/>
  <c r="P78" i="26"/>
  <c r="P79" i="26"/>
  <c r="P80" i="26"/>
  <c r="P81" i="26"/>
  <c r="P82" i="26"/>
  <c r="P83" i="26"/>
  <c r="P84" i="26"/>
  <c r="P85" i="26"/>
  <c r="P86" i="26"/>
  <c r="P87" i="26"/>
  <c r="P88" i="26"/>
  <c r="P89" i="26"/>
  <c r="P90" i="26"/>
  <c r="P91" i="26"/>
  <c r="P92" i="26"/>
  <c r="P93" i="26"/>
  <c r="P94" i="26"/>
  <c r="P95" i="26"/>
  <c r="P96" i="26"/>
  <c r="P97" i="26"/>
  <c r="P98" i="26"/>
  <c r="P99" i="26"/>
  <c r="P100" i="26"/>
  <c r="P101" i="26"/>
  <c r="P102" i="26"/>
  <c r="P103" i="26"/>
  <c r="P104" i="26"/>
  <c r="P105" i="26"/>
  <c r="P106" i="26"/>
  <c r="P107" i="26"/>
  <c r="P108" i="26"/>
  <c r="P109" i="26"/>
  <c r="P110" i="26"/>
  <c r="P111" i="26"/>
  <c r="P112" i="26"/>
  <c r="P113" i="26"/>
  <c r="P114" i="26"/>
  <c r="P115" i="26"/>
  <c r="P116" i="26"/>
  <c r="P117" i="26"/>
  <c r="P118" i="26"/>
  <c r="P119" i="26"/>
  <c r="P120" i="26"/>
  <c r="P121" i="26"/>
  <c r="P122" i="26"/>
  <c r="P123" i="26"/>
  <c r="P124" i="26"/>
  <c r="P125" i="26"/>
  <c r="P126" i="26"/>
  <c r="P127" i="26"/>
  <c r="P128" i="26"/>
  <c r="P129" i="26"/>
  <c r="P130" i="26"/>
  <c r="P131" i="26"/>
  <c r="P132" i="26"/>
  <c r="P133" i="26"/>
  <c r="P134" i="26"/>
  <c r="P135" i="26"/>
  <c r="P136" i="26"/>
  <c r="P137" i="26"/>
  <c r="P138" i="26"/>
  <c r="P139" i="26"/>
  <c r="P140" i="26"/>
  <c r="P141" i="26"/>
  <c r="P142" i="26"/>
  <c r="P143" i="26"/>
  <c r="P144" i="26"/>
  <c r="P145" i="26"/>
  <c r="P146" i="26"/>
  <c r="P147" i="26"/>
  <c r="P148" i="26"/>
  <c r="P149" i="26"/>
  <c r="P150" i="26"/>
  <c r="P151" i="26"/>
  <c r="P152" i="26"/>
  <c r="P153" i="26"/>
  <c r="P154" i="26"/>
  <c r="P155" i="26"/>
  <c r="P156" i="26"/>
  <c r="P157" i="26"/>
  <c r="P158" i="26"/>
  <c r="P159" i="26"/>
  <c r="P160" i="26"/>
  <c r="P161" i="26"/>
  <c r="P162" i="26"/>
  <c r="P163" i="26"/>
  <c r="P164" i="26"/>
  <c r="P165" i="26"/>
  <c r="P166" i="26"/>
  <c r="P167" i="26"/>
  <c r="P168" i="26"/>
  <c r="P169" i="26"/>
  <c r="P170" i="26"/>
  <c r="P171" i="26"/>
  <c r="P172" i="26"/>
  <c r="P173" i="26"/>
  <c r="P174" i="26"/>
  <c r="P175" i="26"/>
  <c r="P176" i="26"/>
  <c r="P177" i="26"/>
  <c r="P178" i="26"/>
  <c r="P179" i="26"/>
  <c r="P180" i="26"/>
  <c r="P181" i="26"/>
  <c r="P182" i="26"/>
  <c r="P183" i="26"/>
  <c r="P184" i="26"/>
  <c r="P185" i="26"/>
  <c r="P186" i="26"/>
  <c r="P187" i="26"/>
  <c r="P188" i="26"/>
  <c r="P189" i="26"/>
  <c r="P190" i="26"/>
  <c r="P191" i="26"/>
  <c r="P192" i="26"/>
  <c r="P193" i="26"/>
  <c r="P194" i="26"/>
  <c r="P195" i="26"/>
  <c r="P196" i="26"/>
  <c r="P197" i="26"/>
  <c r="P198" i="26"/>
  <c r="P199" i="26"/>
  <c r="P200" i="26"/>
  <c r="P201" i="26"/>
  <c r="P202" i="26"/>
  <c r="P203" i="26"/>
  <c r="P204" i="26"/>
  <c r="P205" i="26"/>
  <c r="P206" i="26"/>
  <c r="P207" i="26"/>
  <c r="P208" i="26"/>
  <c r="P209" i="26"/>
  <c r="P210" i="26"/>
  <c r="P211" i="26"/>
  <c r="P212" i="26"/>
  <c r="P213" i="26"/>
  <c r="P214" i="26"/>
  <c r="P215" i="26"/>
  <c r="P216" i="26"/>
  <c r="P217" i="26"/>
  <c r="P218" i="26"/>
  <c r="P219" i="26"/>
  <c r="P220" i="26"/>
  <c r="P221" i="26"/>
  <c r="P222" i="26"/>
  <c r="P223" i="26"/>
  <c r="P224" i="26"/>
  <c r="P225" i="26"/>
  <c r="P226" i="26"/>
  <c r="P227" i="26"/>
  <c r="P228" i="26"/>
  <c r="P229" i="26"/>
  <c r="P230" i="26"/>
  <c r="P231" i="26"/>
  <c r="P232" i="26"/>
  <c r="P233" i="26"/>
  <c r="P234" i="26"/>
  <c r="P235" i="26"/>
  <c r="P236" i="26"/>
  <c r="P237" i="26"/>
  <c r="P238" i="26"/>
  <c r="P239" i="26"/>
  <c r="P240" i="26"/>
  <c r="P241" i="26"/>
  <c r="P242" i="26"/>
  <c r="P243" i="26"/>
  <c r="P244" i="26"/>
  <c r="P245" i="26"/>
  <c r="P246" i="26"/>
  <c r="P247" i="26"/>
  <c r="P248" i="26"/>
  <c r="P249" i="26"/>
  <c r="P250" i="26"/>
  <c r="P251" i="26"/>
  <c r="P252" i="26"/>
  <c r="P253" i="26"/>
  <c r="P254" i="26"/>
  <c r="P255" i="26"/>
  <c r="P256" i="26"/>
  <c r="P257" i="26"/>
  <c r="P258" i="26"/>
  <c r="P259" i="26"/>
  <c r="P260" i="26"/>
  <c r="P261" i="26"/>
  <c r="P262" i="26"/>
  <c r="P263" i="26"/>
  <c r="P264" i="26"/>
  <c r="P265" i="26"/>
  <c r="P266" i="26"/>
  <c r="P267" i="26"/>
  <c r="P268" i="26"/>
  <c r="P269" i="26"/>
  <c r="P270" i="26"/>
  <c r="P271" i="26"/>
  <c r="P272" i="26"/>
  <c r="P273" i="26"/>
  <c r="P274" i="26"/>
  <c r="P275" i="26"/>
  <c r="P276" i="26"/>
  <c r="P277" i="26"/>
  <c r="P278" i="26"/>
  <c r="P279" i="26"/>
  <c r="P280" i="26"/>
  <c r="P281" i="26"/>
  <c r="P282" i="26"/>
  <c r="P283" i="26"/>
  <c r="P284" i="26"/>
  <c r="P285" i="26"/>
  <c r="P286" i="26"/>
  <c r="P287" i="26"/>
  <c r="P288" i="26"/>
  <c r="P289" i="26"/>
  <c r="P290" i="26"/>
  <c r="P291" i="26"/>
  <c r="P292" i="26"/>
  <c r="P293" i="26"/>
  <c r="P294" i="26"/>
  <c r="P295" i="26"/>
  <c r="P296" i="26"/>
  <c r="P297" i="26"/>
  <c r="P298" i="26"/>
  <c r="P299" i="26"/>
  <c r="P300" i="26"/>
  <c r="P301" i="26"/>
  <c r="P302" i="26"/>
  <c r="P303" i="26"/>
  <c r="P304" i="26"/>
  <c r="P305" i="26"/>
  <c r="P306" i="26"/>
  <c r="P307" i="26"/>
  <c r="P308" i="26"/>
  <c r="P309" i="26"/>
  <c r="P310" i="26"/>
  <c r="P311" i="26"/>
  <c r="P312" i="26"/>
  <c r="P313" i="26"/>
  <c r="P314" i="26"/>
  <c r="P315" i="26"/>
  <c r="P316" i="26"/>
  <c r="P317" i="26"/>
  <c r="P318" i="26"/>
  <c r="P319" i="26"/>
  <c r="P320" i="26"/>
  <c r="P321" i="26"/>
  <c r="P322" i="26"/>
  <c r="P323" i="26"/>
  <c r="P324" i="26"/>
  <c r="P325" i="26"/>
  <c r="P326" i="26"/>
  <c r="P327" i="26"/>
  <c r="P328" i="26"/>
  <c r="P329" i="26"/>
  <c r="P330" i="26"/>
  <c r="P331" i="26"/>
  <c r="P332" i="26"/>
  <c r="P333" i="26"/>
  <c r="P334" i="26"/>
  <c r="P335" i="26"/>
  <c r="P336" i="26"/>
  <c r="P337" i="26"/>
  <c r="P338" i="26"/>
  <c r="P339" i="26"/>
  <c r="P340" i="26"/>
  <c r="P341" i="26"/>
  <c r="P342" i="26"/>
  <c r="P343" i="26"/>
  <c r="P344" i="26"/>
  <c r="P345" i="26"/>
  <c r="P346" i="26"/>
  <c r="P347" i="26"/>
  <c r="P348" i="26"/>
  <c r="P349" i="26"/>
  <c r="P350" i="26"/>
  <c r="P351" i="26"/>
  <c r="P352" i="26"/>
  <c r="P353" i="26"/>
  <c r="P354" i="26"/>
  <c r="P355" i="26"/>
  <c r="P356" i="26"/>
  <c r="P357" i="26"/>
  <c r="P358" i="26"/>
  <c r="P359" i="26"/>
  <c r="P360" i="26"/>
  <c r="P361" i="26"/>
  <c r="P362" i="26"/>
  <c r="P363" i="26"/>
  <c r="P364" i="26"/>
  <c r="P365" i="26"/>
  <c r="P366" i="26"/>
  <c r="P367" i="26"/>
  <c r="P368" i="26"/>
  <c r="P369" i="26"/>
  <c r="P370" i="26"/>
  <c r="P371" i="26"/>
  <c r="P372" i="26"/>
  <c r="P373" i="26"/>
  <c r="P374" i="26"/>
  <c r="P375" i="26"/>
  <c r="P376" i="26"/>
  <c r="P377" i="26"/>
  <c r="P378" i="26"/>
  <c r="P379" i="26"/>
  <c r="P380" i="26"/>
  <c r="P381" i="26"/>
  <c r="P382" i="26"/>
  <c r="P383" i="26"/>
  <c r="P384" i="26"/>
  <c r="P385" i="26"/>
  <c r="P386" i="26"/>
  <c r="P387" i="26"/>
  <c r="P388" i="26"/>
  <c r="P389" i="26"/>
  <c r="P390" i="26"/>
  <c r="P391" i="26"/>
  <c r="P392" i="26"/>
  <c r="P393" i="26"/>
  <c r="P394" i="26"/>
  <c r="P395" i="26"/>
  <c r="P396" i="26"/>
  <c r="P397" i="26"/>
  <c r="P398" i="26"/>
  <c r="P399" i="26"/>
  <c r="P400" i="26"/>
  <c r="P401" i="26"/>
  <c r="P402" i="26"/>
  <c r="P403" i="26"/>
  <c r="P404" i="26"/>
  <c r="P405" i="26"/>
  <c r="P406" i="26"/>
  <c r="P407" i="26"/>
  <c r="P408" i="26"/>
  <c r="P409" i="26"/>
  <c r="P410" i="26"/>
  <c r="P411" i="26"/>
  <c r="P412" i="26"/>
  <c r="P413" i="26"/>
  <c r="P414" i="26"/>
  <c r="P415" i="26"/>
  <c r="P416" i="26"/>
  <c r="P417" i="26"/>
  <c r="P418" i="26"/>
  <c r="P419" i="26"/>
  <c r="P420" i="26"/>
  <c r="P421" i="26"/>
  <c r="P422" i="26"/>
  <c r="P423" i="26"/>
  <c r="P424" i="26"/>
  <c r="P425" i="26"/>
  <c r="P426" i="26"/>
  <c r="P427" i="26"/>
  <c r="P428" i="26"/>
  <c r="P429" i="26"/>
  <c r="P430" i="26"/>
  <c r="P431" i="26"/>
  <c r="P432" i="26"/>
  <c r="P433" i="26"/>
  <c r="P434" i="26"/>
  <c r="P435" i="26"/>
  <c r="P436" i="26"/>
  <c r="P437" i="26"/>
  <c r="P438" i="26"/>
  <c r="P439" i="26"/>
  <c r="P440" i="26"/>
  <c r="P441" i="26"/>
  <c r="P442" i="26"/>
  <c r="P443" i="26"/>
  <c r="P444" i="26"/>
  <c r="P445" i="26"/>
  <c r="P446" i="26"/>
  <c r="P447" i="26"/>
  <c r="P448" i="26"/>
  <c r="P449" i="26"/>
  <c r="P450" i="26"/>
  <c r="P451" i="26"/>
  <c r="P452" i="26"/>
  <c r="P453" i="26"/>
  <c r="P454" i="26"/>
  <c r="P455" i="26"/>
  <c r="P456" i="26"/>
  <c r="P457" i="26"/>
  <c r="P458" i="26"/>
  <c r="P459" i="26"/>
  <c r="P460" i="26"/>
  <c r="P461" i="26"/>
  <c r="P462" i="26"/>
  <c r="P463" i="26"/>
  <c r="P464" i="26"/>
  <c r="P465" i="26"/>
  <c r="P466" i="26"/>
  <c r="P467" i="26"/>
  <c r="P468" i="26"/>
  <c r="P469" i="26"/>
  <c r="P470" i="26"/>
  <c r="P471" i="26"/>
  <c r="P472" i="26"/>
  <c r="P473" i="26"/>
  <c r="P474" i="26"/>
  <c r="P475" i="26"/>
  <c r="P476" i="26"/>
  <c r="P477" i="26"/>
  <c r="P478" i="26"/>
  <c r="P479" i="26"/>
  <c r="P480" i="26"/>
  <c r="P481" i="26"/>
  <c r="P482" i="26"/>
  <c r="P483" i="26"/>
  <c r="P484" i="26"/>
  <c r="P485" i="26"/>
  <c r="P486" i="26"/>
  <c r="P487" i="26"/>
  <c r="P488" i="26"/>
  <c r="P489" i="26"/>
  <c r="P490" i="26"/>
  <c r="P491" i="26"/>
  <c r="P492" i="26"/>
  <c r="P493" i="26"/>
  <c r="P494" i="26"/>
  <c r="P495" i="26"/>
  <c r="P496" i="26"/>
  <c r="P497" i="26"/>
  <c r="P498" i="26"/>
  <c r="P499" i="26"/>
  <c r="P500" i="26"/>
  <c r="P501" i="26"/>
  <c r="P502" i="26"/>
  <c r="P503" i="26"/>
  <c r="P504" i="26"/>
  <c r="P505" i="26"/>
  <c r="P506" i="26"/>
  <c r="P507" i="26"/>
  <c r="P508" i="26"/>
  <c r="P509" i="26"/>
  <c r="P510" i="26"/>
  <c r="P511" i="26"/>
  <c r="P512" i="26"/>
  <c r="P513" i="26"/>
  <c r="P514" i="26"/>
  <c r="P515" i="26"/>
  <c r="P516" i="26"/>
  <c r="P517" i="26"/>
  <c r="P518" i="26"/>
  <c r="P519" i="26"/>
  <c r="P520" i="26"/>
  <c r="P521" i="26"/>
  <c r="P522" i="26"/>
  <c r="P523" i="26"/>
  <c r="P524" i="26"/>
  <c r="P525" i="26"/>
  <c r="P526" i="26"/>
  <c r="P527" i="26"/>
  <c r="P528" i="26"/>
  <c r="P529" i="26"/>
  <c r="P530" i="26"/>
  <c r="P531" i="26"/>
  <c r="P532" i="26"/>
  <c r="P533" i="26"/>
  <c r="P534" i="26"/>
  <c r="P535" i="26"/>
  <c r="P536" i="26"/>
  <c r="P537" i="26"/>
  <c r="P538" i="26"/>
  <c r="P539" i="26"/>
  <c r="P540" i="26"/>
  <c r="P541" i="26"/>
  <c r="P542" i="26"/>
  <c r="P543" i="26"/>
  <c r="P544" i="26"/>
  <c r="P545" i="26"/>
  <c r="P546" i="26"/>
  <c r="P547" i="26"/>
  <c r="P548" i="26"/>
  <c r="P549" i="26"/>
  <c r="P550" i="26"/>
  <c r="P551" i="26"/>
  <c r="P552" i="26"/>
  <c r="P553" i="26"/>
  <c r="P554" i="26"/>
  <c r="P555" i="26"/>
  <c r="P556" i="26"/>
  <c r="P557" i="26"/>
  <c r="P558" i="26"/>
  <c r="P559" i="26"/>
  <c r="P560" i="26"/>
  <c r="P561" i="26"/>
  <c r="P562" i="26"/>
  <c r="P563" i="26"/>
  <c r="P564" i="26"/>
  <c r="P565" i="26"/>
  <c r="P566" i="26"/>
  <c r="P567" i="26"/>
  <c r="P568" i="26"/>
  <c r="P569" i="26"/>
  <c r="P570" i="26"/>
  <c r="P571" i="26"/>
  <c r="P572" i="26"/>
  <c r="P573" i="26"/>
  <c r="P574" i="26"/>
  <c r="P575" i="26"/>
  <c r="P576" i="26"/>
  <c r="P577" i="26"/>
  <c r="P578" i="26"/>
  <c r="P579" i="26"/>
  <c r="P580" i="26"/>
  <c r="P581" i="26"/>
  <c r="P582" i="26"/>
  <c r="P583" i="26"/>
  <c r="P584" i="26"/>
  <c r="P585" i="26"/>
  <c r="P586" i="26"/>
  <c r="P587" i="26"/>
  <c r="P588" i="26"/>
  <c r="P589" i="26"/>
  <c r="P590" i="26"/>
  <c r="P591" i="26"/>
  <c r="P592" i="26"/>
  <c r="P593" i="26"/>
  <c r="P594" i="26"/>
  <c r="P595" i="26"/>
  <c r="P596" i="26"/>
  <c r="P597" i="26"/>
  <c r="P598" i="26"/>
  <c r="P599" i="26"/>
  <c r="P600" i="26"/>
  <c r="P601" i="26"/>
  <c r="P602" i="26"/>
  <c r="P603" i="26"/>
  <c r="P604" i="26"/>
  <c r="P605" i="26"/>
  <c r="P606" i="26"/>
  <c r="P607" i="26"/>
  <c r="P608" i="26"/>
  <c r="P609" i="26"/>
  <c r="P610" i="26"/>
  <c r="P611" i="26"/>
  <c r="P612" i="26"/>
  <c r="P613" i="26"/>
  <c r="P614" i="26"/>
  <c r="P615" i="26"/>
  <c r="P616" i="26"/>
  <c r="P617" i="26"/>
  <c r="P618" i="26"/>
  <c r="P619" i="26"/>
  <c r="P620" i="26"/>
  <c r="P621" i="26"/>
  <c r="P622" i="26"/>
  <c r="P623" i="26"/>
  <c r="P624" i="26"/>
  <c r="P625" i="26"/>
  <c r="P626" i="26"/>
  <c r="P627" i="26"/>
  <c r="P628" i="26"/>
  <c r="P629" i="26"/>
  <c r="P630" i="26"/>
  <c r="P631" i="26"/>
  <c r="P632" i="26"/>
  <c r="P633" i="26"/>
  <c r="P634" i="26"/>
  <c r="P635" i="26"/>
  <c r="P636" i="26"/>
  <c r="P637" i="26"/>
  <c r="P638" i="26"/>
  <c r="P639" i="26"/>
  <c r="P640" i="26"/>
  <c r="P641" i="26"/>
  <c r="P642" i="26"/>
  <c r="P643" i="26"/>
  <c r="P644" i="26"/>
  <c r="P645" i="26"/>
  <c r="P646" i="26"/>
  <c r="P647" i="26"/>
  <c r="P648" i="26"/>
  <c r="P649" i="26"/>
  <c r="P650" i="26"/>
  <c r="P651" i="26"/>
  <c r="P652" i="26"/>
  <c r="P653" i="26"/>
  <c r="P654" i="26"/>
  <c r="P655" i="26"/>
  <c r="P656" i="26"/>
  <c r="P657" i="26"/>
  <c r="P658" i="26"/>
  <c r="P659" i="26"/>
  <c r="P660" i="26"/>
  <c r="P661" i="26"/>
  <c r="P662" i="26"/>
  <c r="P663" i="26"/>
  <c r="P664" i="26"/>
  <c r="P665" i="26"/>
  <c r="P666" i="26"/>
  <c r="P667" i="26"/>
  <c r="P668" i="26"/>
  <c r="P669" i="26"/>
  <c r="P670" i="26"/>
  <c r="P671" i="26"/>
  <c r="P672" i="26"/>
  <c r="P673" i="26"/>
  <c r="P674" i="26"/>
  <c r="P675" i="26"/>
  <c r="P676" i="26"/>
  <c r="P677" i="26"/>
  <c r="P678" i="26"/>
  <c r="P679" i="26"/>
  <c r="P680" i="26"/>
  <c r="P681" i="26"/>
  <c r="P682" i="26"/>
  <c r="P683" i="26"/>
  <c r="P684" i="26"/>
  <c r="P685" i="26"/>
  <c r="P686" i="26"/>
  <c r="P687" i="26"/>
  <c r="P688" i="26"/>
  <c r="P689" i="26"/>
  <c r="P690" i="26"/>
  <c r="P691" i="26"/>
  <c r="P692" i="26"/>
  <c r="P693" i="26"/>
  <c r="P694" i="26"/>
  <c r="P695" i="26"/>
  <c r="P696" i="26"/>
  <c r="P697" i="26"/>
  <c r="P698" i="26"/>
  <c r="P699" i="26"/>
  <c r="P700" i="26"/>
  <c r="P701" i="26"/>
  <c r="P702" i="26"/>
  <c r="P703" i="26"/>
  <c r="P704" i="26"/>
  <c r="P705" i="26"/>
  <c r="P706" i="26"/>
  <c r="P707" i="26"/>
  <c r="P708" i="26"/>
  <c r="P709" i="26"/>
  <c r="P710" i="26"/>
  <c r="P711" i="26"/>
  <c r="P712" i="26"/>
  <c r="P713" i="26"/>
  <c r="P714" i="26"/>
  <c r="P715" i="26"/>
  <c r="P716" i="26"/>
  <c r="P717" i="26"/>
  <c r="P718" i="26"/>
  <c r="P719" i="26"/>
  <c r="P720" i="26"/>
  <c r="P721" i="26"/>
  <c r="P722" i="26"/>
  <c r="P723" i="26"/>
  <c r="P724" i="26"/>
  <c r="P725" i="26"/>
  <c r="P726" i="26"/>
  <c r="P727" i="26"/>
  <c r="P728" i="26"/>
  <c r="P729" i="26"/>
  <c r="P730" i="26"/>
  <c r="P731" i="26"/>
  <c r="P732" i="26"/>
  <c r="P733" i="26"/>
  <c r="P734" i="26"/>
  <c r="P735" i="26"/>
  <c r="P736" i="26"/>
  <c r="P737" i="26"/>
  <c r="P738" i="26"/>
  <c r="P739" i="26"/>
  <c r="P740" i="26"/>
  <c r="P741" i="26"/>
  <c r="P742" i="26"/>
  <c r="P743" i="26"/>
  <c r="P744" i="26"/>
  <c r="P745" i="26"/>
  <c r="P746" i="26"/>
  <c r="P747" i="26"/>
  <c r="P748" i="26"/>
  <c r="P749" i="26"/>
  <c r="P750" i="26"/>
  <c r="P751" i="26"/>
  <c r="P752" i="26"/>
  <c r="P753" i="26"/>
  <c r="P754" i="26"/>
  <c r="P755" i="26"/>
  <c r="P756" i="26"/>
  <c r="P757" i="26"/>
  <c r="P758" i="26"/>
  <c r="P759" i="26"/>
  <c r="P760" i="26"/>
  <c r="P761" i="26"/>
  <c r="P762" i="26"/>
  <c r="P763" i="26"/>
  <c r="P764" i="26"/>
  <c r="P765" i="26"/>
  <c r="P766" i="26"/>
  <c r="P767" i="26"/>
  <c r="P768" i="26"/>
  <c r="P769" i="26"/>
  <c r="P770" i="26"/>
  <c r="P771" i="26"/>
  <c r="P772" i="26"/>
  <c r="P773" i="26"/>
  <c r="P774" i="26"/>
  <c r="P775" i="26"/>
  <c r="P776" i="26"/>
  <c r="P777" i="26"/>
  <c r="P778" i="26"/>
  <c r="P779" i="26"/>
  <c r="P780" i="26"/>
  <c r="P781" i="26"/>
  <c r="P782" i="26"/>
  <c r="P783" i="26"/>
  <c r="P784" i="26"/>
  <c r="P785" i="26"/>
  <c r="P786" i="26"/>
  <c r="P787" i="26"/>
  <c r="P788" i="26"/>
  <c r="P789" i="26"/>
  <c r="P790" i="26"/>
  <c r="P791" i="26"/>
  <c r="P792" i="26"/>
  <c r="P793" i="26"/>
  <c r="P794" i="26"/>
  <c r="P795" i="26"/>
  <c r="P796" i="26"/>
  <c r="P797" i="26"/>
  <c r="P798" i="26"/>
  <c r="P799" i="26"/>
  <c r="P800" i="26"/>
  <c r="P801" i="26"/>
  <c r="P802" i="26"/>
  <c r="P803" i="26"/>
  <c r="P804" i="26"/>
  <c r="P805" i="26"/>
  <c r="P806" i="26"/>
  <c r="P807" i="26"/>
  <c r="P808" i="26"/>
  <c r="P809" i="26"/>
  <c r="P810" i="26"/>
  <c r="P811" i="26"/>
  <c r="P812" i="26"/>
  <c r="P813" i="26"/>
  <c r="P814" i="26"/>
  <c r="P815" i="26"/>
  <c r="P816" i="26"/>
  <c r="P817" i="26"/>
  <c r="P818" i="26"/>
  <c r="P819" i="26"/>
  <c r="P820" i="26"/>
  <c r="P821" i="26"/>
  <c r="P822" i="26"/>
  <c r="P823" i="26"/>
  <c r="P824" i="26"/>
  <c r="P825" i="26"/>
  <c r="P826" i="26"/>
  <c r="P827" i="26"/>
  <c r="P828" i="26"/>
  <c r="P829" i="26"/>
  <c r="P830" i="26"/>
  <c r="P831" i="26"/>
  <c r="P832" i="26"/>
  <c r="P833" i="26"/>
  <c r="P834" i="26"/>
  <c r="P835" i="26"/>
  <c r="P836" i="26"/>
  <c r="P837" i="26"/>
  <c r="P838" i="26"/>
  <c r="P839" i="26"/>
  <c r="P840" i="26"/>
  <c r="P841" i="26"/>
  <c r="P842" i="26"/>
  <c r="P843" i="26"/>
  <c r="P844" i="26"/>
  <c r="P845" i="26"/>
  <c r="P846" i="26"/>
  <c r="P847" i="26"/>
  <c r="P848" i="26"/>
  <c r="P849" i="26"/>
  <c r="P850" i="26"/>
  <c r="P851" i="26"/>
  <c r="P852" i="26"/>
  <c r="P853" i="26"/>
  <c r="P854" i="26"/>
  <c r="P855" i="26"/>
  <c r="P856" i="26"/>
  <c r="P857" i="26"/>
  <c r="P858" i="26"/>
  <c r="P859" i="26"/>
  <c r="P860" i="26"/>
  <c r="P861" i="26"/>
  <c r="P862" i="26"/>
  <c r="P863" i="26"/>
  <c r="P864" i="26"/>
  <c r="P865" i="26"/>
  <c r="P866" i="26"/>
  <c r="P867" i="26"/>
  <c r="P868" i="26"/>
  <c r="P869" i="26"/>
  <c r="P870" i="26"/>
  <c r="P871" i="26"/>
  <c r="P872" i="26"/>
  <c r="P873" i="26"/>
  <c r="P874" i="26"/>
  <c r="P875" i="26"/>
  <c r="P876" i="26"/>
  <c r="P877" i="26"/>
  <c r="P878" i="26"/>
  <c r="P879" i="26"/>
  <c r="P880" i="26"/>
  <c r="P881" i="26"/>
  <c r="P882" i="26"/>
  <c r="P883" i="26"/>
  <c r="P884" i="26"/>
  <c r="P885" i="26"/>
  <c r="P886" i="26"/>
  <c r="P887" i="26"/>
  <c r="P888" i="26"/>
  <c r="P889" i="26"/>
  <c r="P890" i="26"/>
  <c r="P891" i="26"/>
  <c r="P892" i="26"/>
  <c r="P893" i="26"/>
  <c r="P894" i="26"/>
  <c r="P895" i="26"/>
  <c r="P896" i="26"/>
  <c r="P897" i="26"/>
  <c r="P898" i="26"/>
  <c r="P899" i="26"/>
  <c r="P900" i="26"/>
  <c r="P901" i="26"/>
  <c r="P902" i="26"/>
  <c r="P903" i="26"/>
  <c r="P904" i="26"/>
  <c r="P905" i="26"/>
  <c r="P906" i="26"/>
  <c r="P907" i="26"/>
  <c r="P908" i="26"/>
  <c r="P909" i="26"/>
  <c r="P910" i="26"/>
  <c r="P911" i="26"/>
  <c r="P912" i="26"/>
  <c r="P913" i="26"/>
  <c r="P914" i="26"/>
  <c r="P915" i="26"/>
  <c r="P916" i="26"/>
  <c r="P917" i="26"/>
  <c r="P918" i="26"/>
  <c r="P919" i="26"/>
  <c r="P920" i="26"/>
  <c r="P921" i="26"/>
  <c r="P922" i="26"/>
  <c r="P923" i="26"/>
  <c r="P924" i="26"/>
  <c r="P925" i="26"/>
  <c r="P926" i="26"/>
  <c r="P927" i="26"/>
  <c r="P928" i="26"/>
  <c r="P929" i="26"/>
  <c r="P930" i="26"/>
  <c r="P931" i="26"/>
  <c r="P932" i="26"/>
  <c r="P933" i="26"/>
  <c r="P934" i="26"/>
  <c r="P935" i="26"/>
  <c r="P936" i="26"/>
  <c r="P937" i="26"/>
  <c r="P938" i="26"/>
  <c r="P939" i="26"/>
  <c r="P940" i="26"/>
  <c r="P941" i="26"/>
  <c r="P942" i="26"/>
  <c r="P943" i="26"/>
  <c r="P944" i="26"/>
  <c r="P945" i="26"/>
  <c r="P946" i="26"/>
  <c r="P947" i="26"/>
  <c r="P948" i="26"/>
  <c r="P949" i="26"/>
  <c r="P950" i="26"/>
  <c r="P951" i="26"/>
  <c r="P952" i="26"/>
  <c r="P953" i="26"/>
  <c r="P954" i="26"/>
  <c r="P955" i="26"/>
  <c r="P956" i="26"/>
  <c r="P957" i="26"/>
  <c r="P958" i="26"/>
  <c r="P959" i="26"/>
  <c r="P960" i="26"/>
  <c r="P961" i="26"/>
  <c r="P962" i="26"/>
  <c r="P963" i="26"/>
  <c r="P964" i="26"/>
  <c r="P965" i="26"/>
  <c r="P966" i="26"/>
  <c r="P967" i="26"/>
  <c r="P968" i="26"/>
  <c r="P969" i="26"/>
  <c r="P970" i="26"/>
  <c r="P971" i="26"/>
  <c r="P972" i="26"/>
  <c r="P973" i="26"/>
  <c r="P974" i="26"/>
  <c r="P975" i="26"/>
  <c r="P976" i="26"/>
  <c r="P977" i="26"/>
  <c r="P978" i="26"/>
  <c r="P979" i="26"/>
  <c r="P980" i="26"/>
  <c r="P981" i="26"/>
  <c r="P982" i="26"/>
  <c r="P983" i="26"/>
  <c r="P984" i="26"/>
  <c r="P985" i="26"/>
  <c r="P986" i="26"/>
  <c r="P987" i="26"/>
  <c r="P988" i="26"/>
  <c r="P989" i="26"/>
  <c r="P990" i="26"/>
  <c r="P991" i="26"/>
  <c r="P992" i="26"/>
  <c r="P993" i="26"/>
  <c r="P994" i="26"/>
  <c r="P995" i="26"/>
  <c r="P996" i="26"/>
  <c r="P997" i="26"/>
  <c r="P998" i="26"/>
  <c r="P999" i="26"/>
  <c r="P1000" i="26"/>
  <c r="P1001" i="26"/>
  <c r="P1002" i="26"/>
  <c r="P1003" i="26"/>
  <c r="P1004" i="26"/>
  <c r="P1005" i="26"/>
  <c r="P1006" i="26"/>
  <c r="P1007" i="26"/>
  <c r="P1008" i="26"/>
  <c r="P1009" i="26"/>
  <c r="P1010" i="26"/>
  <c r="P1011" i="26"/>
  <c r="P1012" i="26"/>
  <c r="P1013" i="26"/>
  <c r="P1014" i="26"/>
  <c r="P1015" i="26"/>
  <c r="P1016" i="26"/>
  <c r="P1017" i="26"/>
  <c r="P1018" i="26"/>
  <c r="P1019" i="26"/>
  <c r="P1020" i="26"/>
  <c r="P1021" i="26"/>
  <c r="P1022" i="26"/>
  <c r="P1023" i="26"/>
  <c r="P1024" i="26"/>
  <c r="P1025" i="26"/>
  <c r="P1026" i="26"/>
  <c r="P1027" i="26"/>
  <c r="P1028" i="26"/>
  <c r="P1029" i="26"/>
  <c r="P1030" i="26"/>
  <c r="P1031" i="26"/>
  <c r="P1032" i="26"/>
  <c r="P1033" i="26"/>
  <c r="P1034" i="26"/>
  <c r="P1035" i="26"/>
  <c r="P1036" i="26"/>
  <c r="P1037" i="26"/>
  <c r="P1038" i="26"/>
  <c r="P1039" i="26"/>
  <c r="P1040" i="26"/>
  <c r="P1041" i="26"/>
  <c r="P1042" i="26"/>
  <c r="P1043" i="26"/>
  <c r="P1044" i="26"/>
  <c r="P1045" i="26"/>
  <c r="P1046" i="26"/>
  <c r="P1047" i="26"/>
  <c r="P1048" i="26"/>
  <c r="P1049" i="26"/>
  <c r="P1050" i="26"/>
  <c r="P1051" i="26"/>
  <c r="P1052" i="26"/>
  <c r="P1053" i="26"/>
  <c r="P1054" i="26"/>
  <c r="P1055" i="26"/>
  <c r="P1056" i="26"/>
  <c r="P1057" i="26"/>
  <c r="P1058" i="26"/>
  <c r="P1059" i="26"/>
  <c r="P1060" i="26"/>
  <c r="P1061" i="26"/>
  <c r="P1062" i="26"/>
  <c r="P1063" i="26"/>
  <c r="P1064" i="26"/>
  <c r="P1065" i="26"/>
  <c r="P1066" i="26"/>
  <c r="P1067" i="26"/>
  <c r="P1068" i="26"/>
  <c r="P1069" i="26"/>
  <c r="P1070" i="26"/>
  <c r="P1071" i="26"/>
  <c r="P1072" i="26"/>
  <c r="P1073" i="26"/>
  <c r="P1074" i="26"/>
  <c r="P1075" i="26"/>
  <c r="P1076" i="26"/>
  <c r="P1077" i="26"/>
  <c r="P1078" i="26"/>
  <c r="P1079" i="26"/>
  <c r="P1080" i="26"/>
  <c r="P1081" i="26"/>
  <c r="P1082" i="26"/>
  <c r="P1083" i="26"/>
  <c r="P1084" i="26"/>
  <c r="P1085" i="26"/>
  <c r="P1086" i="26"/>
  <c r="P1087" i="26"/>
  <c r="P1088" i="26"/>
  <c r="P1089" i="26"/>
  <c r="P1090" i="26"/>
  <c r="P1091" i="26"/>
  <c r="P1092" i="26"/>
  <c r="P1093" i="26"/>
  <c r="P1094" i="26"/>
  <c r="P1095" i="26"/>
  <c r="P1096" i="26"/>
  <c r="P1097" i="26"/>
  <c r="P1098" i="26"/>
  <c r="P1099" i="26"/>
  <c r="P1100" i="26"/>
  <c r="P1101" i="26"/>
  <c r="P1102" i="26"/>
  <c r="P1103" i="26"/>
  <c r="P1104" i="26"/>
  <c r="P1105" i="26"/>
  <c r="P1106" i="26"/>
  <c r="P1107" i="26"/>
  <c r="P1108" i="26"/>
  <c r="P1109" i="26"/>
  <c r="P1110" i="26"/>
  <c r="P1111" i="26"/>
  <c r="P1112" i="26"/>
  <c r="P1113" i="26"/>
  <c r="P1114" i="26"/>
  <c r="P1115" i="26"/>
  <c r="P1116" i="26"/>
  <c r="P1117" i="26"/>
  <c r="P1118" i="26"/>
  <c r="P1119" i="26"/>
  <c r="P1120" i="26"/>
  <c r="P1121" i="26"/>
  <c r="P1122" i="26"/>
  <c r="P1123" i="26"/>
  <c r="P1124" i="26"/>
  <c r="P1125" i="26"/>
  <c r="P1126" i="26"/>
  <c r="P1127" i="26"/>
  <c r="P1128" i="26"/>
  <c r="P1129" i="26"/>
  <c r="P1130" i="26"/>
  <c r="P1131" i="26"/>
  <c r="P1132" i="26"/>
  <c r="P1133" i="26"/>
  <c r="P1134" i="26"/>
  <c r="P1135" i="26"/>
  <c r="P1136" i="26"/>
  <c r="P1137" i="26"/>
  <c r="P1138" i="26"/>
  <c r="P1139" i="26"/>
  <c r="P1140" i="26"/>
  <c r="P1141" i="26"/>
  <c r="P1142" i="26"/>
  <c r="P1143" i="26"/>
  <c r="P1144" i="26"/>
  <c r="P1145" i="26"/>
  <c r="P1146" i="26"/>
  <c r="P1147" i="26"/>
  <c r="P1148" i="26"/>
  <c r="P1149" i="26"/>
  <c r="P1150" i="26"/>
  <c r="P1151" i="26"/>
  <c r="P1152" i="26"/>
  <c r="P1153" i="26"/>
  <c r="P1154" i="26"/>
  <c r="P1155" i="26"/>
  <c r="P1156" i="26"/>
  <c r="P1157" i="26"/>
  <c r="P1158" i="26"/>
  <c r="P1159" i="26"/>
  <c r="P1160" i="26"/>
  <c r="P1161" i="26"/>
  <c r="P1162" i="26"/>
  <c r="P1163" i="26"/>
  <c r="P1164" i="26"/>
  <c r="P1165" i="26"/>
  <c r="P1166" i="26"/>
  <c r="P1167" i="26"/>
  <c r="P1168" i="26"/>
  <c r="P1169" i="26"/>
  <c r="P1170" i="26"/>
  <c r="P1171" i="26"/>
  <c r="P1172" i="26"/>
  <c r="P1173" i="26"/>
  <c r="P1174" i="26"/>
  <c r="P1175" i="26"/>
  <c r="P1176" i="26"/>
  <c r="P1177" i="26"/>
  <c r="P1178" i="26"/>
  <c r="P1179" i="26"/>
  <c r="P1180" i="26"/>
  <c r="P1181" i="26"/>
  <c r="P1182" i="26"/>
  <c r="P1183" i="26"/>
  <c r="P1184" i="26"/>
  <c r="P1185" i="26"/>
  <c r="P1186" i="26"/>
  <c r="P1187" i="26"/>
  <c r="P1188" i="26"/>
  <c r="P1189" i="26"/>
  <c r="P1190" i="26"/>
  <c r="P1191" i="26"/>
  <c r="P1192" i="26"/>
  <c r="P1193" i="26"/>
  <c r="P1194" i="26"/>
  <c r="P1195" i="26"/>
  <c r="P1196" i="26"/>
  <c r="P1197" i="26"/>
  <c r="P1198" i="26"/>
  <c r="P1199" i="26"/>
  <c r="P1200" i="26"/>
  <c r="P1201" i="26"/>
  <c r="P1202" i="26"/>
  <c r="P1203" i="26"/>
  <c r="P1204" i="26"/>
  <c r="P1205" i="26"/>
  <c r="P1206" i="26"/>
  <c r="P1207" i="26"/>
  <c r="P1208" i="26"/>
  <c r="P1209" i="26"/>
  <c r="P1210" i="26"/>
  <c r="P1211" i="26"/>
  <c r="P1212" i="26"/>
  <c r="P1213" i="26"/>
  <c r="P1214" i="26"/>
  <c r="P1215" i="26"/>
  <c r="P1216" i="26"/>
  <c r="P1217" i="26"/>
  <c r="P1218" i="26"/>
  <c r="P1219" i="26"/>
  <c r="P1220" i="26"/>
  <c r="P1221" i="26"/>
  <c r="P1222" i="26"/>
  <c r="P1223" i="26"/>
  <c r="P1224" i="26"/>
  <c r="P1225" i="26"/>
  <c r="P1226" i="26"/>
  <c r="P1227" i="26"/>
  <c r="P1228" i="26"/>
  <c r="P1229" i="26"/>
  <c r="P1230" i="26"/>
  <c r="P1231" i="26"/>
  <c r="P1232" i="26"/>
  <c r="P1233" i="26"/>
  <c r="P1234" i="26"/>
  <c r="P1235" i="26"/>
  <c r="P1236" i="26"/>
  <c r="P1237" i="26"/>
  <c r="P1238" i="26"/>
  <c r="P1239" i="26"/>
  <c r="P1240" i="26"/>
  <c r="P1241" i="26"/>
  <c r="P1242" i="26"/>
  <c r="P1243" i="26"/>
  <c r="P1244" i="26"/>
  <c r="P1245" i="26"/>
  <c r="P1246" i="26"/>
  <c r="P1247" i="26"/>
  <c r="P1248" i="26"/>
  <c r="P1249" i="26"/>
  <c r="P1250" i="26"/>
  <c r="P1251" i="26"/>
  <c r="P1252" i="26"/>
  <c r="P1253" i="26"/>
  <c r="P1254" i="26"/>
  <c r="P1255" i="26"/>
  <c r="P1256" i="26"/>
  <c r="P1257" i="26"/>
  <c r="P1258" i="26"/>
  <c r="P1259" i="26"/>
  <c r="P1260" i="26"/>
  <c r="P1261" i="26"/>
  <c r="P1262" i="26"/>
  <c r="P1263" i="26"/>
  <c r="P1264" i="26"/>
  <c r="P1265" i="26"/>
  <c r="P1266" i="26"/>
  <c r="P1267" i="26"/>
  <c r="P1268" i="26"/>
  <c r="P1269" i="26"/>
  <c r="P1270" i="26"/>
  <c r="P1271" i="26"/>
  <c r="P1272" i="26"/>
  <c r="P1273" i="26"/>
  <c r="P1274" i="26"/>
  <c r="P1275" i="26"/>
  <c r="P1276" i="26"/>
  <c r="P1277" i="26"/>
  <c r="P1278" i="26"/>
  <c r="P1279" i="26"/>
  <c r="P1280" i="26"/>
  <c r="P1281" i="26"/>
  <c r="P1282" i="26"/>
  <c r="P1283" i="26"/>
  <c r="P1284" i="26"/>
  <c r="P1285" i="26"/>
  <c r="P1286" i="26"/>
  <c r="P1287" i="26"/>
  <c r="P1288" i="26"/>
  <c r="P1289" i="26"/>
  <c r="P1290" i="26"/>
  <c r="P1291" i="26"/>
  <c r="P1292" i="26"/>
  <c r="P1293" i="26"/>
  <c r="P1294" i="26"/>
  <c r="P1295" i="26"/>
  <c r="P1296" i="26"/>
  <c r="P1297" i="26"/>
  <c r="P1298" i="26"/>
  <c r="P1299" i="26"/>
  <c r="P1300" i="26"/>
  <c r="P1301" i="26"/>
  <c r="P1302" i="26"/>
  <c r="P1303" i="26"/>
  <c r="P1304" i="26"/>
  <c r="P1305" i="26"/>
  <c r="P1306" i="26"/>
  <c r="P1307" i="26"/>
  <c r="P1308" i="26"/>
  <c r="P1309" i="26"/>
  <c r="P1310" i="26"/>
  <c r="P1311" i="26"/>
  <c r="P1312" i="26"/>
  <c r="P1313" i="26"/>
  <c r="P1314" i="26"/>
  <c r="P1315" i="26"/>
  <c r="P1316" i="26"/>
  <c r="P1317" i="26"/>
  <c r="P1318" i="26"/>
  <c r="P1319" i="26"/>
  <c r="P1320" i="26"/>
  <c r="P1321" i="26"/>
  <c r="P1322" i="26"/>
  <c r="P1323" i="26"/>
  <c r="P1324" i="26"/>
  <c r="P1325" i="26"/>
  <c r="P1326" i="26"/>
  <c r="P1327" i="26"/>
  <c r="P1328" i="26"/>
  <c r="P1329" i="26"/>
  <c r="P1330" i="26"/>
  <c r="P1331" i="26"/>
  <c r="P1332" i="26"/>
  <c r="P1333" i="26"/>
  <c r="P1334" i="26"/>
  <c r="P1335" i="26"/>
  <c r="P1336" i="26"/>
  <c r="P1337" i="26"/>
  <c r="P1338" i="26"/>
  <c r="P1339" i="26"/>
  <c r="P1340" i="26"/>
  <c r="P1341" i="26"/>
  <c r="P1342" i="26"/>
  <c r="P1343" i="26"/>
  <c r="P1344" i="26"/>
  <c r="P1345" i="26"/>
  <c r="P1346" i="26"/>
  <c r="P1347" i="26"/>
  <c r="P1348" i="26"/>
  <c r="P1349" i="26"/>
  <c r="P1350" i="26"/>
  <c r="P1351" i="26"/>
  <c r="P1352" i="26"/>
  <c r="P1353" i="26"/>
  <c r="P1354" i="26"/>
  <c r="P1355" i="26"/>
  <c r="P1356" i="26"/>
  <c r="P1357" i="26"/>
  <c r="P1358" i="26"/>
  <c r="P1359" i="26"/>
  <c r="P1360" i="26"/>
  <c r="P1361" i="26"/>
  <c r="P1362" i="26"/>
  <c r="P1363" i="26"/>
  <c r="P1364" i="26"/>
  <c r="P1365" i="26"/>
  <c r="P1366" i="26"/>
  <c r="P1367" i="26"/>
  <c r="P1368" i="26"/>
  <c r="P1369" i="26"/>
  <c r="P1370" i="26"/>
  <c r="P1371" i="26"/>
  <c r="P1372" i="26"/>
  <c r="P1373" i="26"/>
  <c r="P1374" i="26"/>
  <c r="P1375" i="26"/>
  <c r="P1376" i="26"/>
  <c r="P1377" i="26"/>
  <c r="P1378" i="26"/>
  <c r="P1379" i="26"/>
  <c r="P1380" i="26"/>
  <c r="P1381" i="26"/>
  <c r="P1382" i="26"/>
  <c r="P1383" i="26"/>
  <c r="P1384" i="26"/>
  <c r="P1385" i="26"/>
  <c r="P1386" i="26"/>
  <c r="P1387" i="26"/>
  <c r="P1388" i="26"/>
  <c r="P1389" i="26"/>
  <c r="P1390" i="26"/>
  <c r="P1391" i="26"/>
  <c r="P1392" i="26"/>
  <c r="P1393" i="26"/>
  <c r="P1394" i="26"/>
  <c r="P1395" i="26"/>
  <c r="P1396" i="26"/>
  <c r="P1397" i="26"/>
  <c r="P1398" i="26"/>
  <c r="P1399" i="26"/>
  <c r="P1400" i="26"/>
  <c r="P1401" i="26"/>
  <c r="P1402" i="26"/>
  <c r="P1403" i="26"/>
  <c r="P1404" i="26"/>
  <c r="P1405" i="26"/>
  <c r="P1406" i="26"/>
  <c r="P1407" i="26"/>
  <c r="P1408" i="26"/>
  <c r="P1409" i="26"/>
  <c r="P1410" i="26"/>
  <c r="P1411" i="26"/>
  <c r="P1412" i="26"/>
  <c r="P1413" i="26"/>
  <c r="P1414" i="26"/>
  <c r="P1415" i="26"/>
  <c r="P1416" i="26"/>
  <c r="P1417" i="26"/>
  <c r="P1418" i="26"/>
  <c r="P1419" i="26"/>
  <c r="P1420" i="26"/>
  <c r="P1421" i="26"/>
  <c r="P1422" i="26"/>
  <c r="P1423" i="26"/>
  <c r="P1424" i="26"/>
  <c r="P1425" i="26"/>
  <c r="P1426" i="26"/>
  <c r="P1427" i="26"/>
  <c r="P1428" i="26"/>
  <c r="P1429" i="26"/>
  <c r="P1430" i="26"/>
  <c r="P1431" i="26"/>
  <c r="P1432" i="26"/>
  <c r="P1433" i="26"/>
  <c r="P1434" i="26"/>
  <c r="P1435" i="26"/>
  <c r="P1436" i="26"/>
  <c r="P1437" i="26"/>
  <c r="P1438" i="26"/>
  <c r="P1439" i="26"/>
  <c r="P1440" i="26"/>
  <c r="P1441" i="26"/>
  <c r="P1442" i="26"/>
  <c r="P1443" i="26"/>
  <c r="P1444" i="26"/>
  <c r="P1445" i="26"/>
  <c r="P1446" i="26"/>
  <c r="P1447" i="26"/>
  <c r="P1448" i="26"/>
  <c r="P1449" i="26"/>
  <c r="P1450" i="26"/>
  <c r="P1451" i="26"/>
  <c r="P1452" i="26"/>
  <c r="P1453" i="26"/>
  <c r="P1454" i="26"/>
  <c r="P1455" i="26"/>
  <c r="P1456" i="26"/>
  <c r="P1457" i="26"/>
  <c r="P1458" i="26"/>
  <c r="P1459" i="26"/>
  <c r="P1460" i="26"/>
  <c r="P1461" i="26"/>
  <c r="P1462" i="26"/>
  <c r="P1463" i="26"/>
  <c r="P1464" i="26"/>
  <c r="P1465" i="26"/>
  <c r="P1466" i="26"/>
  <c r="P1467" i="26"/>
  <c r="P1468" i="26"/>
  <c r="P1469" i="26"/>
  <c r="P1470" i="26"/>
  <c r="P1471" i="26"/>
  <c r="P1472" i="26"/>
  <c r="P1473" i="26"/>
  <c r="P1474" i="26"/>
  <c r="P1475" i="26"/>
  <c r="P1476" i="26"/>
  <c r="P1477" i="26"/>
  <c r="P1478" i="26"/>
  <c r="P1479" i="26"/>
  <c r="P1480" i="26"/>
  <c r="P1481" i="26"/>
  <c r="P1482" i="26"/>
  <c r="P1483" i="26"/>
  <c r="P1484" i="26"/>
  <c r="P1485" i="26"/>
  <c r="P1486" i="26"/>
  <c r="P1487" i="26"/>
  <c r="P1488" i="26"/>
  <c r="P1489" i="26"/>
  <c r="P1490" i="26"/>
  <c r="P1491" i="26"/>
  <c r="P1492" i="26"/>
  <c r="P1493" i="26"/>
  <c r="P1494" i="26"/>
  <c r="P1495" i="26"/>
  <c r="P1496" i="26"/>
  <c r="P1497" i="26"/>
  <c r="P1498" i="26"/>
  <c r="P1499" i="26"/>
  <c r="P1500" i="26"/>
  <c r="P1501" i="26"/>
  <c r="P1502" i="26"/>
  <c r="P1503" i="26"/>
  <c r="P1504" i="26"/>
  <c r="P1505" i="26"/>
  <c r="P1506" i="26"/>
  <c r="P1507" i="26"/>
  <c r="P1508" i="26"/>
  <c r="P1509" i="26"/>
  <c r="P1510" i="26"/>
  <c r="P1511" i="26"/>
  <c r="P1512" i="26"/>
  <c r="P1513" i="26"/>
  <c r="P1514" i="26"/>
  <c r="P1515" i="26"/>
  <c r="P1516" i="26"/>
  <c r="P1517" i="26"/>
  <c r="P1518" i="26"/>
  <c r="P1519" i="26"/>
  <c r="P1520" i="26"/>
  <c r="P1521" i="26"/>
  <c r="P1522" i="26"/>
  <c r="P1523" i="26"/>
  <c r="P1524" i="26"/>
  <c r="P1525" i="26"/>
  <c r="P1526" i="26"/>
  <c r="P1527" i="26"/>
  <c r="P1528" i="26"/>
  <c r="P1529" i="26"/>
  <c r="P1530" i="26"/>
  <c r="P1531" i="26"/>
  <c r="P1532" i="26"/>
  <c r="P1533" i="26"/>
  <c r="P1534" i="26"/>
  <c r="P1535" i="26"/>
  <c r="P1536" i="26"/>
  <c r="P1537" i="26"/>
  <c r="P1538" i="26"/>
  <c r="P1539" i="26"/>
  <c r="P1540" i="26"/>
  <c r="P1541" i="26"/>
  <c r="P1542" i="26"/>
  <c r="P1543" i="26"/>
  <c r="P1544" i="26"/>
  <c r="P1545" i="26"/>
  <c r="P1546" i="26"/>
  <c r="P1547" i="26"/>
  <c r="P1548" i="26"/>
  <c r="P1549" i="26"/>
  <c r="P1550" i="26"/>
  <c r="P1551" i="26"/>
  <c r="P1552" i="26"/>
  <c r="P1553" i="26"/>
  <c r="P1554" i="26"/>
  <c r="P1555" i="26"/>
  <c r="P1556" i="26"/>
  <c r="P1557" i="26"/>
  <c r="P1558" i="26"/>
  <c r="P1559" i="26"/>
  <c r="P1560" i="26"/>
  <c r="P1561" i="26"/>
  <c r="P1562" i="26"/>
  <c r="P1563" i="26"/>
  <c r="P1564" i="26"/>
  <c r="P1565" i="26"/>
  <c r="P1566" i="26"/>
  <c r="P1567" i="26"/>
  <c r="P1568" i="26"/>
  <c r="P1569" i="26"/>
  <c r="P1570" i="26"/>
  <c r="P1571" i="26"/>
  <c r="P1572" i="26"/>
  <c r="P1573" i="26"/>
  <c r="P1574" i="26"/>
  <c r="P1575" i="26"/>
  <c r="P1576" i="26"/>
  <c r="P1577" i="26"/>
  <c r="P1578" i="26"/>
  <c r="P1579" i="26"/>
  <c r="P1580" i="26"/>
  <c r="P1581" i="26"/>
  <c r="P1582" i="26"/>
  <c r="P1583" i="26"/>
  <c r="P1584" i="26"/>
  <c r="P1585" i="26"/>
  <c r="P1586" i="26"/>
  <c r="P1587" i="26"/>
  <c r="P1588" i="26"/>
  <c r="P1589" i="26"/>
  <c r="P1590" i="26"/>
  <c r="P1591" i="26"/>
  <c r="P1592" i="26"/>
  <c r="P1593" i="26"/>
  <c r="P1594" i="26"/>
  <c r="P1595" i="26"/>
  <c r="P1596" i="26"/>
  <c r="P1597" i="26"/>
  <c r="P1598" i="26"/>
  <c r="P1599" i="26"/>
  <c r="P1600" i="26"/>
  <c r="P1601" i="26"/>
  <c r="P1602" i="26"/>
  <c r="P1603" i="26"/>
  <c r="P1604" i="26"/>
  <c r="P1605" i="26"/>
  <c r="P1606" i="26"/>
  <c r="P1607" i="26"/>
  <c r="P1608" i="26"/>
  <c r="P1609" i="26"/>
  <c r="P1610" i="26"/>
  <c r="P1611" i="26"/>
  <c r="P1612" i="26"/>
  <c r="P1613" i="26"/>
  <c r="P1614" i="26"/>
  <c r="P1615" i="26"/>
  <c r="P1616" i="26"/>
  <c r="P1617" i="26"/>
  <c r="P1618" i="26"/>
  <c r="P1619" i="26"/>
  <c r="P1620" i="26"/>
  <c r="P1621" i="26"/>
  <c r="P1622" i="26"/>
  <c r="P1623" i="26"/>
  <c r="P1624" i="26"/>
  <c r="P1625" i="26"/>
  <c r="P1626" i="26"/>
  <c r="P1627" i="26"/>
  <c r="P1628" i="26"/>
  <c r="P1629" i="26"/>
  <c r="P1630" i="26"/>
  <c r="P1631" i="26"/>
  <c r="P1632" i="26"/>
  <c r="P1633" i="26"/>
  <c r="P1634" i="26"/>
  <c r="P1635" i="26"/>
  <c r="P1636" i="26"/>
  <c r="P1637" i="26"/>
  <c r="P1638" i="26"/>
  <c r="P1639" i="26"/>
  <c r="P1640" i="26"/>
  <c r="P1641" i="26"/>
  <c r="P1642" i="26"/>
  <c r="P1643" i="26"/>
  <c r="P1644" i="26"/>
  <c r="P1645" i="26"/>
  <c r="P1646" i="26"/>
  <c r="P1647" i="26"/>
  <c r="P1648" i="26"/>
  <c r="P1649" i="26"/>
  <c r="P1650" i="26"/>
  <c r="P1651" i="26"/>
  <c r="P1652" i="26"/>
  <c r="J2" i="26"/>
  <c r="P2" i="26" s="1"/>
  <c r="J2" i="27"/>
  <c r="P2" i="27" s="1"/>
  <c r="J2" i="28"/>
  <c r="P2" i="28" s="1"/>
  <c r="J2" i="21"/>
  <c r="O2" i="21" s="1"/>
  <c r="J2" i="20"/>
  <c r="O2" i="20" s="1"/>
  <c r="J2" i="19"/>
  <c r="O2" i="19" s="1"/>
  <c r="K39" i="2" l="1"/>
  <c r="I39" i="2"/>
  <c r="J39" i="2"/>
  <c r="I40" i="2"/>
  <c r="J40" i="2"/>
  <c r="K40" i="2"/>
  <c r="I36" i="2"/>
  <c r="J36" i="2"/>
  <c r="K36" i="2"/>
  <c r="I37" i="2"/>
  <c r="J37" i="2"/>
  <c r="K37" i="2"/>
  <c r="G271" i="2"/>
  <c r="F271" i="2"/>
  <c r="D271" i="2"/>
  <c r="B271" i="2"/>
  <c r="G273" i="2"/>
  <c r="F273" i="2"/>
  <c r="D273" i="2"/>
  <c r="B273" i="2"/>
  <c r="G263" i="2"/>
  <c r="F263" i="2"/>
  <c r="D263" i="2"/>
  <c r="B263" i="2"/>
  <c r="G275" i="2"/>
  <c r="F275" i="2"/>
  <c r="D275" i="2"/>
  <c r="B275" i="2"/>
  <c r="G265" i="2"/>
  <c r="F265" i="2"/>
  <c r="D265" i="2"/>
  <c r="B265" i="2"/>
  <c r="G277" i="2"/>
  <c r="F277" i="2"/>
  <c r="D277" i="2"/>
  <c r="B277" i="2"/>
  <c r="G272" i="2"/>
  <c r="F272" i="2"/>
  <c r="D272" i="2"/>
  <c r="B272" i="2"/>
  <c r="F262" i="2"/>
  <c r="D262" i="2"/>
  <c r="B262" i="2"/>
  <c r="G262" i="2"/>
  <c r="F274" i="2"/>
  <c r="D274" i="2"/>
  <c r="B274" i="2"/>
  <c r="G274" i="2"/>
  <c r="B264" i="2"/>
  <c r="G264" i="2"/>
  <c r="F264" i="2"/>
  <c r="D264" i="2"/>
  <c r="B276" i="2"/>
  <c r="G276" i="2"/>
  <c r="F276" i="2"/>
  <c r="D276" i="2"/>
  <c r="G301" i="2"/>
  <c r="F301" i="2"/>
  <c r="D299" i="2"/>
  <c r="F299" i="2"/>
  <c r="G299" i="2"/>
  <c r="F300" i="2"/>
  <c r="G300" i="2"/>
  <c r="F297" i="2"/>
  <c r="G297" i="2"/>
  <c r="F298" i="2"/>
  <c r="G298" i="2"/>
  <c r="F296" i="2"/>
  <c r="G296" i="2"/>
  <c r="F295" i="2"/>
  <c r="G295" i="2"/>
  <c r="B301" i="2"/>
  <c r="D301" i="2"/>
  <c r="B300" i="2"/>
  <c r="D300" i="2"/>
  <c r="B297" i="2"/>
  <c r="D297" i="2"/>
  <c r="B298" i="2"/>
  <c r="D298" i="2"/>
  <c r="B296" i="2"/>
  <c r="D296" i="2"/>
  <c r="B295" i="2"/>
  <c r="D295" i="2"/>
  <c r="B299" i="2"/>
  <c r="H299" i="2" s="1"/>
  <c r="F287" i="2"/>
  <c r="G287" i="2"/>
  <c r="F289" i="2"/>
  <c r="G289" i="2"/>
  <c r="F288" i="2"/>
  <c r="G288" i="2"/>
  <c r="F286" i="2"/>
  <c r="G286" i="2"/>
  <c r="B287" i="2"/>
  <c r="D287" i="2"/>
  <c r="B289" i="2"/>
  <c r="D289" i="2"/>
  <c r="B288" i="2"/>
  <c r="D288" i="2"/>
  <c r="B286" i="2"/>
  <c r="D286" i="2"/>
  <c r="B88" i="2"/>
  <c r="B89" i="2"/>
  <c r="B91" i="2"/>
  <c r="B86" i="2"/>
  <c r="C87" i="2"/>
  <c r="B90" i="2"/>
  <c r="E85" i="2"/>
  <c r="D77" i="2"/>
  <c r="B79" i="2"/>
  <c r="C78" i="2"/>
  <c r="F76" i="2"/>
  <c r="D76" i="2"/>
  <c r="G87" i="2"/>
  <c r="B87" i="2"/>
  <c r="C76" i="2"/>
  <c r="B85" i="2"/>
  <c r="G90" i="2"/>
  <c r="D86" i="2"/>
  <c r="C86" i="2"/>
  <c r="D85" i="2"/>
  <c r="G91" i="2"/>
  <c r="D91" i="2"/>
  <c r="C91" i="2"/>
  <c r="G78" i="2"/>
  <c r="F77" i="2"/>
  <c r="F78" i="2"/>
  <c r="C77" i="2"/>
  <c r="G86" i="2"/>
  <c r="B77" i="2"/>
  <c r="E78" i="2"/>
  <c r="D78" i="2"/>
  <c r="C88" i="2"/>
  <c r="B78" i="2"/>
  <c r="F87" i="2"/>
  <c r="G88" i="2"/>
  <c r="F88" i="2"/>
  <c r="F89" i="2"/>
  <c r="E89" i="2"/>
  <c r="F90" i="2"/>
  <c r="E90" i="2"/>
  <c r="D90" i="2"/>
  <c r="E77" i="2"/>
  <c r="C90" i="2"/>
  <c r="C85" i="2"/>
  <c r="G85" i="2"/>
  <c r="F85" i="2"/>
  <c r="E87" i="2"/>
  <c r="D87" i="2"/>
  <c r="G76" i="2"/>
  <c r="G79" i="2"/>
  <c r="B76" i="2"/>
  <c r="G77" i="2"/>
  <c r="E86" i="2"/>
  <c r="E76" i="2"/>
  <c r="D89" i="2"/>
  <c r="F91" i="2"/>
  <c r="F86" i="2"/>
  <c r="E91" i="2"/>
  <c r="G89" i="2"/>
  <c r="C89" i="2"/>
  <c r="F79" i="2"/>
  <c r="E88" i="2"/>
  <c r="E79" i="2"/>
  <c r="D88" i="2"/>
  <c r="D79" i="2"/>
  <c r="C79" i="2"/>
  <c r="I2" i="26"/>
  <c r="A217" i="2" a="1"/>
  <c r="A217" i="2" s="1"/>
  <c r="B217" i="2" s="1"/>
  <c r="M2" i="25"/>
  <c r="N2" i="25" s="1"/>
  <c r="J2" i="30"/>
  <c r="P2" i="30"/>
  <c r="O2" i="30"/>
  <c r="E30" i="2"/>
  <c r="A232" i="2"/>
  <c r="A231" i="2"/>
  <c r="A230" i="2"/>
  <c r="A229" i="2"/>
  <c r="A228" i="2"/>
  <c r="A227" i="2"/>
  <c r="A226" i="2"/>
  <c r="A218" i="2"/>
  <c r="A219" i="2"/>
  <c r="A220" i="2"/>
  <c r="P8" i="2"/>
  <c r="N2" i="29"/>
  <c r="O2" i="29"/>
  <c r="K140" i="27"/>
  <c r="L140" i="27" s="1"/>
  <c r="M140" i="27" s="1"/>
  <c r="K127" i="27"/>
  <c r="L127" i="27" s="1"/>
  <c r="M127" i="27" s="1"/>
  <c r="K114" i="27"/>
  <c r="L114" i="27" s="1"/>
  <c r="M114" i="27" s="1"/>
  <c r="K101" i="27"/>
  <c r="L101" i="27" s="1"/>
  <c r="M101" i="27" s="1"/>
  <c r="K88" i="27"/>
  <c r="L88" i="27" s="1"/>
  <c r="M88" i="27" s="1"/>
  <c r="K75" i="27"/>
  <c r="L75" i="27" s="1"/>
  <c r="M75" i="27" s="1"/>
  <c r="K35" i="27"/>
  <c r="L35" i="27" s="1"/>
  <c r="M35" i="27" s="1"/>
  <c r="K302" i="27"/>
  <c r="L302" i="27" s="1"/>
  <c r="M302" i="27" s="1"/>
  <c r="K290" i="27"/>
  <c r="L290" i="27" s="1"/>
  <c r="M290" i="27" s="1"/>
  <c r="K242" i="27"/>
  <c r="L242" i="27" s="1"/>
  <c r="M242" i="27" s="1"/>
  <c r="K14" i="27"/>
  <c r="L14" i="27" s="1"/>
  <c r="M14" i="27" s="1"/>
  <c r="K297" i="27"/>
  <c r="L297" i="27" s="1"/>
  <c r="M297" i="27" s="1"/>
  <c r="K273" i="27"/>
  <c r="L273" i="27" s="1"/>
  <c r="M273" i="27" s="1"/>
  <c r="K249" i="27"/>
  <c r="L249" i="27" s="1"/>
  <c r="M249" i="27" s="1"/>
  <c r="K237" i="27"/>
  <c r="L237" i="27" s="1"/>
  <c r="M237" i="27" s="1"/>
  <c r="K213" i="27"/>
  <c r="L213" i="27" s="1"/>
  <c r="M213" i="27" s="1"/>
  <c r="K189" i="27"/>
  <c r="L189" i="27" s="1"/>
  <c r="M189" i="27" s="1"/>
  <c r="K165" i="27"/>
  <c r="L165" i="27" s="1"/>
  <c r="M165" i="27" s="1"/>
  <c r="K152" i="27"/>
  <c r="L152" i="27" s="1"/>
  <c r="M152" i="27" s="1"/>
  <c r="K139" i="27"/>
  <c r="L139" i="27" s="1"/>
  <c r="M139" i="27" s="1"/>
  <c r="K126" i="27"/>
  <c r="L126" i="27" s="1"/>
  <c r="M126" i="27" s="1"/>
  <c r="K113" i="27"/>
  <c r="L113" i="27" s="1"/>
  <c r="M113" i="27" s="1"/>
  <c r="K100" i="27"/>
  <c r="L100" i="27" s="1"/>
  <c r="M100" i="27" s="1"/>
  <c r="K87" i="27"/>
  <c r="L87" i="27" s="1"/>
  <c r="M87" i="27" s="1"/>
  <c r="K74" i="27"/>
  <c r="L74" i="27" s="1"/>
  <c r="M74" i="27" s="1"/>
  <c r="K61" i="27"/>
  <c r="L61" i="27" s="1"/>
  <c r="M61" i="27" s="1"/>
  <c r="K21" i="27"/>
  <c r="L21" i="27" s="1"/>
  <c r="M21" i="27" s="1"/>
  <c r="K8" i="27"/>
  <c r="L8" i="27" s="1"/>
  <c r="M8" i="27" s="1"/>
  <c r="K278" i="27"/>
  <c r="L278" i="27" s="1"/>
  <c r="M278" i="27" s="1"/>
  <c r="K301" i="27"/>
  <c r="L301" i="27" s="1"/>
  <c r="M301" i="27" s="1"/>
  <c r="K236" i="27"/>
  <c r="L236" i="27" s="1"/>
  <c r="M236" i="27" s="1"/>
  <c r="K224" i="27"/>
  <c r="L224" i="27" s="1"/>
  <c r="M224" i="27" s="1"/>
  <c r="K200" i="27"/>
  <c r="L200" i="27" s="1"/>
  <c r="M200" i="27" s="1"/>
  <c r="K176" i="27"/>
  <c r="L176" i="27" s="1"/>
  <c r="M176" i="27" s="1"/>
  <c r="K59" i="27"/>
  <c r="L59" i="27" s="1"/>
  <c r="M59" i="27" s="1"/>
  <c r="K240" i="27"/>
  <c r="L240" i="27" s="1"/>
  <c r="M240" i="27" s="1"/>
  <c r="K216" i="27"/>
  <c r="L216" i="27" s="1"/>
  <c r="M216" i="27" s="1"/>
  <c r="K180" i="27"/>
  <c r="L180" i="27" s="1"/>
  <c r="M180" i="27" s="1"/>
  <c r="N156" i="27"/>
  <c r="K156" i="27" s="1"/>
  <c r="L156" i="27" s="1"/>
  <c r="M156" i="27" s="1"/>
  <c r="N144" i="27"/>
  <c r="K144" i="27" s="1"/>
  <c r="L144" i="27" s="1"/>
  <c r="M144" i="27" s="1"/>
  <c r="N132" i="27"/>
  <c r="K132" i="27" s="1"/>
  <c r="L132" i="27" s="1"/>
  <c r="M132" i="27" s="1"/>
  <c r="N120" i="27"/>
  <c r="K120" i="27"/>
  <c r="L120" i="27" s="1"/>
  <c r="M120" i="27" s="1"/>
  <c r="N96" i="27"/>
  <c r="K96" i="27" s="1"/>
  <c r="L96" i="27" s="1"/>
  <c r="M96" i="27" s="1"/>
  <c r="N72" i="27"/>
  <c r="K72" i="27" s="1"/>
  <c r="L72" i="27" s="1"/>
  <c r="M72" i="27" s="1"/>
  <c r="N48" i="27"/>
  <c r="K48" i="27" s="1"/>
  <c r="L48" i="27" s="1"/>
  <c r="M48" i="27" s="1"/>
  <c r="K36" i="27"/>
  <c r="L36" i="27" s="1"/>
  <c r="M36" i="27" s="1"/>
  <c r="N36" i="27"/>
  <c r="N24" i="27"/>
  <c r="K24" i="27" s="1"/>
  <c r="L24" i="27" s="1"/>
  <c r="M24" i="27" s="1"/>
  <c r="N12" i="27"/>
  <c r="K12" i="27"/>
  <c r="L12" i="27" s="1"/>
  <c r="M12" i="27" s="1"/>
  <c r="K307" i="27"/>
  <c r="L307" i="27" s="1"/>
  <c r="M307" i="27" s="1"/>
  <c r="K283" i="27"/>
  <c r="L283" i="27" s="1"/>
  <c r="M283" i="27" s="1"/>
  <c r="K271" i="27"/>
  <c r="L271" i="27" s="1"/>
  <c r="M271" i="27" s="1"/>
  <c r="K259" i="27"/>
  <c r="L259" i="27" s="1"/>
  <c r="M259" i="27" s="1"/>
  <c r="K247" i="27"/>
  <c r="L247" i="27" s="1"/>
  <c r="M247" i="27" s="1"/>
  <c r="K235" i="27"/>
  <c r="L235" i="27" s="1"/>
  <c r="M235" i="27" s="1"/>
  <c r="K223" i="27"/>
  <c r="L223" i="27" s="1"/>
  <c r="M223" i="27" s="1"/>
  <c r="K211" i="27"/>
  <c r="L211" i="27" s="1"/>
  <c r="M211" i="27" s="1"/>
  <c r="K187" i="27"/>
  <c r="L187" i="27" s="1"/>
  <c r="M187" i="27" s="1"/>
  <c r="K163" i="27"/>
  <c r="L163" i="27" s="1"/>
  <c r="M163" i="27" s="1"/>
  <c r="K150" i="27"/>
  <c r="L150" i="27" s="1"/>
  <c r="M150" i="27" s="1"/>
  <c r="K137" i="27"/>
  <c r="L137" i="27" s="1"/>
  <c r="M137" i="27" s="1"/>
  <c r="K124" i="27"/>
  <c r="L124" i="27" s="1"/>
  <c r="M124" i="27" s="1"/>
  <c r="K111" i="27"/>
  <c r="L111" i="27" s="1"/>
  <c r="M111" i="27" s="1"/>
  <c r="K98" i="27"/>
  <c r="L98" i="27" s="1"/>
  <c r="M98" i="27" s="1"/>
  <c r="K45" i="27"/>
  <c r="L45" i="27" s="1"/>
  <c r="M45" i="27" s="1"/>
  <c r="K32" i="27"/>
  <c r="L32" i="27" s="1"/>
  <c r="M32" i="27" s="1"/>
  <c r="K19" i="27"/>
  <c r="L19" i="27" s="1"/>
  <c r="M19" i="27" s="1"/>
  <c r="K6" i="27"/>
  <c r="L6" i="27" s="1"/>
  <c r="M6" i="27" s="1"/>
  <c r="K299" i="27"/>
  <c r="L299" i="27" s="1"/>
  <c r="M299" i="27" s="1"/>
  <c r="K275" i="27"/>
  <c r="L275" i="27" s="1"/>
  <c r="M275" i="27" s="1"/>
  <c r="K294" i="27"/>
  <c r="L294" i="27" s="1"/>
  <c r="M294" i="27" s="1"/>
  <c r="K270" i="27"/>
  <c r="L270" i="27" s="1"/>
  <c r="M270" i="27" s="1"/>
  <c r="K258" i="27"/>
  <c r="L258" i="27" s="1"/>
  <c r="M258" i="27" s="1"/>
  <c r="K234" i="27"/>
  <c r="L234" i="27" s="1"/>
  <c r="M234" i="27" s="1"/>
  <c r="K222" i="27"/>
  <c r="L222" i="27" s="1"/>
  <c r="M222" i="27" s="1"/>
  <c r="K210" i="27"/>
  <c r="L210" i="27" s="1"/>
  <c r="M210" i="27" s="1"/>
  <c r="K198" i="27"/>
  <c r="L198" i="27" s="1"/>
  <c r="M198" i="27" s="1"/>
  <c r="K174" i="27"/>
  <c r="L174" i="27" s="1"/>
  <c r="M174" i="27" s="1"/>
  <c r="K83" i="27"/>
  <c r="L83" i="27" s="1"/>
  <c r="M83" i="27" s="1"/>
  <c r="K298" i="27"/>
  <c r="L298" i="27" s="1"/>
  <c r="M298" i="27" s="1"/>
  <c r="K286" i="27"/>
  <c r="L286" i="27" s="1"/>
  <c r="M286" i="27" s="1"/>
  <c r="K274" i="27"/>
  <c r="L274" i="27" s="1"/>
  <c r="M274" i="27" s="1"/>
  <c r="K262" i="27"/>
  <c r="L262" i="27" s="1"/>
  <c r="M262" i="27" s="1"/>
  <c r="K250" i="27"/>
  <c r="L250" i="27" s="1"/>
  <c r="M250" i="27" s="1"/>
  <c r="K238" i="27"/>
  <c r="L238" i="27" s="1"/>
  <c r="M238" i="27" s="1"/>
  <c r="K226" i="27"/>
  <c r="L226" i="27" s="1"/>
  <c r="M226" i="27" s="1"/>
  <c r="K214" i="27"/>
  <c r="L214" i="27" s="1"/>
  <c r="M214" i="27" s="1"/>
  <c r="K202" i="27"/>
  <c r="L202" i="27" s="1"/>
  <c r="M202" i="27" s="1"/>
  <c r="K190" i="27"/>
  <c r="L190" i="27" s="1"/>
  <c r="M190" i="27" s="1"/>
  <c r="K178" i="27"/>
  <c r="L178" i="27" s="1"/>
  <c r="M178" i="27" s="1"/>
  <c r="K166" i="27"/>
  <c r="L166" i="27" s="1"/>
  <c r="M166" i="27" s="1"/>
  <c r="K154" i="27"/>
  <c r="L154" i="27" s="1"/>
  <c r="M154" i="27" s="1"/>
  <c r="K305" i="27"/>
  <c r="L305" i="27" s="1"/>
  <c r="M305" i="27" s="1"/>
  <c r="K281" i="27"/>
  <c r="L281" i="27" s="1"/>
  <c r="M281" i="27" s="1"/>
  <c r="K257" i="27"/>
  <c r="L257" i="27" s="1"/>
  <c r="M257" i="27" s="1"/>
  <c r="K245" i="27"/>
  <c r="L245" i="27" s="1"/>
  <c r="M245" i="27" s="1"/>
  <c r="K233" i="27"/>
  <c r="L233" i="27" s="1"/>
  <c r="M233" i="27" s="1"/>
  <c r="K221" i="27"/>
  <c r="L221" i="27" s="1"/>
  <c r="M221" i="27" s="1"/>
  <c r="K209" i="27"/>
  <c r="L209" i="27" s="1"/>
  <c r="M209" i="27" s="1"/>
  <c r="K197" i="27"/>
  <c r="L197" i="27" s="1"/>
  <c r="M197" i="27" s="1"/>
  <c r="K185" i="27"/>
  <c r="L185" i="27" s="1"/>
  <c r="M185" i="27" s="1"/>
  <c r="K161" i="27"/>
  <c r="L161" i="27" s="1"/>
  <c r="M161" i="27" s="1"/>
  <c r="K148" i="27"/>
  <c r="L148" i="27" s="1"/>
  <c r="M148" i="27" s="1"/>
  <c r="K135" i="27"/>
  <c r="L135" i="27" s="1"/>
  <c r="M135" i="27" s="1"/>
  <c r="K122" i="27"/>
  <c r="L122" i="27" s="1"/>
  <c r="M122" i="27" s="1"/>
  <c r="K109" i="27"/>
  <c r="L109" i="27" s="1"/>
  <c r="M109" i="27" s="1"/>
  <c r="K69" i="27"/>
  <c r="L69" i="27" s="1"/>
  <c r="M69" i="27" s="1"/>
  <c r="K56" i="27"/>
  <c r="L56" i="27" s="1"/>
  <c r="M56" i="27" s="1"/>
  <c r="K43" i="27"/>
  <c r="L43" i="27" s="1"/>
  <c r="M43" i="27" s="1"/>
  <c r="K30" i="27"/>
  <c r="L30" i="27" s="1"/>
  <c r="M30" i="27" s="1"/>
  <c r="K17" i="27"/>
  <c r="L17" i="27" s="1"/>
  <c r="M17" i="27" s="1"/>
  <c r="K4" i="27"/>
  <c r="L4" i="27" s="1"/>
  <c r="M4" i="27" s="1"/>
  <c r="K204" i="27"/>
  <c r="L204" i="27" s="1"/>
  <c r="M204" i="27" s="1"/>
  <c r="K309" i="27"/>
  <c r="L309" i="27" s="1"/>
  <c r="M309" i="27" s="1"/>
  <c r="K285" i="27"/>
  <c r="L285" i="27" s="1"/>
  <c r="M285" i="27" s="1"/>
  <c r="K261" i="27"/>
  <c r="L261" i="27" s="1"/>
  <c r="M261" i="27" s="1"/>
  <c r="K292" i="27"/>
  <c r="L292" i="27" s="1"/>
  <c r="M292" i="27" s="1"/>
  <c r="K268" i="27"/>
  <c r="L268" i="27" s="1"/>
  <c r="M268" i="27" s="1"/>
  <c r="K244" i="27"/>
  <c r="L244" i="27" s="1"/>
  <c r="M244" i="27" s="1"/>
  <c r="K232" i="27"/>
  <c r="L232" i="27" s="1"/>
  <c r="M232" i="27" s="1"/>
  <c r="K220" i="27"/>
  <c r="L220" i="27" s="1"/>
  <c r="M220" i="27" s="1"/>
  <c r="K208" i="27"/>
  <c r="L208" i="27" s="1"/>
  <c r="M208" i="27" s="1"/>
  <c r="K196" i="27"/>
  <c r="L196" i="27" s="1"/>
  <c r="M196" i="27" s="1"/>
  <c r="K184" i="27"/>
  <c r="L184" i="27" s="1"/>
  <c r="M184" i="27" s="1"/>
  <c r="K172" i="27"/>
  <c r="L172" i="27" s="1"/>
  <c r="M172" i="27" s="1"/>
  <c r="K107" i="27"/>
  <c r="L107" i="27" s="1"/>
  <c r="M107" i="27" s="1"/>
  <c r="K254" i="27"/>
  <c r="L254" i="27" s="1"/>
  <c r="M254" i="27" s="1"/>
  <c r="K296" i="27"/>
  <c r="L296" i="27" s="1"/>
  <c r="M296" i="27" s="1"/>
  <c r="K284" i="27"/>
  <c r="L284" i="27" s="1"/>
  <c r="M284" i="27" s="1"/>
  <c r="K272" i="27"/>
  <c r="L272" i="27" s="1"/>
  <c r="M272" i="27" s="1"/>
  <c r="K260" i="27"/>
  <c r="L260" i="27" s="1"/>
  <c r="M260" i="27" s="1"/>
  <c r="K248" i="27"/>
  <c r="L248" i="27" s="1"/>
  <c r="M248" i="27" s="1"/>
  <c r="K303" i="27"/>
  <c r="L303" i="27" s="1"/>
  <c r="M303" i="27" s="1"/>
  <c r="K279" i="27"/>
  <c r="L279" i="27" s="1"/>
  <c r="M279" i="27" s="1"/>
  <c r="K255" i="27"/>
  <c r="L255" i="27" s="1"/>
  <c r="M255" i="27" s="1"/>
  <c r="K231" i="27"/>
  <c r="L231" i="27" s="1"/>
  <c r="M231" i="27" s="1"/>
  <c r="K219" i="27"/>
  <c r="L219" i="27" s="1"/>
  <c r="M219" i="27" s="1"/>
  <c r="K207" i="27"/>
  <c r="L207" i="27" s="1"/>
  <c r="M207" i="27" s="1"/>
  <c r="K195" i="27"/>
  <c r="L195" i="27" s="1"/>
  <c r="M195" i="27" s="1"/>
  <c r="K183" i="27"/>
  <c r="L183" i="27" s="1"/>
  <c r="M183" i="27" s="1"/>
  <c r="K171" i="27"/>
  <c r="L171" i="27" s="1"/>
  <c r="M171" i="27" s="1"/>
  <c r="K159" i="27"/>
  <c r="L159" i="27" s="1"/>
  <c r="M159" i="27" s="1"/>
  <c r="K146" i="27"/>
  <c r="L146" i="27" s="1"/>
  <c r="M146" i="27" s="1"/>
  <c r="K133" i="27"/>
  <c r="L133" i="27" s="1"/>
  <c r="M133" i="27" s="1"/>
  <c r="K119" i="27"/>
  <c r="L119" i="27" s="1"/>
  <c r="M119" i="27" s="1"/>
  <c r="K93" i="27"/>
  <c r="L93" i="27" s="1"/>
  <c r="M93" i="27" s="1"/>
  <c r="K80" i="27"/>
  <c r="L80" i="27" s="1"/>
  <c r="M80" i="27" s="1"/>
  <c r="K67" i="27"/>
  <c r="L67" i="27" s="1"/>
  <c r="M67" i="27" s="1"/>
  <c r="K54" i="27"/>
  <c r="L54" i="27" s="1"/>
  <c r="M54" i="27" s="1"/>
  <c r="K41" i="27"/>
  <c r="L41" i="27" s="1"/>
  <c r="M41" i="27" s="1"/>
  <c r="K28" i="27"/>
  <c r="L28" i="27" s="1"/>
  <c r="M28" i="27" s="1"/>
  <c r="K252" i="27"/>
  <c r="L252" i="27" s="1"/>
  <c r="M252" i="27" s="1"/>
  <c r="N302" i="27"/>
  <c r="N290" i="27"/>
  <c r="N266" i="27"/>
  <c r="K266" i="27" s="1"/>
  <c r="L266" i="27" s="1"/>
  <c r="M266" i="27" s="1"/>
  <c r="N242" i="27"/>
  <c r="N230" i="27"/>
  <c r="K230" i="27" s="1"/>
  <c r="L230" i="27" s="1"/>
  <c r="M230" i="27" s="1"/>
  <c r="N218" i="27"/>
  <c r="K218" i="27" s="1"/>
  <c r="L218" i="27" s="1"/>
  <c r="M218" i="27" s="1"/>
  <c r="N206" i="27"/>
  <c r="K206" i="27" s="1"/>
  <c r="L206" i="27" s="1"/>
  <c r="M206" i="27" s="1"/>
  <c r="N194" i="27"/>
  <c r="K194" i="27" s="1"/>
  <c r="L194" i="27" s="1"/>
  <c r="M194" i="27" s="1"/>
  <c r="K182" i="27"/>
  <c r="L182" i="27" s="1"/>
  <c r="M182" i="27" s="1"/>
  <c r="K170" i="27"/>
  <c r="L170" i="27" s="1"/>
  <c r="M170" i="27" s="1"/>
  <c r="K158" i="27"/>
  <c r="L158" i="27" s="1"/>
  <c r="M158" i="27" s="1"/>
  <c r="K145" i="27"/>
  <c r="L145" i="27" s="1"/>
  <c r="M145" i="27" s="1"/>
  <c r="K131" i="27"/>
  <c r="L131" i="27" s="1"/>
  <c r="M131" i="27" s="1"/>
  <c r="K105" i="27"/>
  <c r="L105" i="27" s="1"/>
  <c r="M105" i="27" s="1"/>
  <c r="K92" i="27"/>
  <c r="L92" i="27" s="1"/>
  <c r="M92" i="27" s="1"/>
  <c r="K79" i="27"/>
  <c r="L79" i="27" s="1"/>
  <c r="M79" i="27" s="1"/>
  <c r="K66" i="27"/>
  <c r="L66" i="27" s="1"/>
  <c r="M66" i="27" s="1"/>
  <c r="K53" i="27"/>
  <c r="L53" i="27" s="1"/>
  <c r="M53" i="27" s="1"/>
  <c r="K40" i="27"/>
  <c r="L40" i="27" s="1"/>
  <c r="M40" i="27" s="1"/>
  <c r="K246" i="27"/>
  <c r="L246" i="27" s="1"/>
  <c r="M246" i="27" s="1"/>
  <c r="K289" i="27"/>
  <c r="L289" i="27" s="1"/>
  <c r="M289" i="27" s="1"/>
  <c r="K277" i="27"/>
  <c r="L277" i="27" s="1"/>
  <c r="M277" i="27" s="1"/>
  <c r="K253" i="27"/>
  <c r="L253" i="27" s="1"/>
  <c r="M253" i="27" s="1"/>
  <c r="K229" i="27"/>
  <c r="L229" i="27" s="1"/>
  <c r="M229" i="27" s="1"/>
  <c r="K205" i="27"/>
  <c r="L205" i="27" s="1"/>
  <c r="M205" i="27" s="1"/>
  <c r="K193" i="27"/>
  <c r="L193" i="27" s="1"/>
  <c r="M193" i="27" s="1"/>
  <c r="K181" i="27"/>
  <c r="L181" i="27" s="1"/>
  <c r="M181" i="27" s="1"/>
  <c r="K169" i="27"/>
  <c r="L169" i="27" s="1"/>
  <c r="M169" i="27" s="1"/>
  <c r="K157" i="27"/>
  <c r="L157" i="27" s="1"/>
  <c r="M157" i="27" s="1"/>
  <c r="K143" i="27"/>
  <c r="L143" i="27" s="1"/>
  <c r="M143" i="27" s="1"/>
  <c r="K117" i="27"/>
  <c r="L117" i="27" s="1"/>
  <c r="M117" i="27" s="1"/>
  <c r="K104" i="27"/>
  <c r="L104" i="27" s="1"/>
  <c r="M104" i="27" s="1"/>
  <c r="K91" i="27"/>
  <c r="L91" i="27" s="1"/>
  <c r="M91" i="27" s="1"/>
  <c r="K78" i="27"/>
  <c r="L78" i="27" s="1"/>
  <c r="M78" i="27" s="1"/>
  <c r="K65" i="27"/>
  <c r="L65" i="27" s="1"/>
  <c r="M65" i="27" s="1"/>
  <c r="K52" i="27"/>
  <c r="L52" i="27" s="1"/>
  <c r="M52" i="27" s="1"/>
  <c r="K39" i="27"/>
  <c r="L39" i="27" s="1"/>
  <c r="M39" i="27" s="1"/>
  <c r="K26" i="27"/>
  <c r="L26" i="27" s="1"/>
  <c r="M26" i="27" s="1"/>
  <c r="K13" i="27"/>
  <c r="L13" i="27" s="1"/>
  <c r="M13" i="27" s="1"/>
  <c r="K84" i="27"/>
  <c r="L84" i="27" s="1"/>
  <c r="M84" i="27" s="1"/>
  <c r="N300" i="27"/>
  <c r="K300" i="27" s="1"/>
  <c r="L300" i="27" s="1"/>
  <c r="M300" i="27" s="1"/>
  <c r="N288" i="27"/>
  <c r="K288" i="27" s="1"/>
  <c r="L288" i="27" s="1"/>
  <c r="M288" i="27" s="1"/>
  <c r="N276" i="27"/>
  <c r="K276" i="27" s="1"/>
  <c r="L276" i="27" s="1"/>
  <c r="M276" i="27" s="1"/>
  <c r="N264" i="27"/>
  <c r="K264" i="27" s="1"/>
  <c r="L264" i="27" s="1"/>
  <c r="M264" i="27" s="1"/>
  <c r="N240" i="27"/>
  <c r="N216" i="27"/>
  <c r="N192" i="27"/>
  <c r="K192" i="27" s="1"/>
  <c r="L192" i="27" s="1"/>
  <c r="M192" i="27" s="1"/>
  <c r="N180" i="27"/>
  <c r="N168" i="27"/>
  <c r="K168" i="27" s="1"/>
  <c r="L168" i="27" s="1"/>
  <c r="M168" i="27" s="1"/>
  <c r="K155" i="27"/>
  <c r="L155" i="27" s="1"/>
  <c r="M155" i="27" s="1"/>
  <c r="K129" i="27"/>
  <c r="L129" i="27" s="1"/>
  <c r="M129" i="27" s="1"/>
  <c r="K116" i="27"/>
  <c r="L116" i="27" s="1"/>
  <c r="M116" i="27" s="1"/>
  <c r="K103" i="27"/>
  <c r="L103" i="27" s="1"/>
  <c r="M103" i="27" s="1"/>
  <c r="K90" i="27"/>
  <c r="L90" i="27" s="1"/>
  <c r="M90" i="27" s="1"/>
  <c r="K77" i="27"/>
  <c r="L77" i="27" s="1"/>
  <c r="M77" i="27" s="1"/>
  <c r="K64" i="27"/>
  <c r="L64" i="27" s="1"/>
  <c r="M64" i="27" s="1"/>
  <c r="K51" i="27"/>
  <c r="L51" i="27" s="1"/>
  <c r="M51" i="27" s="1"/>
  <c r="K38" i="27"/>
  <c r="L38" i="27" s="1"/>
  <c r="M38" i="27" s="1"/>
  <c r="K25" i="27"/>
  <c r="L25" i="27" s="1"/>
  <c r="M25" i="27" s="1"/>
  <c r="K11" i="27"/>
  <c r="L11" i="27" s="1"/>
  <c r="M11" i="27" s="1"/>
  <c r="K287" i="27"/>
  <c r="L287" i="27" s="1"/>
  <c r="M287" i="27" s="1"/>
  <c r="K263" i="27"/>
  <c r="L263" i="27" s="1"/>
  <c r="M263" i="27" s="1"/>
  <c r="K251" i="27"/>
  <c r="L251" i="27" s="1"/>
  <c r="M251" i="27" s="1"/>
  <c r="K227" i="27"/>
  <c r="L227" i="27" s="1"/>
  <c r="M227" i="27" s="1"/>
  <c r="K203" i="27"/>
  <c r="L203" i="27" s="1"/>
  <c r="M203" i="27" s="1"/>
  <c r="K179" i="27"/>
  <c r="L179" i="27" s="1"/>
  <c r="M179" i="27" s="1"/>
  <c r="K167" i="27"/>
  <c r="L167" i="27" s="1"/>
  <c r="M167" i="27" s="1"/>
  <c r="K141" i="27"/>
  <c r="L141" i="27" s="1"/>
  <c r="M141" i="27" s="1"/>
  <c r="K128" i="27"/>
  <c r="L128" i="27" s="1"/>
  <c r="M128" i="27" s="1"/>
  <c r="K115" i="27"/>
  <c r="L115" i="27" s="1"/>
  <c r="M115" i="27" s="1"/>
  <c r="K102" i="27"/>
  <c r="L102" i="27" s="1"/>
  <c r="M102" i="27" s="1"/>
  <c r="K89" i="27"/>
  <c r="L89" i="27" s="1"/>
  <c r="M89" i="27" s="1"/>
  <c r="K76" i="27"/>
  <c r="L76" i="27" s="1"/>
  <c r="M76" i="27" s="1"/>
  <c r="K63" i="27"/>
  <c r="L63" i="27" s="1"/>
  <c r="M63" i="27" s="1"/>
  <c r="K50" i="27"/>
  <c r="L50" i="27" s="1"/>
  <c r="M50" i="27" s="1"/>
  <c r="K37" i="27"/>
  <c r="L37" i="27" s="1"/>
  <c r="M37" i="27" s="1"/>
  <c r="K23" i="27"/>
  <c r="L23" i="27" s="1"/>
  <c r="M23" i="27" s="1"/>
  <c r="K142" i="27"/>
  <c r="L142" i="27" s="1"/>
  <c r="M142" i="27" s="1"/>
  <c r="K130" i="27"/>
  <c r="L130" i="27" s="1"/>
  <c r="M130" i="27" s="1"/>
  <c r="K118" i="27"/>
  <c r="L118" i="27" s="1"/>
  <c r="M118" i="27" s="1"/>
  <c r="K106" i="27"/>
  <c r="L106" i="27" s="1"/>
  <c r="M106" i="27" s="1"/>
  <c r="K94" i="27"/>
  <c r="L94" i="27" s="1"/>
  <c r="M94" i="27" s="1"/>
  <c r="K82" i="27"/>
  <c r="L82" i="27" s="1"/>
  <c r="M82" i="27" s="1"/>
  <c r="K70" i="27"/>
  <c r="L70" i="27" s="1"/>
  <c r="M70" i="27" s="1"/>
  <c r="K58" i="27"/>
  <c r="L58" i="27" s="1"/>
  <c r="M58" i="27" s="1"/>
  <c r="K46" i="27"/>
  <c r="L46" i="27" s="1"/>
  <c r="M46" i="27" s="1"/>
  <c r="K34" i="27"/>
  <c r="L34" i="27" s="1"/>
  <c r="M34" i="27" s="1"/>
  <c r="K22" i="27"/>
  <c r="L22" i="27" s="1"/>
  <c r="M22" i="27" s="1"/>
  <c r="K10" i="27"/>
  <c r="L10" i="27" s="1"/>
  <c r="M10" i="27" s="1"/>
  <c r="K1651" i="26"/>
  <c r="L1651" i="26" s="1"/>
  <c r="M1651" i="26" s="1"/>
  <c r="K1638" i="26"/>
  <c r="L1638" i="26" s="1"/>
  <c r="M1638" i="26" s="1"/>
  <c r="K1625" i="26"/>
  <c r="L1625" i="26" s="1"/>
  <c r="M1625" i="26" s="1"/>
  <c r="K1585" i="26"/>
  <c r="L1585" i="26" s="1"/>
  <c r="M1585" i="26" s="1"/>
  <c r="K1559" i="26"/>
  <c r="L1559" i="26" s="1"/>
  <c r="M1559" i="26" s="1"/>
  <c r="K1546" i="26"/>
  <c r="L1546" i="26" s="1"/>
  <c r="M1546" i="26" s="1"/>
  <c r="K1507" i="26"/>
  <c r="L1507" i="26" s="1"/>
  <c r="M1507" i="26" s="1"/>
  <c r="K1494" i="26"/>
  <c r="L1494" i="26" s="1"/>
  <c r="M1494" i="26" s="1"/>
  <c r="K1441" i="26"/>
  <c r="L1441" i="26" s="1"/>
  <c r="M1441" i="26" s="1"/>
  <c r="K1402" i="26"/>
  <c r="L1402" i="26" s="1"/>
  <c r="M1402" i="26" s="1"/>
  <c r="K1376" i="26"/>
  <c r="L1376" i="26" s="1"/>
  <c r="M1376" i="26" s="1"/>
  <c r="K1363" i="26"/>
  <c r="L1363" i="26" s="1"/>
  <c r="M1363" i="26" s="1"/>
  <c r="K1350" i="26"/>
  <c r="L1350" i="26" s="1"/>
  <c r="M1350" i="26" s="1"/>
  <c r="K1297" i="26"/>
  <c r="L1297" i="26" s="1"/>
  <c r="M1297" i="26" s="1"/>
  <c r="K1649" i="26"/>
  <c r="L1649" i="26" s="1"/>
  <c r="M1649" i="26" s="1"/>
  <c r="K1609" i="26"/>
  <c r="L1609" i="26" s="1"/>
  <c r="M1609" i="26" s="1"/>
  <c r="K1596" i="26"/>
  <c r="L1596" i="26" s="1"/>
  <c r="M1596" i="26" s="1"/>
  <c r="K1570" i="26"/>
  <c r="L1570" i="26" s="1"/>
  <c r="M1570" i="26" s="1"/>
  <c r="K1544" i="26"/>
  <c r="L1544" i="26" s="1"/>
  <c r="M1544" i="26" s="1"/>
  <c r="K1531" i="26"/>
  <c r="L1531" i="26" s="1"/>
  <c r="M1531" i="26" s="1"/>
  <c r="K1518" i="26"/>
  <c r="L1518" i="26" s="1"/>
  <c r="M1518" i="26" s="1"/>
  <c r="K1465" i="26"/>
  <c r="L1465" i="26" s="1"/>
  <c r="M1465" i="26" s="1"/>
  <c r="K1452" i="26"/>
  <c r="L1452" i="26" s="1"/>
  <c r="M1452" i="26" s="1"/>
  <c r="K1439" i="26"/>
  <c r="L1439" i="26" s="1"/>
  <c r="M1439" i="26" s="1"/>
  <c r="K1426" i="26"/>
  <c r="L1426" i="26" s="1"/>
  <c r="M1426" i="26" s="1"/>
  <c r="K1413" i="26"/>
  <c r="L1413" i="26" s="1"/>
  <c r="M1413" i="26" s="1"/>
  <c r="K1400" i="26"/>
  <c r="L1400" i="26" s="1"/>
  <c r="M1400" i="26" s="1"/>
  <c r="K1387" i="26"/>
  <c r="L1387" i="26" s="1"/>
  <c r="M1387" i="26" s="1"/>
  <c r="K1374" i="26"/>
  <c r="L1374" i="26" s="1"/>
  <c r="M1374" i="26" s="1"/>
  <c r="K1335" i="26"/>
  <c r="L1335" i="26" s="1"/>
  <c r="M1335" i="26" s="1"/>
  <c r="K1321" i="26"/>
  <c r="L1321" i="26" s="1"/>
  <c r="M1321" i="26" s="1"/>
  <c r="K1308" i="26"/>
  <c r="L1308" i="26" s="1"/>
  <c r="M1308" i="26" s="1"/>
  <c r="K1295" i="26"/>
  <c r="L1295" i="26" s="1"/>
  <c r="M1295" i="26" s="1"/>
  <c r="K1282" i="26"/>
  <c r="L1282" i="26" s="1"/>
  <c r="M1282" i="26" s="1"/>
  <c r="K1256" i="26"/>
  <c r="L1256" i="26" s="1"/>
  <c r="M1256" i="26" s="1"/>
  <c r="K1243" i="26"/>
  <c r="L1243" i="26" s="1"/>
  <c r="M1243" i="26" s="1"/>
  <c r="K1230" i="26"/>
  <c r="L1230" i="26" s="1"/>
  <c r="M1230" i="26" s="1"/>
  <c r="K1217" i="26"/>
  <c r="L1217" i="26" s="1"/>
  <c r="M1217" i="26" s="1"/>
  <c r="K1177" i="26"/>
  <c r="L1177" i="26" s="1"/>
  <c r="M1177" i="26" s="1"/>
  <c r="K1164" i="26"/>
  <c r="L1164" i="26" s="1"/>
  <c r="M1164" i="26" s="1"/>
  <c r="K1151" i="26"/>
  <c r="L1151" i="26" s="1"/>
  <c r="M1151" i="26" s="1"/>
  <c r="K1138" i="26"/>
  <c r="L1138" i="26" s="1"/>
  <c r="M1138" i="26" s="1"/>
  <c r="K1125" i="26"/>
  <c r="L1125" i="26" s="1"/>
  <c r="M1125" i="26" s="1"/>
  <c r="K1112" i="26"/>
  <c r="L1112" i="26" s="1"/>
  <c r="M1112" i="26" s="1"/>
  <c r="K1099" i="26"/>
  <c r="L1099" i="26" s="1"/>
  <c r="M1099" i="26" s="1"/>
  <c r="K1086" i="26"/>
  <c r="L1086" i="26" s="1"/>
  <c r="M1086" i="26" s="1"/>
  <c r="K1073" i="26"/>
  <c r="L1073" i="26" s="1"/>
  <c r="M1073" i="26" s="1"/>
  <c r="K1047" i="26"/>
  <c r="L1047" i="26" s="1"/>
  <c r="M1047" i="26" s="1"/>
  <c r="K1033" i="26"/>
  <c r="L1033" i="26" s="1"/>
  <c r="M1033" i="26" s="1"/>
  <c r="K1020" i="26"/>
  <c r="L1020" i="26" s="1"/>
  <c r="M1020" i="26" s="1"/>
  <c r="K1007" i="26"/>
  <c r="L1007" i="26" s="1"/>
  <c r="M1007" i="26" s="1"/>
  <c r="K994" i="26"/>
  <c r="L994" i="26" s="1"/>
  <c r="M994" i="26" s="1"/>
  <c r="K981" i="26"/>
  <c r="L981" i="26" s="1"/>
  <c r="M981" i="26" s="1"/>
  <c r="K968" i="26"/>
  <c r="L968" i="26" s="1"/>
  <c r="M968" i="26" s="1"/>
  <c r="K955" i="26"/>
  <c r="L955" i="26" s="1"/>
  <c r="M955" i="26" s="1"/>
  <c r="K942" i="26"/>
  <c r="L942" i="26" s="1"/>
  <c r="M942" i="26" s="1"/>
  <c r="K929" i="26"/>
  <c r="L929" i="26" s="1"/>
  <c r="M929" i="26" s="1"/>
  <c r="K889" i="26"/>
  <c r="L889" i="26" s="1"/>
  <c r="M889" i="26" s="1"/>
  <c r="K876" i="26"/>
  <c r="L876" i="26" s="1"/>
  <c r="M876" i="26" s="1"/>
  <c r="K863" i="26"/>
  <c r="L863" i="26" s="1"/>
  <c r="M863" i="26" s="1"/>
  <c r="K850" i="26"/>
  <c r="L850" i="26" s="1"/>
  <c r="M850" i="26" s="1"/>
  <c r="K837" i="26"/>
  <c r="L837" i="26" s="1"/>
  <c r="M837" i="26" s="1"/>
  <c r="K824" i="26"/>
  <c r="L824" i="26" s="1"/>
  <c r="M824" i="26" s="1"/>
  <c r="K811" i="26"/>
  <c r="L811" i="26" s="1"/>
  <c r="M811" i="26" s="1"/>
  <c r="K798" i="26"/>
  <c r="L798" i="26" s="1"/>
  <c r="M798" i="26" s="1"/>
  <c r="K785" i="26"/>
  <c r="L785" i="26" s="1"/>
  <c r="M785" i="26" s="1"/>
  <c r="K759" i="26"/>
  <c r="L759" i="26" s="1"/>
  <c r="M759" i="26" s="1"/>
  <c r="K745" i="26"/>
  <c r="L745" i="26" s="1"/>
  <c r="M745" i="26" s="1"/>
  <c r="K732" i="26"/>
  <c r="L732" i="26" s="1"/>
  <c r="M732" i="26" s="1"/>
  <c r="K719" i="26"/>
  <c r="L719" i="26" s="1"/>
  <c r="M719" i="26" s="1"/>
  <c r="K706" i="26"/>
  <c r="L706" i="26" s="1"/>
  <c r="M706" i="26" s="1"/>
  <c r="K693" i="26"/>
  <c r="L693" i="26" s="1"/>
  <c r="M693" i="26" s="1"/>
  <c r="K680" i="26"/>
  <c r="L680" i="26" s="1"/>
  <c r="M680" i="26" s="1"/>
  <c r="K667" i="26"/>
  <c r="L667" i="26" s="1"/>
  <c r="M667" i="26" s="1"/>
  <c r="K654" i="26"/>
  <c r="L654" i="26" s="1"/>
  <c r="M654" i="26" s="1"/>
  <c r="K641" i="26"/>
  <c r="L641" i="26" s="1"/>
  <c r="M641" i="26" s="1"/>
  <c r="K615" i="26"/>
  <c r="L615" i="26" s="1"/>
  <c r="M615" i="26" s="1"/>
  <c r="K601" i="26"/>
  <c r="L601" i="26" s="1"/>
  <c r="M601" i="26" s="1"/>
  <c r="K575" i="26"/>
  <c r="L575" i="26" s="1"/>
  <c r="M575" i="26" s="1"/>
  <c r="K562" i="26"/>
  <c r="L562" i="26" s="1"/>
  <c r="M562" i="26" s="1"/>
  <c r="K471" i="26"/>
  <c r="L471" i="26" s="1"/>
  <c r="M471" i="26" s="1"/>
  <c r="K457" i="26"/>
  <c r="L457" i="26" s="1"/>
  <c r="M457" i="26" s="1"/>
  <c r="K431" i="26"/>
  <c r="L431" i="26" s="1"/>
  <c r="M431" i="26" s="1"/>
  <c r="K1621" i="26"/>
  <c r="L1621" i="26" s="1"/>
  <c r="M1621" i="26" s="1"/>
  <c r="K1595" i="26"/>
  <c r="L1595" i="26" s="1"/>
  <c r="M1595" i="26" s="1"/>
  <c r="K1582" i="26"/>
  <c r="L1582" i="26" s="1"/>
  <c r="M1582" i="26" s="1"/>
  <c r="K1556" i="26"/>
  <c r="L1556" i="26" s="1"/>
  <c r="M1556" i="26" s="1"/>
  <c r="K1543" i="26"/>
  <c r="L1543" i="26" s="1"/>
  <c r="M1543" i="26" s="1"/>
  <c r="K1530" i="26"/>
  <c r="L1530" i="26" s="1"/>
  <c r="M1530" i="26" s="1"/>
  <c r="K1491" i="26"/>
  <c r="L1491" i="26" s="1"/>
  <c r="M1491" i="26" s="1"/>
  <c r="K1477" i="26"/>
  <c r="L1477" i="26" s="1"/>
  <c r="M1477" i="26" s="1"/>
  <c r="K1451" i="26"/>
  <c r="L1451" i="26" s="1"/>
  <c r="M1451" i="26" s="1"/>
  <c r="K1438" i="26"/>
  <c r="L1438" i="26" s="1"/>
  <c r="M1438" i="26" s="1"/>
  <c r="K1412" i="26"/>
  <c r="L1412" i="26" s="1"/>
  <c r="M1412" i="26" s="1"/>
  <c r="K1399" i="26"/>
  <c r="L1399" i="26" s="1"/>
  <c r="M1399" i="26" s="1"/>
  <c r="K1386" i="26"/>
  <c r="L1386" i="26" s="1"/>
  <c r="M1386" i="26" s="1"/>
  <c r="K1333" i="26"/>
  <c r="L1333" i="26" s="1"/>
  <c r="M1333" i="26" s="1"/>
  <c r="K1320" i="26"/>
  <c r="L1320" i="26" s="1"/>
  <c r="M1320" i="26" s="1"/>
  <c r="K1307" i="26"/>
  <c r="L1307" i="26" s="1"/>
  <c r="M1307" i="26" s="1"/>
  <c r="K1294" i="26"/>
  <c r="L1294" i="26" s="1"/>
  <c r="M1294" i="26" s="1"/>
  <c r="K1281" i="26"/>
  <c r="L1281" i="26" s="1"/>
  <c r="M1281" i="26" s="1"/>
  <c r="K1268" i="26"/>
  <c r="L1268" i="26" s="1"/>
  <c r="M1268" i="26" s="1"/>
  <c r="K1255" i="26"/>
  <c r="L1255" i="26" s="1"/>
  <c r="M1255" i="26" s="1"/>
  <c r="K1242" i="26"/>
  <c r="L1242" i="26" s="1"/>
  <c r="M1242" i="26" s="1"/>
  <c r="K1229" i="26"/>
  <c r="L1229" i="26" s="1"/>
  <c r="M1229" i="26" s="1"/>
  <c r="K1189" i="26"/>
  <c r="L1189" i="26" s="1"/>
  <c r="M1189" i="26" s="1"/>
  <c r="K1176" i="26"/>
  <c r="L1176" i="26" s="1"/>
  <c r="M1176" i="26" s="1"/>
  <c r="K1163" i="26"/>
  <c r="L1163" i="26" s="1"/>
  <c r="M1163" i="26" s="1"/>
  <c r="K1150" i="26"/>
  <c r="L1150" i="26" s="1"/>
  <c r="M1150" i="26" s="1"/>
  <c r="K1137" i="26"/>
  <c r="L1137" i="26" s="1"/>
  <c r="M1137" i="26" s="1"/>
  <c r="K1124" i="26"/>
  <c r="L1124" i="26" s="1"/>
  <c r="M1124" i="26" s="1"/>
  <c r="K1111" i="26"/>
  <c r="L1111" i="26" s="1"/>
  <c r="M1111" i="26" s="1"/>
  <c r="K1098" i="26"/>
  <c r="L1098" i="26" s="1"/>
  <c r="M1098" i="26" s="1"/>
  <c r="K1085" i="26"/>
  <c r="L1085" i="26" s="1"/>
  <c r="M1085" i="26" s="1"/>
  <c r="K1045" i="26"/>
  <c r="L1045" i="26" s="1"/>
  <c r="M1045" i="26" s="1"/>
  <c r="K1032" i="26"/>
  <c r="L1032" i="26" s="1"/>
  <c r="M1032" i="26" s="1"/>
  <c r="K1019" i="26"/>
  <c r="L1019" i="26" s="1"/>
  <c r="M1019" i="26" s="1"/>
  <c r="K1006" i="26"/>
  <c r="L1006" i="26" s="1"/>
  <c r="M1006" i="26" s="1"/>
  <c r="K993" i="26"/>
  <c r="L993" i="26" s="1"/>
  <c r="M993" i="26" s="1"/>
  <c r="K980" i="26"/>
  <c r="L980" i="26" s="1"/>
  <c r="M980" i="26" s="1"/>
  <c r="K967" i="26"/>
  <c r="L967" i="26" s="1"/>
  <c r="M967" i="26" s="1"/>
  <c r="K954" i="26"/>
  <c r="L954" i="26" s="1"/>
  <c r="M954" i="26" s="1"/>
  <c r="K941" i="26"/>
  <c r="L941" i="26" s="1"/>
  <c r="M941" i="26" s="1"/>
  <c r="K915" i="26"/>
  <c r="L915" i="26" s="1"/>
  <c r="M915" i="26" s="1"/>
  <c r="K901" i="26"/>
  <c r="L901" i="26" s="1"/>
  <c r="M901" i="26" s="1"/>
  <c r="K888" i="26"/>
  <c r="L888" i="26" s="1"/>
  <c r="M888" i="26" s="1"/>
  <c r="K875" i="26"/>
  <c r="L875" i="26" s="1"/>
  <c r="M875" i="26" s="1"/>
  <c r="K862" i="26"/>
  <c r="L862" i="26" s="1"/>
  <c r="M862" i="26" s="1"/>
  <c r="K849" i="26"/>
  <c r="L849" i="26" s="1"/>
  <c r="M849" i="26" s="1"/>
  <c r="K836" i="26"/>
  <c r="L836" i="26" s="1"/>
  <c r="M836" i="26" s="1"/>
  <c r="K823" i="26"/>
  <c r="L823" i="26" s="1"/>
  <c r="M823" i="26" s="1"/>
  <c r="K810" i="26"/>
  <c r="L810" i="26" s="1"/>
  <c r="M810" i="26" s="1"/>
  <c r="K797" i="26"/>
  <c r="L797" i="26" s="1"/>
  <c r="M797" i="26" s="1"/>
  <c r="K771" i="26"/>
  <c r="L771" i="26" s="1"/>
  <c r="M771" i="26" s="1"/>
  <c r="K757" i="26"/>
  <c r="L757" i="26" s="1"/>
  <c r="M757" i="26" s="1"/>
  <c r="K744" i="26"/>
  <c r="L744" i="26" s="1"/>
  <c r="M744" i="26" s="1"/>
  <c r="K731" i="26"/>
  <c r="L731" i="26" s="1"/>
  <c r="M731" i="26" s="1"/>
  <c r="K718" i="26"/>
  <c r="L718" i="26" s="1"/>
  <c r="M718" i="26" s="1"/>
  <c r="K705" i="26"/>
  <c r="L705" i="26" s="1"/>
  <c r="M705" i="26" s="1"/>
  <c r="K692" i="26"/>
  <c r="L692" i="26" s="1"/>
  <c r="M692" i="26" s="1"/>
  <c r="K679" i="26"/>
  <c r="L679" i="26" s="1"/>
  <c r="M679" i="26" s="1"/>
  <c r="K666" i="26"/>
  <c r="L666" i="26" s="1"/>
  <c r="M666" i="26" s="1"/>
  <c r="K653" i="26"/>
  <c r="L653" i="26" s="1"/>
  <c r="M653" i="26" s="1"/>
  <c r="K613" i="26"/>
  <c r="L613" i="26" s="1"/>
  <c r="M613" i="26" s="1"/>
  <c r="K587" i="26"/>
  <c r="L587" i="26" s="1"/>
  <c r="M587" i="26" s="1"/>
  <c r="K574" i="26"/>
  <c r="L574" i="26" s="1"/>
  <c r="M574" i="26" s="1"/>
  <c r="K483" i="26"/>
  <c r="L483" i="26" s="1"/>
  <c r="M483" i="26" s="1"/>
  <c r="K469" i="26"/>
  <c r="L469" i="26" s="1"/>
  <c r="M469" i="26" s="1"/>
  <c r="K443" i="26"/>
  <c r="L443" i="26" s="1"/>
  <c r="M443" i="26" s="1"/>
  <c r="K1633" i="26"/>
  <c r="L1633" i="26" s="1"/>
  <c r="M1633" i="26" s="1"/>
  <c r="K1594" i="26"/>
  <c r="L1594" i="26" s="1"/>
  <c r="M1594" i="26" s="1"/>
  <c r="K1568" i="26"/>
  <c r="L1568" i="26" s="1"/>
  <c r="M1568" i="26" s="1"/>
  <c r="K1555" i="26"/>
  <c r="L1555" i="26" s="1"/>
  <c r="M1555" i="26" s="1"/>
  <c r="K1542" i="26"/>
  <c r="L1542" i="26" s="1"/>
  <c r="M1542" i="26" s="1"/>
  <c r="K1489" i="26"/>
  <c r="L1489" i="26" s="1"/>
  <c r="M1489" i="26" s="1"/>
  <c r="K1476" i="26"/>
  <c r="L1476" i="26" s="1"/>
  <c r="M1476" i="26" s="1"/>
  <c r="K1463" i="26"/>
  <c r="L1463" i="26" s="1"/>
  <c r="M1463" i="26" s="1"/>
  <c r="K1450" i="26"/>
  <c r="L1450" i="26" s="1"/>
  <c r="M1450" i="26" s="1"/>
  <c r="K1437" i="26"/>
  <c r="L1437" i="26" s="1"/>
  <c r="M1437" i="26" s="1"/>
  <c r="K1424" i="26"/>
  <c r="L1424" i="26" s="1"/>
  <c r="M1424" i="26" s="1"/>
  <c r="K1411" i="26"/>
  <c r="L1411" i="26" s="1"/>
  <c r="M1411" i="26" s="1"/>
  <c r="K1398" i="26"/>
  <c r="L1398" i="26" s="1"/>
  <c r="M1398" i="26" s="1"/>
  <c r="K1345" i="26"/>
  <c r="L1345" i="26" s="1"/>
  <c r="M1345" i="26" s="1"/>
  <c r="K1332" i="26"/>
  <c r="L1332" i="26" s="1"/>
  <c r="M1332" i="26" s="1"/>
  <c r="K1319" i="26"/>
  <c r="L1319" i="26" s="1"/>
  <c r="M1319" i="26" s="1"/>
  <c r="K1306" i="26"/>
  <c r="L1306" i="26" s="1"/>
  <c r="M1306" i="26" s="1"/>
  <c r="K1280" i="26"/>
  <c r="L1280" i="26" s="1"/>
  <c r="M1280" i="26" s="1"/>
  <c r="K1267" i="26"/>
  <c r="L1267" i="26" s="1"/>
  <c r="M1267" i="26" s="1"/>
  <c r="K1254" i="26"/>
  <c r="L1254" i="26" s="1"/>
  <c r="M1254" i="26" s="1"/>
  <c r="K1241" i="26"/>
  <c r="L1241" i="26" s="1"/>
  <c r="M1241" i="26" s="1"/>
  <c r="K1201" i="26"/>
  <c r="L1201" i="26" s="1"/>
  <c r="M1201" i="26" s="1"/>
  <c r="K1188" i="26"/>
  <c r="L1188" i="26" s="1"/>
  <c r="M1188" i="26" s="1"/>
  <c r="K1175" i="26"/>
  <c r="L1175" i="26" s="1"/>
  <c r="M1175" i="26" s="1"/>
  <c r="K1162" i="26"/>
  <c r="L1162" i="26" s="1"/>
  <c r="M1162" i="26" s="1"/>
  <c r="K1136" i="26"/>
  <c r="L1136" i="26" s="1"/>
  <c r="M1136" i="26" s="1"/>
  <c r="K1123" i="26"/>
  <c r="L1123" i="26" s="1"/>
  <c r="M1123" i="26" s="1"/>
  <c r="K1110" i="26"/>
  <c r="L1110" i="26" s="1"/>
  <c r="M1110" i="26" s="1"/>
  <c r="K1097" i="26"/>
  <c r="L1097" i="26" s="1"/>
  <c r="M1097" i="26" s="1"/>
  <c r="K1071" i="26"/>
  <c r="L1071" i="26" s="1"/>
  <c r="M1071" i="26" s="1"/>
  <c r="K1057" i="26"/>
  <c r="L1057" i="26" s="1"/>
  <c r="M1057" i="26" s="1"/>
  <c r="K1044" i="26"/>
  <c r="L1044" i="26" s="1"/>
  <c r="M1044" i="26" s="1"/>
  <c r="K1031" i="26"/>
  <c r="L1031" i="26" s="1"/>
  <c r="M1031" i="26" s="1"/>
  <c r="K1018" i="26"/>
  <c r="L1018" i="26" s="1"/>
  <c r="M1018" i="26" s="1"/>
  <c r="K1005" i="26"/>
  <c r="L1005" i="26" s="1"/>
  <c r="M1005" i="26" s="1"/>
  <c r="K992" i="26"/>
  <c r="L992" i="26" s="1"/>
  <c r="M992" i="26" s="1"/>
  <c r="K979" i="26"/>
  <c r="L979" i="26" s="1"/>
  <c r="M979" i="26" s="1"/>
  <c r="K966" i="26"/>
  <c r="L966" i="26" s="1"/>
  <c r="M966" i="26" s="1"/>
  <c r="K953" i="26"/>
  <c r="L953" i="26" s="1"/>
  <c r="M953" i="26" s="1"/>
  <c r="K927" i="26"/>
  <c r="L927" i="26" s="1"/>
  <c r="M927" i="26" s="1"/>
  <c r="K913" i="26"/>
  <c r="L913" i="26" s="1"/>
  <c r="M913" i="26" s="1"/>
  <c r="K900" i="26"/>
  <c r="L900" i="26" s="1"/>
  <c r="M900" i="26" s="1"/>
  <c r="K887" i="26"/>
  <c r="L887" i="26" s="1"/>
  <c r="M887" i="26" s="1"/>
  <c r="K874" i="26"/>
  <c r="L874" i="26" s="1"/>
  <c r="M874" i="26" s="1"/>
  <c r="K861" i="26"/>
  <c r="L861" i="26" s="1"/>
  <c r="M861" i="26" s="1"/>
  <c r="K848" i="26"/>
  <c r="L848" i="26" s="1"/>
  <c r="M848" i="26" s="1"/>
  <c r="K835" i="26"/>
  <c r="L835" i="26" s="1"/>
  <c r="M835" i="26" s="1"/>
  <c r="K822" i="26"/>
  <c r="L822" i="26" s="1"/>
  <c r="M822" i="26" s="1"/>
  <c r="K809" i="26"/>
  <c r="L809" i="26" s="1"/>
  <c r="M809" i="26" s="1"/>
  <c r="K769" i="26"/>
  <c r="L769" i="26" s="1"/>
  <c r="M769" i="26" s="1"/>
  <c r="K756" i="26"/>
  <c r="L756" i="26" s="1"/>
  <c r="M756" i="26" s="1"/>
  <c r="K743" i="26"/>
  <c r="L743" i="26" s="1"/>
  <c r="M743" i="26" s="1"/>
  <c r="K730" i="26"/>
  <c r="L730" i="26" s="1"/>
  <c r="M730" i="26" s="1"/>
  <c r="K717" i="26"/>
  <c r="L717" i="26" s="1"/>
  <c r="M717" i="26" s="1"/>
  <c r="K704" i="26"/>
  <c r="L704" i="26" s="1"/>
  <c r="M704" i="26" s="1"/>
  <c r="K691" i="26"/>
  <c r="L691" i="26" s="1"/>
  <c r="M691" i="26" s="1"/>
  <c r="K678" i="26"/>
  <c r="L678" i="26" s="1"/>
  <c r="M678" i="26" s="1"/>
  <c r="K665" i="26"/>
  <c r="L665" i="26" s="1"/>
  <c r="M665" i="26" s="1"/>
  <c r="K639" i="26"/>
  <c r="L639" i="26" s="1"/>
  <c r="M639" i="26" s="1"/>
  <c r="K625" i="26"/>
  <c r="L625" i="26" s="1"/>
  <c r="M625" i="26" s="1"/>
  <c r="K599" i="26"/>
  <c r="L599" i="26" s="1"/>
  <c r="M599" i="26" s="1"/>
  <c r="K586" i="26"/>
  <c r="L586" i="26" s="1"/>
  <c r="M586" i="26" s="1"/>
  <c r="K495" i="26"/>
  <c r="L495" i="26" s="1"/>
  <c r="M495" i="26" s="1"/>
  <c r="K481" i="26"/>
  <c r="L481" i="26" s="1"/>
  <c r="M481" i="26" s="1"/>
  <c r="K455" i="26"/>
  <c r="L455" i="26" s="1"/>
  <c r="M455" i="26" s="1"/>
  <c r="K1645" i="26"/>
  <c r="L1645" i="26" s="1"/>
  <c r="M1645" i="26" s="1"/>
  <c r="K1606" i="26"/>
  <c r="L1606" i="26" s="1"/>
  <c r="M1606" i="26" s="1"/>
  <c r="K1580" i="26"/>
  <c r="L1580" i="26" s="1"/>
  <c r="M1580" i="26" s="1"/>
  <c r="K1567" i="26"/>
  <c r="L1567" i="26" s="1"/>
  <c r="M1567" i="26" s="1"/>
  <c r="K1554" i="26"/>
  <c r="L1554" i="26" s="1"/>
  <c r="M1554" i="26" s="1"/>
  <c r="K1541" i="26"/>
  <c r="L1541" i="26" s="1"/>
  <c r="M1541" i="26" s="1"/>
  <c r="K1501" i="26"/>
  <c r="L1501" i="26" s="1"/>
  <c r="M1501" i="26" s="1"/>
  <c r="K1462" i="26"/>
  <c r="L1462" i="26" s="1"/>
  <c r="M1462" i="26" s="1"/>
  <c r="K1436" i="26"/>
  <c r="L1436" i="26" s="1"/>
  <c r="M1436" i="26" s="1"/>
  <c r="K1423" i="26"/>
  <c r="L1423" i="26" s="1"/>
  <c r="M1423" i="26" s="1"/>
  <c r="K1410" i="26"/>
  <c r="L1410" i="26" s="1"/>
  <c r="M1410" i="26" s="1"/>
  <c r="K1357" i="26"/>
  <c r="L1357" i="26" s="1"/>
  <c r="M1357" i="26" s="1"/>
  <c r="K1318" i="26"/>
  <c r="L1318" i="26" s="1"/>
  <c r="M1318" i="26" s="1"/>
  <c r="K1292" i="26"/>
  <c r="L1292" i="26" s="1"/>
  <c r="M1292" i="26" s="1"/>
  <c r="K1279" i="26"/>
  <c r="L1279" i="26" s="1"/>
  <c r="M1279" i="26" s="1"/>
  <c r="K1266" i="26"/>
  <c r="L1266" i="26" s="1"/>
  <c r="M1266" i="26" s="1"/>
  <c r="K1253" i="26"/>
  <c r="L1253" i="26" s="1"/>
  <c r="M1253" i="26" s="1"/>
  <c r="K1227" i="26"/>
  <c r="L1227" i="26" s="1"/>
  <c r="M1227" i="26" s="1"/>
  <c r="K1213" i="26"/>
  <c r="L1213" i="26" s="1"/>
  <c r="M1213" i="26" s="1"/>
  <c r="K1200" i="26"/>
  <c r="L1200" i="26" s="1"/>
  <c r="M1200" i="26" s="1"/>
  <c r="K1187" i="26"/>
  <c r="L1187" i="26" s="1"/>
  <c r="M1187" i="26" s="1"/>
  <c r="K1174" i="26"/>
  <c r="L1174" i="26" s="1"/>
  <c r="M1174" i="26" s="1"/>
  <c r="K1161" i="26"/>
  <c r="L1161" i="26" s="1"/>
  <c r="M1161" i="26" s="1"/>
  <c r="K1148" i="26"/>
  <c r="L1148" i="26" s="1"/>
  <c r="M1148" i="26" s="1"/>
  <c r="K1135" i="26"/>
  <c r="L1135" i="26" s="1"/>
  <c r="M1135" i="26" s="1"/>
  <c r="K1122" i="26"/>
  <c r="L1122" i="26" s="1"/>
  <c r="M1122" i="26" s="1"/>
  <c r="K1109" i="26"/>
  <c r="L1109" i="26" s="1"/>
  <c r="M1109" i="26" s="1"/>
  <c r="K1069" i="26"/>
  <c r="L1069" i="26" s="1"/>
  <c r="M1069" i="26" s="1"/>
  <c r="K1056" i="26"/>
  <c r="L1056" i="26" s="1"/>
  <c r="M1056" i="26" s="1"/>
  <c r="K1043" i="26"/>
  <c r="L1043" i="26" s="1"/>
  <c r="M1043" i="26" s="1"/>
  <c r="K1030" i="26"/>
  <c r="L1030" i="26" s="1"/>
  <c r="M1030" i="26" s="1"/>
  <c r="K1017" i="26"/>
  <c r="L1017" i="26" s="1"/>
  <c r="M1017" i="26" s="1"/>
  <c r="K1004" i="26"/>
  <c r="L1004" i="26" s="1"/>
  <c r="M1004" i="26" s="1"/>
  <c r="K991" i="26"/>
  <c r="L991" i="26" s="1"/>
  <c r="M991" i="26" s="1"/>
  <c r="K978" i="26"/>
  <c r="L978" i="26" s="1"/>
  <c r="M978" i="26" s="1"/>
  <c r="K965" i="26"/>
  <c r="L965" i="26" s="1"/>
  <c r="M965" i="26" s="1"/>
  <c r="K939" i="26"/>
  <c r="L939" i="26" s="1"/>
  <c r="M939" i="26" s="1"/>
  <c r="K925" i="26"/>
  <c r="L925" i="26" s="1"/>
  <c r="M925" i="26" s="1"/>
  <c r="K912" i="26"/>
  <c r="L912" i="26" s="1"/>
  <c r="M912" i="26" s="1"/>
  <c r="K899" i="26"/>
  <c r="L899" i="26" s="1"/>
  <c r="M899" i="26" s="1"/>
  <c r="K886" i="26"/>
  <c r="L886" i="26" s="1"/>
  <c r="M886" i="26" s="1"/>
  <c r="K873" i="26"/>
  <c r="L873" i="26" s="1"/>
  <c r="M873" i="26" s="1"/>
  <c r="K860" i="26"/>
  <c r="L860" i="26" s="1"/>
  <c r="M860" i="26" s="1"/>
  <c r="K847" i="26"/>
  <c r="L847" i="26" s="1"/>
  <c r="M847" i="26" s="1"/>
  <c r="K834" i="26"/>
  <c r="L834" i="26" s="1"/>
  <c r="M834" i="26" s="1"/>
  <c r="K821" i="26"/>
  <c r="L821" i="26" s="1"/>
  <c r="M821" i="26" s="1"/>
  <c r="K795" i="26"/>
  <c r="L795" i="26" s="1"/>
  <c r="M795" i="26" s="1"/>
  <c r="K781" i="26"/>
  <c r="L781" i="26" s="1"/>
  <c r="M781" i="26" s="1"/>
  <c r="K768" i="26"/>
  <c r="L768" i="26" s="1"/>
  <c r="M768" i="26" s="1"/>
  <c r="K755" i="26"/>
  <c r="L755" i="26" s="1"/>
  <c r="M755" i="26" s="1"/>
  <c r="K742" i="26"/>
  <c r="L742" i="26" s="1"/>
  <c r="M742" i="26" s="1"/>
  <c r="K729" i="26"/>
  <c r="L729" i="26" s="1"/>
  <c r="M729" i="26" s="1"/>
  <c r="K716" i="26"/>
  <c r="L716" i="26" s="1"/>
  <c r="M716" i="26" s="1"/>
  <c r="K703" i="26"/>
  <c r="L703" i="26" s="1"/>
  <c r="M703" i="26" s="1"/>
  <c r="K690" i="26"/>
  <c r="L690" i="26" s="1"/>
  <c r="M690" i="26" s="1"/>
  <c r="K677" i="26"/>
  <c r="L677" i="26" s="1"/>
  <c r="M677" i="26" s="1"/>
  <c r="K651" i="26"/>
  <c r="L651" i="26" s="1"/>
  <c r="M651" i="26" s="1"/>
  <c r="K637" i="26"/>
  <c r="L637" i="26" s="1"/>
  <c r="M637" i="26" s="1"/>
  <c r="K611" i="26"/>
  <c r="L611" i="26" s="1"/>
  <c r="M611" i="26" s="1"/>
  <c r="K598" i="26"/>
  <c r="L598" i="26" s="1"/>
  <c r="M598" i="26" s="1"/>
  <c r="K507" i="26"/>
  <c r="L507" i="26" s="1"/>
  <c r="M507" i="26" s="1"/>
  <c r="K493" i="26"/>
  <c r="L493" i="26" s="1"/>
  <c r="M493" i="26" s="1"/>
  <c r="K467" i="26"/>
  <c r="L467" i="26" s="1"/>
  <c r="M467" i="26" s="1"/>
  <c r="K363" i="26"/>
  <c r="L363" i="26" s="1"/>
  <c r="M363" i="26" s="1"/>
  <c r="K351" i="26"/>
  <c r="L351" i="26" s="1"/>
  <c r="M351" i="26" s="1"/>
  <c r="K339" i="26"/>
  <c r="L339" i="26" s="1"/>
  <c r="M339" i="26" s="1"/>
  <c r="K327" i="26"/>
  <c r="L327" i="26" s="1"/>
  <c r="M327" i="26" s="1"/>
  <c r="K315" i="26"/>
  <c r="L315" i="26" s="1"/>
  <c r="M315" i="26" s="1"/>
  <c r="K303" i="26"/>
  <c r="L303" i="26" s="1"/>
  <c r="M303" i="26" s="1"/>
  <c r="K291" i="26"/>
  <c r="L291" i="26" s="1"/>
  <c r="M291" i="26" s="1"/>
  <c r="K279" i="26"/>
  <c r="L279" i="26" s="1"/>
  <c r="M279" i="26" s="1"/>
  <c r="K1618" i="26"/>
  <c r="L1618" i="26" s="1"/>
  <c r="M1618" i="26" s="1"/>
  <c r="K1592" i="26"/>
  <c r="L1592" i="26" s="1"/>
  <c r="M1592" i="26" s="1"/>
  <c r="K1579" i="26"/>
  <c r="L1579" i="26" s="1"/>
  <c r="M1579" i="26" s="1"/>
  <c r="K1566" i="26"/>
  <c r="L1566" i="26" s="1"/>
  <c r="M1566" i="26" s="1"/>
  <c r="K1553" i="26"/>
  <c r="L1553" i="26" s="1"/>
  <c r="M1553" i="26" s="1"/>
  <c r="K1513" i="26"/>
  <c r="L1513" i="26" s="1"/>
  <c r="M1513" i="26" s="1"/>
  <c r="K1487" i="26"/>
  <c r="L1487" i="26" s="1"/>
  <c r="M1487" i="26" s="1"/>
  <c r="K1474" i="26"/>
  <c r="L1474" i="26" s="1"/>
  <c r="M1474" i="26" s="1"/>
  <c r="K1448" i="26"/>
  <c r="L1448" i="26" s="1"/>
  <c r="M1448" i="26" s="1"/>
  <c r="K1435" i="26"/>
  <c r="L1435" i="26" s="1"/>
  <c r="M1435" i="26" s="1"/>
  <c r="K1422" i="26"/>
  <c r="L1422" i="26" s="1"/>
  <c r="M1422" i="26" s="1"/>
  <c r="K1369" i="26"/>
  <c r="L1369" i="26" s="1"/>
  <c r="M1369" i="26" s="1"/>
  <c r="K1356" i="26"/>
  <c r="L1356" i="26" s="1"/>
  <c r="M1356" i="26" s="1"/>
  <c r="K1343" i="26"/>
  <c r="L1343" i="26" s="1"/>
  <c r="M1343" i="26" s="1"/>
  <c r="K1330" i="26"/>
  <c r="L1330" i="26" s="1"/>
  <c r="M1330" i="26" s="1"/>
  <c r="K1317" i="26"/>
  <c r="L1317" i="26" s="1"/>
  <c r="M1317" i="26" s="1"/>
  <c r="K1304" i="26"/>
  <c r="L1304" i="26" s="1"/>
  <c r="M1304" i="26" s="1"/>
  <c r="K1291" i="26"/>
  <c r="L1291" i="26" s="1"/>
  <c r="M1291" i="26" s="1"/>
  <c r="K1278" i="26"/>
  <c r="L1278" i="26" s="1"/>
  <c r="M1278" i="26" s="1"/>
  <c r="K1225" i="26"/>
  <c r="L1225" i="26" s="1"/>
  <c r="M1225" i="26" s="1"/>
  <c r="K1199" i="26"/>
  <c r="L1199" i="26" s="1"/>
  <c r="M1199" i="26" s="1"/>
  <c r="K1186" i="26"/>
  <c r="L1186" i="26" s="1"/>
  <c r="M1186" i="26" s="1"/>
  <c r="K1173" i="26"/>
  <c r="L1173" i="26" s="1"/>
  <c r="M1173" i="26" s="1"/>
  <c r="K1160" i="26"/>
  <c r="L1160" i="26" s="1"/>
  <c r="M1160" i="26" s="1"/>
  <c r="K1147" i="26"/>
  <c r="L1147" i="26" s="1"/>
  <c r="M1147" i="26" s="1"/>
  <c r="K1134" i="26"/>
  <c r="L1134" i="26" s="1"/>
  <c r="M1134" i="26" s="1"/>
  <c r="K1121" i="26"/>
  <c r="L1121" i="26" s="1"/>
  <c r="M1121" i="26" s="1"/>
  <c r="K1081" i="26"/>
  <c r="L1081" i="26" s="1"/>
  <c r="M1081" i="26" s="1"/>
  <c r="K1068" i="26"/>
  <c r="L1068" i="26" s="1"/>
  <c r="M1068" i="26" s="1"/>
  <c r="K1055" i="26"/>
  <c r="L1055" i="26" s="1"/>
  <c r="M1055" i="26" s="1"/>
  <c r="K1042" i="26"/>
  <c r="L1042" i="26" s="1"/>
  <c r="M1042" i="26" s="1"/>
  <c r="K1029" i="26"/>
  <c r="L1029" i="26" s="1"/>
  <c r="M1029" i="26" s="1"/>
  <c r="K1016" i="26"/>
  <c r="L1016" i="26" s="1"/>
  <c r="M1016" i="26" s="1"/>
  <c r="K1003" i="26"/>
  <c r="L1003" i="26" s="1"/>
  <c r="M1003" i="26" s="1"/>
  <c r="K990" i="26"/>
  <c r="L990" i="26" s="1"/>
  <c r="M990" i="26" s="1"/>
  <c r="K977" i="26"/>
  <c r="L977" i="26" s="1"/>
  <c r="M977" i="26" s="1"/>
  <c r="K951" i="26"/>
  <c r="L951" i="26" s="1"/>
  <c r="M951" i="26" s="1"/>
  <c r="K937" i="26"/>
  <c r="L937" i="26" s="1"/>
  <c r="M937" i="26" s="1"/>
  <c r="K924" i="26"/>
  <c r="L924" i="26" s="1"/>
  <c r="M924" i="26" s="1"/>
  <c r="K911" i="26"/>
  <c r="L911" i="26" s="1"/>
  <c r="M911" i="26" s="1"/>
  <c r="K898" i="26"/>
  <c r="L898" i="26" s="1"/>
  <c r="M898" i="26" s="1"/>
  <c r="K885" i="26"/>
  <c r="L885" i="26" s="1"/>
  <c r="M885" i="26" s="1"/>
  <c r="K872" i="26"/>
  <c r="L872" i="26" s="1"/>
  <c r="M872" i="26" s="1"/>
  <c r="K859" i="26"/>
  <c r="L859" i="26" s="1"/>
  <c r="M859" i="26" s="1"/>
  <c r="K846" i="26"/>
  <c r="L846" i="26" s="1"/>
  <c r="M846" i="26" s="1"/>
  <c r="K833" i="26"/>
  <c r="L833" i="26" s="1"/>
  <c r="M833" i="26" s="1"/>
  <c r="K807" i="26"/>
  <c r="L807" i="26" s="1"/>
  <c r="M807" i="26" s="1"/>
  <c r="K793" i="26"/>
  <c r="L793" i="26" s="1"/>
  <c r="M793" i="26" s="1"/>
  <c r="K780" i="26"/>
  <c r="L780" i="26" s="1"/>
  <c r="M780" i="26" s="1"/>
  <c r="K767" i="26"/>
  <c r="L767" i="26" s="1"/>
  <c r="M767" i="26" s="1"/>
  <c r="K754" i="26"/>
  <c r="L754" i="26" s="1"/>
  <c r="M754" i="26" s="1"/>
  <c r="K741" i="26"/>
  <c r="L741" i="26" s="1"/>
  <c r="M741" i="26" s="1"/>
  <c r="K728" i="26"/>
  <c r="L728" i="26" s="1"/>
  <c r="M728" i="26" s="1"/>
  <c r="K715" i="26"/>
  <c r="L715" i="26" s="1"/>
  <c r="M715" i="26" s="1"/>
  <c r="K702" i="26"/>
  <c r="L702" i="26" s="1"/>
  <c r="M702" i="26" s="1"/>
  <c r="K689" i="26"/>
  <c r="L689" i="26" s="1"/>
  <c r="M689" i="26" s="1"/>
  <c r="K676" i="26"/>
  <c r="L676" i="26" s="1"/>
  <c r="M676" i="26" s="1"/>
  <c r="K663" i="26"/>
  <c r="L663" i="26" s="1"/>
  <c r="M663" i="26" s="1"/>
  <c r="K649" i="26"/>
  <c r="L649" i="26" s="1"/>
  <c r="M649" i="26" s="1"/>
  <c r="K623" i="26"/>
  <c r="L623" i="26" s="1"/>
  <c r="M623" i="26" s="1"/>
  <c r="K610" i="26"/>
  <c r="L610" i="26" s="1"/>
  <c r="M610" i="26" s="1"/>
  <c r="K519" i="26"/>
  <c r="L519" i="26" s="1"/>
  <c r="M519" i="26" s="1"/>
  <c r="K505" i="26"/>
  <c r="L505" i="26" s="1"/>
  <c r="M505" i="26" s="1"/>
  <c r="K479" i="26"/>
  <c r="L479" i="26" s="1"/>
  <c r="M479" i="26" s="1"/>
  <c r="K375" i="26"/>
  <c r="L375" i="26" s="1"/>
  <c r="M375" i="26" s="1"/>
  <c r="K1630" i="26"/>
  <c r="L1630" i="26" s="1"/>
  <c r="M1630" i="26" s="1"/>
  <c r="K1604" i="26"/>
  <c r="L1604" i="26" s="1"/>
  <c r="M1604" i="26" s="1"/>
  <c r="K1591" i="26"/>
  <c r="L1591" i="26" s="1"/>
  <c r="M1591" i="26" s="1"/>
  <c r="K1578" i="26"/>
  <c r="L1578" i="26" s="1"/>
  <c r="M1578" i="26" s="1"/>
  <c r="K1525" i="26"/>
  <c r="L1525" i="26" s="1"/>
  <c r="M1525" i="26" s="1"/>
  <c r="K1486" i="26"/>
  <c r="L1486" i="26" s="1"/>
  <c r="M1486" i="26" s="1"/>
  <c r="K1460" i="26"/>
  <c r="L1460" i="26" s="1"/>
  <c r="M1460" i="26" s="1"/>
  <c r="K1447" i="26"/>
  <c r="L1447" i="26" s="1"/>
  <c r="M1447" i="26" s="1"/>
  <c r="K1434" i="26"/>
  <c r="L1434" i="26" s="1"/>
  <c r="M1434" i="26" s="1"/>
  <c r="K1395" i="26"/>
  <c r="L1395" i="26" s="1"/>
  <c r="M1395" i="26" s="1"/>
  <c r="K1381" i="26"/>
  <c r="L1381" i="26" s="1"/>
  <c r="M1381" i="26" s="1"/>
  <c r="K1368" i="26"/>
  <c r="L1368" i="26" s="1"/>
  <c r="M1368" i="26" s="1"/>
  <c r="K1355" i="26"/>
  <c r="L1355" i="26" s="1"/>
  <c r="M1355" i="26" s="1"/>
  <c r="K1342" i="26"/>
  <c r="L1342" i="26" s="1"/>
  <c r="M1342" i="26" s="1"/>
  <c r="K1329" i="26"/>
  <c r="L1329" i="26" s="1"/>
  <c r="M1329" i="26" s="1"/>
  <c r="K1316" i="26"/>
  <c r="L1316" i="26" s="1"/>
  <c r="M1316" i="26" s="1"/>
  <c r="K1303" i="26"/>
  <c r="L1303" i="26" s="1"/>
  <c r="M1303" i="26" s="1"/>
  <c r="K1290" i="26"/>
  <c r="L1290" i="26" s="1"/>
  <c r="M1290" i="26" s="1"/>
  <c r="K1251" i="26"/>
  <c r="L1251" i="26" s="1"/>
  <c r="M1251" i="26" s="1"/>
  <c r="K1237" i="26"/>
  <c r="L1237" i="26" s="1"/>
  <c r="M1237" i="26" s="1"/>
  <c r="K1224" i="26"/>
  <c r="L1224" i="26" s="1"/>
  <c r="M1224" i="26" s="1"/>
  <c r="K1211" i="26"/>
  <c r="L1211" i="26" s="1"/>
  <c r="M1211" i="26" s="1"/>
  <c r="K1198" i="26"/>
  <c r="L1198" i="26" s="1"/>
  <c r="M1198" i="26" s="1"/>
  <c r="K1185" i="26"/>
  <c r="L1185" i="26" s="1"/>
  <c r="M1185" i="26" s="1"/>
  <c r="K1172" i="26"/>
  <c r="L1172" i="26" s="1"/>
  <c r="M1172" i="26" s="1"/>
  <c r="K1159" i="26"/>
  <c r="L1159" i="26" s="1"/>
  <c r="M1159" i="26" s="1"/>
  <c r="K1146" i="26"/>
  <c r="L1146" i="26" s="1"/>
  <c r="M1146" i="26" s="1"/>
  <c r="K1133" i="26"/>
  <c r="L1133" i="26" s="1"/>
  <c r="M1133" i="26" s="1"/>
  <c r="K1093" i="26"/>
  <c r="L1093" i="26" s="1"/>
  <c r="M1093" i="26" s="1"/>
  <c r="K1080" i="26"/>
  <c r="L1080" i="26" s="1"/>
  <c r="M1080" i="26" s="1"/>
  <c r="K1067" i="26"/>
  <c r="L1067" i="26" s="1"/>
  <c r="M1067" i="26" s="1"/>
  <c r="K1054" i="26"/>
  <c r="L1054" i="26" s="1"/>
  <c r="M1054" i="26" s="1"/>
  <c r="K1041" i="26"/>
  <c r="L1041" i="26" s="1"/>
  <c r="M1041" i="26" s="1"/>
  <c r="K1028" i="26"/>
  <c r="L1028" i="26" s="1"/>
  <c r="M1028" i="26" s="1"/>
  <c r="K1015" i="26"/>
  <c r="L1015" i="26" s="1"/>
  <c r="M1015" i="26" s="1"/>
  <c r="K1002" i="26"/>
  <c r="L1002" i="26" s="1"/>
  <c r="M1002" i="26" s="1"/>
  <c r="K989" i="26"/>
  <c r="L989" i="26" s="1"/>
  <c r="M989" i="26" s="1"/>
  <c r="K963" i="26"/>
  <c r="L963" i="26" s="1"/>
  <c r="M963" i="26" s="1"/>
  <c r="K949" i="26"/>
  <c r="L949" i="26" s="1"/>
  <c r="M949" i="26" s="1"/>
  <c r="K936" i="26"/>
  <c r="L936" i="26" s="1"/>
  <c r="M936" i="26" s="1"/>
  <c r="K923" i="26"/>
  <c r="L923" i="26" s="1"/>
  <c r="M923" i="26" s="1"/>
  <c r="K910" i="26"/>
  <c r="L910" i="26" s="1"/>
  <c r="M910" i="26" s="1"/>
  <c r="K897" i="26"/>
  <c r="L897" i="26" s="1"/>
  <c r="M897" i="26" s="1"/>
  <c r="K884" i="26"/>
  <c r="L884" i="26" s="1"/>
  <c r="M884" i="26" s="1"/>
  <c r="K871" i="26"/>
  <c r="L871" i="26" s="1"/>
  <c r="M871" i="26" s="1"/>
  <c r="K858" i="26"/>
  <c r="L858" i="26" s="1"/>
  <c r="M858" i="26" s="1"/>
  <c r="K845" i="26"/>
  <c r="L845" i="26" s="1"/>
  <c r="M845" i="26" s="1"/>
  <c r="K819" i="26"/>
  <c r="L819" i="26" s="1"/>
  <c r="M819" i="26" s="1"/>
  <c r="K805" i="26"/>
  <c r="L805" i="26" s="1"/>
  <c r="M805" i="26" s="1"/>
  <c r="K792" i="26"/>
  <c r="L792" i="26" s="1"/>
  <c r="M792" i="26" s="1"/>
  <c r="K779" i="26"/>
  <c r="L779" i="26" s="1"/>
  <c r="M779" i="26" s="1"/>
  <c r="K766" i="26"/>
  <c r="L766" i="26" s="1"/>
  <c r="M766" i="26" s="1"/>
  <c r="K753" i="26"/>
  <c r="L753" i="26" s="1"/>
  <c r="M753" i="26" s="1"/>
  <c r="K740" i="26"/>
  <c r="L740" i="26" s="1"/>
  <c r="M740" i="26" s="1"/>
  <c r="K727" i="26"/>
  <c r="L727" i="26" s="1"/>
  <c r="M727" i="26" s="1"/>
  <c r="K714" i="26"/>
  <c r="L714" i="26" s="1"/>
  <c r="M714" i="26" s="1"/>
  <c r="K701" i="26"/>
  <c r="L701" i="26" s="1"/>
  <c r="M701" i="26" s="1"/>
  <c r="K688" i="26"/>
  <c r="L688" i="26" s="1"/>
  <c r="M688" i="26" s="1"/>
  <c r="K675" i="26"/>
  <c r="L675" i="26" s="1"/>
  <c r="M675" i="26" s="1"/>
  <c r="K661" i="26"/>
  <c r="L661" i="26" s="1"/>
  <c r="M661" i="26" s="1"/>
  <c r="K635" i="26"/>
  <c r="L635" i="26" s="1"/>
  <c r="M635" i="26" s="1"/>
  <c r="K622" i="26"/>
  <c r="L622" i="26" s="1"/>
  <c r="M622" i="26" s="1"/>
  <c r="K531" i="26"/>
  <c r="L531" i="26" s="1"/>
  <c r="M531" i="26" s="1"/>
  <c r="K517" i="26"/>
  <c r="L517" i="26" s="1"/>
  <c r="M517" i="26" s="1"/>
  <c r="K491" i="26"/>
  <c r="L491" i="26" s="1"/>
  <c r="M491" i="26" s="1"/>
  <c r="K387" i="26"/>
  <c r="L387" i="26" s="1"/>
  <c r="M387" i="26" s="1"/>
  <c r="K373" i="26"/>
  <c r="L373" i="26" s="1"/>
  <c r="M373" i="26" s="1"/>
  <c r="K361" i="26"/>
  <c r="L361" i="26" s="1"/>
  <c r="M361" i="26" s="1"/>
  <c r="K349" i="26"/>
  <c r="L349" i="26" s="1"/>
  <c r="M349" i="26" s="1"/>
  <c r="K337" i="26"/>
  <c r="L337" i="26" s="1"/>
  <c r="M337" i="26" s="1"/>
  <c r="K325" i="26"/>
  <c r="L325" i="26" s="1"/>
  <c r="M325" i="26" s="1"/>
  <c r="K313" i="26"/>
  <c r="L313" i="26" s="1"/>
  <c r="M313" i="26" s="1"/>
  <c r="K301" i="26"/>
  <c r="L301" i="26" s="1"/>
  <c r="M301" i="26" s="1"/>
  <c r="K289" i="26"/>
  <c r="L289" i="26" s="1"/>
  <c r="M289" i="26" s="1"/>
  <c r="K277" i="26"/>
  <c r="L277" i="26" s="1"/>
  <c r="M277" i="26" s="1"/>
  <c r="K265" i="26"/>
  <c r="L265" i="26" s="1"/>
  <c r="M265" i="26" s="1"/>
  <c r="K253" i="26"/>
  <c r="L253" i="26" s="1"/>
  <c r="M253" i="26" s="1"/>
  <c r="K241" i="26"/>
  <c r="L241" i="26" s="1"/>
  <c r="M241" i="26" s="1"/>
  <c r="K229" i="26"/>
  <c r="L229" i="26" s="1"/>
  <c r="M229" i="26" s="1"/>
  <c r="K217" i="26"/>
  <c r="L217" i="26" s="1"/>
  <c r="M217" i="26" s="1"/>
  <c r="K205" i="26"/>
  <c r="L205" i="26" s="1"/>
  <c r="M205" i="26" s="1"/>
  <c r="K193" i="26"/>
  <c r="L193" i="26" s="1"/>
  <c r="M193" i="26" s="1"/>
  <c r="K181" i="26"/>
  <c r="L181" i="26" s="1"/>
  <c r="M181" i="26" s="1"/>
  <c r="K169" i="26"/>
  <c r="L169" i="26" s="1"/>
  <c r="M169" i="26" s="1"/>
  <c r="K157" i="26"/>
  <c r="L157" i="26" s="1"/>
  <c r="M157" i="26" s="1"/>
  <c r="K145" i="26"/>
  <c r="L145" i="26" s="1"/>
  <c r="M145" i="26" s="1"/>
  <c r="K133" i="26"/>
  <c r="L133" i="26" s="1"/>
  <c r="M133" i="26" s="1"/>
  <c r="K121" i="26"/>
  <c r="L121" i="26" s="1"/>
  <c r="M121" i="26" s="1"/>
  <c r="K109" i="26"/>
  <c r="L109" i="26" s="1"/>
  <c r="M109" i="26" s="1"/>
  <c r="K97" i="26"/>
  <c r="L97" i="26" s="1"/>
  <c r="M97" i="26" s="1"/>
  <c r="K85" i="26"/>
  <c r="L85" i="26" s="1"/>
  <c r="M85" i="26" s="1"/>
  <c r="K73" i="26"/>
  <c r="L73" i="26" s="1"/>
  <c r="M73" i="26" s="1"/>
  <c r="K61" i="26"/>
  <c r="L61" i="26" s="1"/>
  <c r="M61" i="26" s="1"/>
  <c r="K49" i="26"/>
  <c r="L49" i="26" s="1"/>
  <c r="M49" i="26" s="1"/>
  <c r="K37" i="26"/>
  <c r="L37" i="26" s="1"/>
  <c r="M37" i="26" s="1"/>
  <c r="K25" i="26"/>
  <c r="L25" i="26" s="1"/>
  <c r="M25" i="26" s="1"/>
  <c r="K1642" i="26"/>
  <c r="L1642" i="26" s="1"/>
  <c r="M1642" i="26" s="1"/>
  <c r="K1616" i="26"/>
  <c r="L1616" i="26" s="1"/>
  <c r="M1616" i="26" s="1"/>
  <c r="K1603" i="26"/>
  <c r="L1603" i="26" s="1"/>
  <c r="M1603" i="26" s="1"/>
  <c r="K1590" i="26"/>
  <c r="L1590" i="26" s="1"/>
  <c r="M1590" i="26" s="1"/>
  <c r="K1577" i="26"/>
  <c r="L1577" i="26" s="1"/>
  <c r="M1577" i="26" s="1"/>
  <c r="K1537" i="26"/>
  <c r="L1537" i="26" s="1"/>
  <c r="M1537" i="26" s="1"/>
  <c r="K1524" i="26"/>
  <c r="L1524" i="26" s="1"/>
  <c r="M1524" i="26" s="1"/>
  <c r="K1498" i="26"/>
  <c r="L1498" i="26" s="1"/>
  <c r="M1498" i="26" s="1"/>
  <c r="K1472" i="26"/>
  <c r="L1472" i="26" s="1"/>
  <c r="M1472" i="26" s="1"/>
  <c r="K1459" i="26"/>
  <c r="L1459" i="26" s="1"/>
  <c r="M1459" i="26" s="1"/>
  <c r="K1446" i="26"/>
  <c r="L1446" i="26" s="1"/>
  <c r="M1446" i="26" s="1"/>
  <c r="K1393" i="26"/>
  <c r="L1393" i="26" s="1"/>
  <c r="M1393" i="26" s="1"/>
  <c r="K1380" i="26"/>
  <c r="L1380" i="26" s="1"/>
  <c r="M1380" i="26" s="1"/>
  <c r="K1367" i="26"/>
  <c r="L1367" i="26" s="1"/>
  <c r="M1367" i="26" s="1"/>
  <c r="K1354" i="26"/>
  <c r="L1354" i="26" s="1"/>
  <c r="M1354" i="26" s="1"/>
  <c r="K1341" i="26"/>
  <c r="L1341" i="26" s="1"/>
  <c r="M1341" i="26" s="1"/>
  <c r="K1328" i="26"/>
  <c r="L1328" i="26" s="1"/>
  <c r="M1328" i="26" s="1"/>
  <c r="K1315" i="26"/>
  <c r="L1315" i="26" s="1"/>
  <c r="M1315" i="26" s="1"/>
  <c r="K1302" i="26"/>
  <c r="L1302" i="26" s="1"/>
  <c r="M1302" i="26" s="1"/>
  <c r="K1249" i="26"/>
  <c r="L1249" i="26" s="1"/>
  <c r="M1249" i="26" s="1"/>
  <c r="K1236" i="26"/>
  <c r="L1236" i="26" s="1"/>
  <c r="M1236" i="26" s="1"/>
  <c r="K1223" i="26"/>
  <c r="L1223" i="26" s="1"/>
  <c r="M1223" i="26" s="1"/>
  <c r="K1210" i="26"/>
  <c r="L1210" i="26" s="1"/>
  <c r="M1210" i="26" s="1"/>
  <c r="K1184" i="26"/>
  <c r="L1184" i="26" s="1"/>
  <c r="M1184" i="26" s="1"/>
  <c r="K1171" i="26"/>
  <c r="L1171" i="26" s="1"/>
  <c r="M1171" i="26" s="1"/>
  <c r="K1158" i="26"/>
  <c r="L1158" i="26" s="1"/>
  <c r="M1158" i="26" s="1"/>
  <c r="K1145" i="26"/>
  <c r="L1145" i="26" s="1"/>
  <c r="M1145" i="26" s="1"/>
  <c r="K1119" i="26"/>
  <c r="L1119" i="26" s="1"/>
  <c r="M1119" i="26" s="1"/>
  <c r="K1105" i="26"/>
  <c r="L1105" i="26" s="1"/>
  <c r="M1105" i="26" s="1"/>
  <c r="K1092" i="26"/>
  <c r="L1092" i="26" s="1"/>
  <c r="M1092" i="26" s="1"/>
  <c r="K1079" i="26"/>
  <c r="L1079" i="26" s="1"/>
  <c r="M1079" i="26" s="1"/>
  <c r="K1066" i="26"/>
  <c r="L1066" i="26" s="1"/>
  <c r="M1066" i="26" s="1"/>
  <c r="K1040" i="26"/>
  <c r="L1040" i="26" s="1"/>
  <c r="M1040" i="26" s="1"/>
  <c r="K1027" i="26"/>
  <c r="L1027" i="26" s="1"/>
  <c r="M1027" i="26" s="1"/>
  <c r="K1014" i="26"/>
  <c r="L1014" i="26" s="1"/>
  <c r="M1014" i="26" s="1"/>
  <c r="K1001" i="26"/>
  <c r="L1001" i="26" s="1"/>
  <c r="M1001" i="26" s="1"/>
  <c r="K961" i="26"/>
  <c r="L961" i="26" s="1"/>
  <c r="M961" i="26" s="1"/>
  <c r="K948" i="26"/>
  <c r="L948" i="26" s="1"/>
  <c r="M948" i="26" s="1"/>
  <c r="K935" i="26"/>
  <c r="L935" i="26" s="1"/>
  <c r="M935" i="26" s="1"/>
  <c r="K922" i="26"/>
  <c r="L922" i="26" s="1"/>
  <c r="M922" i="26" s="1"/>
  <c r="K909" i="26"/>
  <c r="L909" i="26" s="1"/>
  <c r="M909" i="26" s="1"/>
  <c r="K896" i="26"/>
  <c r="L896" i="26" s="1"/>
  <c r="M896" i="26" s="1"/>
  <c r="K883" i="26"/>
  <c r="L883" i="26" s="1"/>
  <c r="M883" i="26" s="1"/>
  <c r="K870" i="26"/>
  <c r="L870" i="26" s="1"/>
  <c r="M870" i="26" s="1"/>
  <c r="K857" i="26"/>
  <c r="L857" i="26" s="1"/>
  <c r="M857" i="26" s="1"/>
  <c r="K831" i="26"/>
  <c r="L831" i="26" s="1"/>
  <c r="M831" i="26" s="1"/>
  <c r="K817" i="26"/>
  <c r="L817" i="26" s="1"/>
  <c r="M817" i="26" s="1"/>
  <c r="K804" i="26"/>
  <c r="L804" i="26" s="1"/>
  <c r="M804" i="26" s="1"/>
  <c r="K791" i="26"/>
  <c r="L791" i="26" s="1"/>
  <c r="M791" i="26" s="1"/>
  <c r="K778" i="26"/>
  <c r="L778" i="26" s="1"/>
  <c r="M778" i="26" s="1"/>
  <c r="K765" i="26"/>
  <c r="L765" i="26" s="1"/>
  <c r="M765" i="26" s="1"/>
  <c r="K752" i="26"/>
  <c r="L752" i="26" s="1"/>
  <c r="M752" i="26" s="1"/>
  <c r="K739" i="26"/>
  <c r="L739" i="26" s="1"/>
  <c r="M739" i="26" s="1"/>
  <c r="K726" i="26"/>
  <c r="L726" i="26" s="1"/>
  <c r="M726" i="26" s="1"/>
  <c r="K713" i="26"/>
  <c r="L713" i="26" s="1"/>
  <c r="M713" i="26" s="1"/>
  <c r="K700" i="26"/>
  <c r="L700" i="26" s="1"/>
  <c r="M700" i="26" s="1"/>
  <c r="K687" i="26"/>
  <c r="L687" i="26" s="1"/>
  <c r="M687" i="26" s="1"/>
  <c r="K673" i="26"/>
  <c r="L673" i="26" s="1"/>
  <c r="M673" i="26" s="1"/>
  <c r="K647" i="26"/>
  <c r="L647" i="26" s="1"/>
  <c r="M647" i="26" s="1"/>
  <c r="K634" i="26"/>
  <c r="L634" i="26" s="1"/>
  <c r="M634" i="26" s="1"/>
  <c r="K543" i="26"/>
  <c r="L543" i="26" s="1"/>
  <c r="M543" i="26" s="1"/>
  <c r="K529" i="26"/>
  <c r="L529" i="26" s="1"/>
  <c r="M529" i="26" s="1"/>
  <c r="K503" i="26"/>
  <c r="L503" i="26" s="1"/>
  <c r="M503" i="26" s="1"/>
  <c r="K399" i="26"/>
  <c r="L399" i="26" s="1"/>
  <c r="M399" i="26" s="1"/>
  <c r="K385" i="26"/>
  <c r="L385" i="26" s="1"/>
  <c r="M385" i="26" s="1"/>
  <c r="K1628" i="26"/>
  <c r="L1628" i="26" s="1"/>
  <c r="M1628" i="26" s="1"/>
  <c r="K1615" i="26"/>
  <c r="L1615" i="26" s="1"/>
  <c r="M1615" i="26" s="1"/>
  <c r="K1602" i="26"/>
  <c r="L1602" i="26" s="1"/>
  <c r="M1602" i="26" s="1"/>
  <c r="K1589" i="26"/>
  <c r="L1589" i="26" s="1"/>
  <c r="M1589" i="26" s="1"/>
  <c r="K1549" i="26"/>
  <c r="L1549" i="26" s="1"/>
  <c r="M1549" i="26" s="1"/>
  <c r="K1510" i="26"/>
  <c r="L1510" i="26" s="1"/>
  <c r="M1510" i="26" s="1"/>
  <c r="K1484" i="26"/>
  <c r="L1484" i="26" s="1"/>
  <c r="M1484" i="26" s="1"/>
  <c r="K1471" i="26"/>
  <c r="L1471" i="26" s="1"/>
  <c r="M1471" i="26" s="1"/>
  <c r="K1458" i="26"/>
  <c r="L1458" i="26" s="1"/>
  <c r="M1458" i="26" s="1"/>
  <c r="K1405" i="26"/>
  <c r="L1405" i="26" s="1"/>
  <c r="M1405" i="26" s="1"/>
  <c r="K1392" i="26"/>
  <c r="L1392" i="26" s="1"/>
  <c r="M1392" i="26" s="1"/>
  <c r="K1366" i="26"/>
  <c r="L1366" i="26" s="1"/>
  <c r="M1366" i="26" s="1"/>
  <c r="K1340" i="26"/>
  <c r="L1340" i="26" s="1"/>
  <c r="M1340" i="26" s="1"/>
  <c r="K1327" i="26"/>
  <c r="L1327" i="26" s="1"/>
  <c r="M1327" i="26" s="1"/>
  <c r="K1314" i="26"/>
  <c r="L1314" i="26" s="1"/>
  <c r="M1314" i="26" s="1"/>
  <c r="K1261" i="26"/>
  <c r="L1261" i="26" s="1"/>
  <c r="M1261" i="26" s="1"/>
  <c r="K1248" i="26"/>
  <c r="L1248" i="26" s="1"/>
  <c r="M1248" i="26" s="1"/>
  <c r="K1222" i="26"/>
  <c r="L1222" i="26" s="1"/>
  <c r="M1222" i="26" s="1"/>
  <c r="K1209" i="26"/>
  <c r="L1209" i="26" s="1"/>
  <c r="M1209" i="26" s="1"/>
  <c r="K1196" i="26"/>
  <c r="L1196" i="26" s="1"/>
  <c r="M1196" i="26" s="1"/>
  <c r="K1183" i="26"/>
  <c r="L1183" i="26" s="1"/>
  <c r="M1183" i="26" s="1"/>
  <c r="K1170" i="26"/>
  <c r="L1170" i="26" s="1"/>
  <c r="M1170" i="26" s="1"/>
  <c r="K1157" i="26"/>
  <c r="L1157" i="26" s="1"/>
  <c r="M1157" i="26" s="1"/>
  <c r="K1117" i="26"/>
  <c r="L1117" i="26" s="1"/>
  <c r="M1117" i="26" s="1"/>
  <c r="K1104" i="26"/>
  <c r="L1104" i="26" s="1"/>
  <c r="M1104" i="26" s="1"/>
  <c r="K1078" i="26"/>
  <c r="L1078" i="26" s="1"/>
  <c r="M1078" i="26" s="1"/>
  <c r="K1052" i="26"/>
  <c r="L1052" i="26" s="1"/>
  <c r="M1052" i="26" s="1"/>
  <c r="K1039" i="26"/>
  <c r="L1039" i="26" s="1"/>
  <c r="M1039" i="26" s="1"/>
  <c r="K1026" i="26"/>
  <c r="L1026" i="26" s="1"/>
  <c r="M1026" i="26" s="1"/>
  <c r="K1013" i="26"/>
  <c r="L1013" i="26" s="1"/>
  <c r="M1013" i="26" s="1"/>
  <c r="K973" i="26"/>
  <c r="L973" i="26" s="1"/>
  <c r="M973" i="26" s="1"/>
  <c r="K960" i="26"/>
  <c r="L960" i="26" s="1"/>
  <c r="M960" i="26" s="1"/>
  <c r="K947" i="26"/>
  <c r="L947" i="26" s="1"/>
  <c r="M947" i="26" s="1"/>
  <c r="K934" i="26"/>
  <c r="L934" i="26" s="1"/>
  <c r="M934" i="26" s="1"/>
  <c r="K921" i="26"/>
  <c r="L921" i="26" s="1"/>
  <c r="M921" i="26" s="1"/>
  <c r="K908" i="26"/>
  <c r="L908" i="26" s="1"/>
  <c r="M908" i="26" s="1"/>
  <c r="K895" i="26"/>
  <c r="L895" i="26" s="1"/>
  <c r="M895" i="26" s="1"/>
  <c r="K882" i="26"/>
  <c r="L882" i="26" s="1"/>
  <c r="M882" i="26" s="1"/>
  <c r="K869" i="26"/>
  <c r="L869" i="26" s="1"/>
  <c r="M869" i="26" s="1"/>
  <c r="K843" i="26"/>
  <c r="L843" i="26" s="1"/>
  <c r="M843" i="26" s="1"/>
  <c r="K829" i="26"/>
  <c r="L829" i="26" s="1"/>
  <c r="M829" i="26" s="1"/>
  <c r="K816" i="26"/>
  <c r="L816" i="26" s="1"/>
  <c r="M816" i="26" s="1"/>
  <c r="K803" i="26"/>
  <c r="L803" i="26" s="1"/>
  <c r="M803" i="26" s="1"/>
  <c r="K790" i="26"/>
  <c r="L790" i="26" s="1"/>
  <c r="M790" i="26" s="1"/>
  <c r="K777" i="26"/>
  <c r="L777" i="26" s="1"/>
  <c r="M777" i="26" s="1"/>
  <c r="K764" i="26"/>
  <c r="L764" i="26" s="1"/>
  <c r="M764" i="26" s="1"/>
  <c r="K751" i="26"/>
  <c r="L751" i="26" s="1"/>
  <c r="M751" i="26" s="1"/>
  <c r="K738" i="26"/>
  <c r="L738" i="26" s="1"/>
  <c r="M738" i="26" s="1"/>
  <c r="K725" i="26"/>
  <c r="L725" i="26" s="1"/>
  <c r="M725" i="26" s="1"/>
  <c r="K699" i="26"/>
  <c r="L699" i="26" s="1"/>
  <c r="M699" i="26" s="1"/>
  <c r="K685" i="26"/>
  <c r="L685" i="26" s="1"/>
  <c r="M685" i="26" s="1"/>
  <c r="K672" i="26"/>
  <c r="L672" i="26" s="1"/>
  <c r="M672" i="26" s="1"/>
  <c r="K659" i="26"/>
  <c r="L659" i="26" s="1"/>
  <c r="M659" i="26" s="1"/>
  <c r="K646" i="26"/>
  <c r="L646" i="26" s="1"/>
  <c r="M646" i="26" s="1"/>
  <c r="K568" i="26"/>
  <c r="L568" i="26" s="1"/>
  <c r="M568" i="26" s="1"/>
  <c r="K541" i="26"/>
  <c r="L541" i="26" s="1"/>
  <c r="M541" i="26" s="1"/>
  <c r="K515" i="26"/>
  <c r="L515" i="26" s="1"/>
  <c r="M515" i="26" s="1"/>
  <c r="K411" i="26"/>
  <c r="L411" i="26" s="1"/>
  <c r="M411" i="26" s="1"/>
  <c r="K397" i="26"/>
  <c r="L397" i="26" s="1"/>
  <c r="M397" i="26" s="1"/>
  <c r="K371" i="26"/>
  <c r="L371" i="26" s="1"/>
  <c r="M371" i="26" s="1"/>
  <c r="K359" i="26"/>
  <c r="L359" i="26" s="1"/>
  <c r="M359" i="26" s="1"/>
  <c r="K347" i="26"/>
  <c r="L347" i="26" s="1"/>
  <c r="M347" i="26" s="1"/>
  <c r="K335" i="26"/>
  <c r="L335" i="26" s="1"/>
  <c r="M335" i="26" s="1"/>
  <c r="K323" i="26"/>
  <c r="L323" i="26" s="1"/>
  <c r="M323" i="26" s="1"/>
  <c r="K311" i="26"/>
  <c r="L311" i="26" s="1"/>
  <c r="M311" i="26" s="1"/>
  <c r="K299" i="26"/>
  <c r="L299" i="26" s="1"/>
  <c r="M299" i="26" s="1"/>
  <c r="K287" i="26"/>
  <c r="L287" i="26" s="1"/>
  <c r="M287" i="26" s="1"/>
  <c r="K275" i="26"/>
  <c r="L275" i="26" s="1"/>
  <c r="M275" i="26" s="1"/>
  <c r="K263" i="26"/>
  <c r="L263" i="26" s="1"/>
  <c r="M263" i="26" s="1"/>
  <c r="K251" i="26"/>
  <c r="L251" i="26" s="1"/>
  <c r="M251" i="26" s="1"/>
  <c r="K239" i="26"/>
  <c r="L239" i="26" s="1"/>
  <c r="M239" i="26" s="1"/>
  <c r="K227" i="26"/>
  <c r="L227" i="26" s="1"/>
  <c r="M227" i="26" s="1"/>
  <c r="K215" i="26"/>
  <c r="L215" i="26" s="1"/>
  <c r="M215" i="26" s="1"/>
  <c r="K203" i="26"/>
  <c r="L203" i="26" s="1"/>
  <c r="M203" i="26" s="1"/>
  <c r="K191" i="26"/>
  <c r="L191" i="26" s="1"/>
  <c r="M191" i="26" s="1"/>
  <c r="K179" i="26"/>
  <c r="L179" i="26" s="1"/>
  <c r="M179" i="26" s="1"/>
  <c r="K167" i="26"/>
  <c r="L167" i="26" s="1"/>
  <c r="M167" i="26" s="1"/>
  <c r="K155" i="26"/>
  <c r="L155" i="26" s="1"/>
  <c r="M155" i="26" s="1"/>
  <c r="K143" i="26"/>
  <c r="L143" i="26" s="1"/>
  <c r="M143" i="26" s="1"/>
  <c r="K131" i="26"/>
  <c r="L131" i="26" s="1"/>
  <c r="M131" i="26" s="1"/>
  <c r="K119" i="26"/>
  <c r="L119" i="26" s="1"/>
  <c r="M119" i="26" s="1"/>
  <c r="K107" i="26"/>
  <c r="L107" i="26" s="1"/>
  <c r="M107" i="26" s="1"/>
  <c r="K95" i="26"/>
  <c r="L95" i="26" s="1"/>
  <c r="M95" i="26" s="1"/>
  <c r="K83" i="26"/>
  <c r="L83" i="26" s="1"/>
  <c r="M83" i="26" s="1"/>
  <c r="K71" i="26"/>
  <c r="L71" i="26" s="1"/>
  <c r="M71" i="26" s="1"/>
  <c r="K59" i="26"/>
  <c r="L59" i="26" s="1"/>
  <c r="M59" i="26" s="1"/>
  <c r="K47" i="26"/>
  <c r="L47" i="26" s="1"/>
  <c r="M47" i="26" s="1"/>
  <c r="K35" i="26"/>
  <c r="L35" i="26" s="1"/>
  <c r="M35" i="26" s="1"/>
  <c r="K23" i="26"/>
  <c r="L23" i="26" s="1"/>
  <c r="M23" i="26" s="1"/>
  <c r="K1640" i="26"/>
  <c r="L1640" i="26" s="1"/>
  <c r="M1640" i="26" s="1"/>
  <c r="K1627" i="26"/>
  <c r="L1627" i="26" s="1"/>
  <c r="M1627" i="26" s="1"/>
  <c r="K1614" i="26"/>
  <c r="L1614" i="26" s="1"/>
  <c r="M1614" i="26" s="1"/>
  <c r="K1561" i="26"/>
  <c r="L1561" i="26" s="1"/>
  <c r="M1561" i="26" s="1"/>
  <c r="K1548" i="26"/>
  <c r="L1548" i="26" s="1"/>
  <c r="M1548" i="26" s="1"/>
  <c r="K1535" i="26"/>
  <c r="L1535" i="26" s="1"/>
  <c r="M1535" i="26" s="1"/>
  <c r="K1522" i="26"/>
  <c r="L1522" i="26" s="1"/>
  <c r="M1522" i="26" s="1"/>
  <c r="K1496" i="26"/>
  <c r="L1496" i="26" s="1"/>
  <c r="M1496" i="26" s="1"/>
  <c r="K1483" i="26"/>
  <c r="L1483" i="26" s="1"/>
  <c r="M1483" i="26" s="1"/>
  <c r="K1470" i="26"/>
  <c r="L1470" i="26" s="1"/>
  <c r="M1470" i="26" s="1"/>
  <c r="K1417" i="26"/>
  <c r="L1417" i="26" s="1"/>
  <c r="M1417" i="26" s="1"/>
  <c r="K1404" i="26"/>
  <c r="L1404" i="26" s="1"/>
  <c r="M1404" i="26" s="1"/>
  <c r="K1391" i="26"/>
  <c r="L1391" i="26" s="1"/>
  <c r="M1391" i="26" s="1"/>
  <c r="K1378" i="26"/>
  <c r="L1378" i="26" s="1"/>
  <c r="M1378" i="26" s="1"/>
  <c r="K1365" i="26"/>
  <c r="L1365" i="26" s="1"/>
  <c r="M1365" i="26" s="1"/>
  <c r="K1352" i="26"/>
  <c r="L1352" i="26" s="1"/>
  <c r="M1352" i="26" s="1"/>
  <c r="K1339" i="26"/>
  <c r="L1339" i="26" s="1"/>
  <c r="M1339" i="26" s="1"/>
  <c r="K1326" i="26"/>
  <c r="L1326" i="26" s="1"/>
  <c r="M1326" i="26" s="1"/>
  <c r="K1273" i="26"/>
  <c r="L1273" i="26" s="1"/>
  <c r="M1273" i="26" s="1"/>
  <c r="K1260" i="26"/>
  <c r="L1260" i="26" s="1"/>
  <c r="M1260" i="26" s="1"/>
  <c r="K1247" i="26"/>
  <c r="L1247" i="26" s="1"/>
  <c r="M1247" i="26" s="1"/>
  <c r="K1234" i="26"/>
  <c r="L1234" i="26" s="1"/>
  <c r="M1234" i="26" s="1"/>
  <c r="K1221" i="26"/>
  <c r="L1221" i="26" s="1"/>
  <c r="M1221" i="26" s="1"/>
  <c r="K1208" i="26"/>
  <c r="L1208" i="26" s="1"/>
  <c r="M1208" i="26" s="1"/>
  <c r="K1195" i="26"/>
  <c r="L1195" i="26" s="1"/>
  <c r="M1195" i="26" s="1"/>
  <c r="K1182" i="26"/>
  <c r="L1182" i="26" s="1"/>
  <c r="M1182" i="26" s="1"/>
  <c r="K1169" i="26"/>
  <c r="L1169" i="26" s="1"/>
  <c r="M1169" i="26" s="1"/>
  <c r="K1129" i="26"/>
  <c r="L1129" i="26" s="1"/>
  <c r="M1129" i="26" s="1"/>
  <c r="K1116" i="26"/>
  <c r="L1116" i="26" s="1"/>
  <c r="M1116" i="26" s="1"/>
  <c r="K1103" i="26"/>
  <c r="L1103" i="26" s="1"/>
  <c r="M1103" i="26" s="1"/>
  <c r="K1090" i="26"/>
  <c r="L1090" i="26" s="1"/>
  <c r="M1090" i="26" s="1"/>
  <c r="K1077" i="26"/>
  <c r="L1077" i="26" s="1"/>
  <c r="M1077" i="26" s="1"/>
  <c r="K1064" i="26"/>
  <c r="L1064" i="26" s="1"/>
  <c r="M1064" i="26" s="1"/>
  <c r="K1051" i="26"/>
  <c r="L1051" i="26" s="1"/>
  <c r="M1051" i="26" s="1"/>
  <c r="K1038" i="26"/>
  <c r="L1038" i="26" s="1"/>
  <c r="M1038" i="26" s="1"/>
  <c r="K1025" i="26"/>
  <c r="L1025" i="26" s="1"/>
  <c r="M1025" i="26" s="1"/>
  <c r="K999" i="26"/>
  <c r="L999" i="26" s="1"/>
  <c r="M999" i="26" s="1"/>
  <c r="K985" i="26"/>
  <c r="L985" i="26" s="1"/>
  <c r="M985" i="26" s="1"/>
  <c r="K972" i="26"/>
  <c r="L972" i="26" s="1"/>
  <c r="M972" i="26" s="1"/>
  <c r="K959" i="26"/>
  <c r="L959" i="26" s="1"/>
  <c r="M959" i="26" s="1"/>
  <c r="K946" i="26"/>
  <c r="L946" i="26" s="1"/>
  <c r="M946" i="26" s="1"/>
  <c r="K920" i="26"/>
  <c r="L920" i="26" s="1"/>
  <c r="M920" i="26" s="1"/>
  <c r="K907" i="26"/>
  <c r="L907" i="26" s="1"/>
  <c r="M907" i="26" s="1"/>
  <c r="K894" i="26"/>
  <c r="L894" i="26" s="1"/>
  <c r="M894" i="26" s="1"/>
  <c r="K881" i="26"/>
  <c r="L881" i="26" s="1"/>
  <c r="M881" i="26" s="1"/>
  <c r="K841" i="26"/>
  <c r="L841" i="26" s="1"/>
  <c r="M841" i="26" s="1"/>
  <c r="K828" i="26"/>
  <c r="L828" i="26" s="1"/>
  <c r="M828" i="26" s="1"/>
  <c r="K815" i="26"/>
  <c r="L815" i="26" s="1"/>
  <c r="M815" i="26" s="1"/>
  <c r="K802" i="26"/>
  <c r="L802" i="26" s="1"/>
  <c r="M802" i="26" s="1"/>
  <c r="K789" i="26"/>
  <c r="L789" i="26" s="1"/>
  <c r="M789" i="26" s="1"/>
  <c r="K776" i="26"/>
  <c r="L776" i="26" s="1"/>
  <c r="M776" i="26" s="1"/>
  <c r="K763" i="26"/>
  <c r="L763" i="26" s="1"/>
  <c r="M763" i="26" s="1"/>
  <c r="K750" i="26"/>
  <c r="L750" i="26" s="1"/>
  <c r="M750" i="26" s="1"/>
  <c r="K737" i="26"/>
  <c r="L737" i="26" s="1"/>
  <c r="M737" i="26" s="1"/>
  <c r="K711" i="26"/>
  <c r="L711" i="26" s="1"/>
  <c r="M711" i="26" s="1"/>
  <c r="K697" i="26"/>
  <c r="L697" i="26" s="1"/>
  <c r="M697" i="26" s="1"/>
  <c r="K684" i="26"/>
  <c r="L684" i="26" s="1"/>
  <c r="M684" i="26" s="1"/>
  <c r="K671" i="26"/>
  <c r="L671" i="26" s="1"/>
  <c r="M671" i="26" s="1"/>
  <c r="K658" i="26"/>
  <c r="L658" i="26" s="1"/>
  <c r="M658" i="26" s="1"/>
  <c r="K567" i="26"/>
  <c r="L567" i="26" s="1"/>
  <c r="M567" i="26" s="1"/>
  <c r="K553" i="26"/>
  <c r="L553" i="26" s="1"/>
  <c r="M553" i="26" s="1"/>
  <c r="K527" i="26"/>
  <c r="L527" i="26" s="1"/>
  <c r="M527" i="26" s="1"/>
  <c r="K423" i="26"/>
  <c r="L423" i="26" s="1"/>
  <c r="M423" i="26" s="1"/>
  <c r="K409" i="26"/>
  <c r="L409" i="26" s="1"/>
  <c r="M409" i="26" s="1"/>
  <c r="K383" i="26"/>
  <c r="L383" i="26" s="1"/>
  <c r="M383" i="26" s="1"/>
  <c r="K1652" i="26"/>
  <c r="L1652" i="26" s="1"/>
  <c r="M1652" i="26" s="1"/>
  <c r="K1639" i="26"/>
  <c r="L1639" i="26" s="1"/>
  <c r="M1639" i="26" s="1"/>
  <c r="K1626" i="26"/>
  <c r="L1626" i="26" s="1"/>
  <c r="M1626" i="26" s="1"/>
  <c r="K1613" i="26"/>
  <c r="L1613" i="26" s="1"/>
  <c r="M1613" i="26" s="1"/>
  <c r="K1573" i="26"/>
  <c r="L1573" i="26" s="1"/>
  <c r="M1573" i="26" s="1"/>
  <c r="K1560" i="26"/>
  <c r="L1560" i="26" s="1"/>
  <c r="M1560" i="26" s="1"/>
  <c r="K1534" i="26"/>
  <c r="L1534" i="26" s="1"/>
  <c r="M1534" i="26" s="1"/>
  <c r="K1508" i="26"/>
  <c r="L1508" i="26" s="1"/>
  <c r="M1508" i="26" s="1"/>
  <c r="K1495" i="26"/>
  <c r="L1495" i="26" s="1"/>
  <c r="M1495" i="26" s="1"/>
  <c r="K1482" i="26"/>
  <c r="L1482" i="26" s="1"/>
  <c r="M1482" i="26" s="1"/>
  <c r="K1443" i="26"/>
  <c r="L1443" i="26" s="1"/>
  <c r="M1443" i="26" s="1"/>
  <c r="K1429" i="26"/>
  <c r="L1429" i="26" s="1"/>
  <c r="M1429" i="26" s="1"/>
  <c r="K1416" i="26"/>
  <c r="L1416" i="26" s="1"/>
  <c r="M1416" i="26" s="1"/>
  <c r="K1390" i="26"/>
  <c r="L1390" i="26" s="1"/>
  <c r="M1390" i="26" s="1"/>
  <c r="K1377" i="26"/>
  <c r="L1377" i="26" s="1"/>
  <c r="M1377" i="26" s="1"/>
  <c r="K1364" i="26"/>
  <c r="L1364" i="26" s="1"/>
  <c r="M1364" i="26" s="1"/>
  <c r="K1351" i="26"/>
  <c r="L1351" i="26" s="1"/>
  <c r="M1351" i="26" s="1"/>
  <c r="K1338" i="26"/>
  <c r="L1338" i="26" s="1"/>
  <c r="M1338" i="26" s="1"/>
  <c r="K1299" i="26"/>
  <c r="L1299" i="26" s="1"/>
  <c r="M1299" i="26" s="1"/>
  <c r="K1285" i="26"/>
  <c r="L1285" i="26" s="1"/>
  <c r="M1285" i="26" s="1"/>
  <c r="K1272" i="26"/>
  <c r="L1272" i="26" s="1"/>
  <c r="M1272" i="26" s="1"/>
  <c r="K1259" i="26"/>
  <c r="L1259" i="26" s="1"/>
  <c r="M1259" i="26" s="1"/>
  <c r="K1246" i="26"/>
  <c r="L1246" i="26" s="1"/>
  <c r="M1246" i="26" s="1"/>
  <c r="K1233" i="26"/>
  <c r="L1233" i="26" s="1"/>
  <c r="M1233" i="26" s="1"/>
  <c r="K1220" i="26"/>
  <c r="L1220" i="26" s="1"/>
  <c r="M1220" i="26" s="1"/>
  <c r="K1207" i="26"/>
  <c r="L1207" i="26" s="1"/>
  <c r="M1207" i="26" s="1"/>
  <c r="K1194" i="26"/>
  <c r="L1194" i="26" s="1"/>
  <c r="M1194" i="26" s="1"/>
  <c r="K1181" i="26"/>
  <c r="L1181" i="26" s="1"/>
  <c r="M1181" i="26" s="1"/>
  <c r="K1155" i="26"/>
  <c r="L1155" i="26" s="1"/>
  <c r="M1155" i="26" s="1"/>
  <c r="K1141" i="26"/>
  <c r="L1141" i="26" s="1"/>
  <c r="M1141" i="26" s="1"/>
  <c r="K1128" i="26"/>
  <c r="L1128" i="26" s="1"/>
  <c r="M1128" i="26" s="1"/>
  <c r="K1115" i="26"/>
  <c r="L1115" i="26" s="1"/>
  <c r="M1115" i="26" s="1"/>
  <c r="K1102" i="26"/>
  <c r="L1102" i="26" s="1"/>
  <c r="M1102" i="26" s="1"/>
  <c r="K1089" i="26"/>
  <c r="L1089" i="26" s="1"/>
  <c r="M1089" i="26" s="1"/>
  <c r="K1076" i="26"/>
  <c r="L1076" i="26" s="1"/>
  <c r="M1076" i="26" s="1"/>
  <c r="K1063" i="26"/>
  <c r="L1063" i="26" s="1"/>
  <c r="M1063" i="26" s="1"/>
  <c r="K1050" i="26"/>
  <c r="L1050" i="26" s="1"/>
  <c r="M1050" i="26" s="1"/>
  <c r="K1037" i="26"/>
  <c r="L1037" i="26" s="1"/>
  <c r="M1037" i="26" s="1"/>
  <c r="K997" i="26"/>
  <c r="L997" i="26" s="1"/>
  <c r="M997" i="26" s="1"/>
  <c r="K984" i="26"/>
  <c r="L984" i="26" s="1"/>
  <c r="M984" i="26" s="1"/>
  <c r="K971" i="26"/>
  <c r="L971" i="26" s="1"/>
  <c r="M971" i="26" s="1"/>
  <c r="K958" i="26"/>
  <c r="L958" i="26" s="1"/>
  <c r="M958" i="26" s="1"/>
  <c r="K945" i="26"/>
  <c r="L945" i="26" s="1"/>
  <c r="M945" i="26" s="1"/>
  <c r="K932" i="26"/>
  <c r="L932" i="26" s="1"/>
  <c r="M932" i="26" s="1"/>
  <c r="K919" i="26"/>
  <c r="L919" i="26" s="1"/>
  <c r="M919" i="26" s="1"/>
  <c r="K906" i="26"/>
  <c r="L906" i="26" s="1"/>
  <c r="M906" i="26" s="1"/>
  <c r="K893" i="26"/>
  <c r="L893" i="26" s="1"/>
  <c r="M893" i="26" s="1"/>
  <c r="K853" i="26"/>
  <c r="L853" i="26" s="1"/>
  <c r="M853" i="26" s="1"/>
  <c r="K840" i="26"/>
  <c r="L840" i="26" s="1"/>
  <c r="M840" i="26" s="1"/>
  <c r="K827" i="26"/>
  <c r="L827" i="26" s="1"/>
  <c r="M827" i="26" s="1"/>
  <c r="K814" i="26"/>
  <c r="L814" i="26" s="1"/>
  <c r="M814" i="26" s="1"/>
  <c r="K801" i="26"/>
  <c r="L801" i="26" s="1"/>
  <c r="M801" i="26" s="1"/>
  <c r="K788" i="26"/>
  <c r="L788" i="26" s="1"/>
  <c r="M788" i="26" s="1"/>
  <c r="K775" i="26"/>
  <c r="L775" i="26" s="1"/>
  <c r="M775" i="26" s="1"/>
  <c r="K762" i="26"/>
  <c r="L762" i="26" s="1"/>
  <c r="M762" i="26" s="1"/>
  <c r="K749" i="26"/>
  <c r="L749" i="26" s="1"/>
  <c r="M749" i="26" s="1"/>
  <c r="K709" i="26"/>
  <c r="L709" i="26" s="1"/>
  <c r="M709" i="26" s="1"/>
  <c r="K696" i="26"/>
  <c r="L696" i="26" s="1"/>
  <c r="M696" i="26" s="1"/>
  <c r="K683" i="26"/>
  <c r="L683" i="26" s="1"/>
  <c r="M683" i="26" s="1"/>
  <c r="K670" i="26"/>
  <c r="L670" i="26" s="1"/>
  <c r="M670" i="26" s="1"/>
  <c r="K657" i="26"/>
  <c r="L657" i="26" s="1"/>
  <c r="M657" i="26" s="1"/>
  <c r="K579" i="26"/>
  <c r="L579" i="26" s="1"/>
  <c r="M579" i="26" s="1"/>
  <c r="K565" i="26"/>
  <c r="L565" i="26" s="1"/>
  <c r="M565" i="26" s="1"/>
  <c r="K539" i="26"/>
  <c r="L539" i="26" s="1"/>
  <c r="M539" i="26" s="1"/>
  <c r="K435" i="26"/>
  <c r="L435" i="26" s="1"/>
  <c r="M435" i="26" s="1"/>
  <c r="K421" i="26"/>
  <c r="L421" i="26" s="1"/>
  <c r="M421" i="26" s="1"/>
  <c r="K395" i="26"/>
  <c r="L395" i="26" s="1"/>
  <c r="M395" i="26" s="1"/>
  <c r="K1271" i="26"/>
  <c r="L1271" i="26" s="1"/>
  <c r="M1271" i="26" s="1"/>
  <c r="K1258" i="26"/>
  <c r="L1258" i="26" s="1"/>
  <c r="M1258" i="26" s="1"/>
  <c r="K1245" i="26"/>
  <c r="L1245" i="26" s="1"/>
  <c r="M1245" i="26" s="1"/>
  <c r="K1232" i="26"/>
  <c r="L1232" i="26" s="1"/>
  <c r="M1232" i="26" s="1"/>
  <c r="K1219" i="26"/>
  <c r="L1219" i="26" s="1"/>
  <c r="M1219" i="26" s="1"/>
  <c r="K1206" i="26"/>
  <c r="L1206" i="26" s="1"/>
  <c r="M1206" i="26" s="1"/>
  <c r="K1193" i="26"/>
  <c r="L1193" i="26" s="1"/>
  <c r="M1193" i="26" s="1"/>
  <c r="K1153" i="26"/>
  <c r="L1153" i="26" s="1"/>
  <c r="M1153" i="26" s="1"/>
  <c r="K1140" i="26"/>
  <c r="L1140" i="26" s="1"/>
  <c r="M1140" i="26" s="1"/>
  <c r="K1127" i="26"/>
  <c r="L1127" i="26" s="1"/>
  <c r="M1127" i="26" s="1"/>
  <c r="K1114" i="26"/>
  <c r="L1114" i="26" s="1"/>
  <c r="M1114" i="26" s="1"/>
  <c r="K1101" i="26"/>
  <c r="L1101" i="26" s="1"/>
  <c r="M1101" i="26" s="1"/>
  <c r="K1088" i="26"/>
  <c r="L1088" i="26" s="1"/>
  <c r="M1088" i="26" s="1"/>
  <c r="K1075" i="26"/>
  <c r="L1075" i="26" s="1"/>
  <c r="M1075" i="26" s="1"/>
  <c r="K1062" i="26"/>
  <c r="L1062" i="26" s="1"/>
  <c r="M1062" i="26" s="1"/>
  <c r="K1049" i="26"/>
  <c r="L1049" i="26" s="1"/>
  <c r="M1049" i="26" s="1"/>
  <c r="K1023" i="26"/>
  <c r="L1023" i="26" s="1"/>
  <c r="M1023" i="26" s="1"/>
  <c r="K1009" i="26"/>
  <c r="L1009" i="26" s="1"/>
  <c r="M1009" i="26" s="1"/>
  <c r="K996" i="26"/>
  <c r="L996" i="26" s="1"/>
  <c r="M996" i="26" s="1"/>
  <c r="K983" i="26"/>
  <c r="L983" i="26" s="1"/>
  <c r="M983" i="26" s="1"/>
  <c r="K970" i="26"/>
  <c r="L970" i="26" s="1"/>
  <c r="M970" i="26" s="1"/>
  <c r="K957" i="26"/>
  <c r="L957" i="26" s="1"/>
  <c r="M957" i="26" s="1"/>
  <c r="K944" i="26"/>
  <c r="L944" i="26" s="1"/>
  <c r="M944" i="26" s="1"/>
  <c r="K931" i="26"/>
  <c r="L931" i="26" s="1"/>
  <c r="M931" i="26" s="1"/>
  <c r="K918" i="26"/>
  <c r="L918" i="26" s="1"/>
  <c r="M918" i="26" s="1"/>
  <c r="K905" i="26"/>
  <c r="L905" i="26" s="1"/>
  <c r="M905" i="26" s="1"/>
  <c r="K879" i="26"/>
  <c r="L879" i="26" s="1"/>
  <c r="M879" i="26" s="1"/>
  <c r="K865" i="26"/>
  <c r="L865" i="26" s="1"/>
  <c r="M865" i="26" s="1"/>
  <c r="K852" i="26"/>
  <c r="L852" i="26" s="1"/>
  <c r="M852" i="26" s="1"/>
  <c r="K839" i="26"/>
  <c r="L839" i="26" s="1"/>
  <c r="M839" i="26" s="1"/>
  <c r="K826" i="26"/>
  <c r="L826" i="26" s="1"/>
  <c r="M826" i="26" s="1"/>
  <c r="K813" i="26"/>
  <c r="L813" i="26" s="1"/>
  <c r="M813" i="26" s="1"/>
  <c r="K800" i="26"/>
  <c r="L800" i="26" s="1"/>
  <c r="M800" i="26" s="1"/>
  <c r="K787" i="26"/>
  <c r="L787" i="26" s="1"/>
  <c r="M787" i="26" s="1"/>
  <c r="K774" i="26"/>
  <c r="L774" i="26" s="1"/>
  <c r="M774" i="26" s="1"/>
  <c r="K761" i="26"/>
  <c r="L761" i="26" s="1"/>
  <c r="M761" i="26" s="1"/>
  <c r="K735" i="26"/>
  <c r="L735" i="26" s="1"/>
  <c r="M735" i="26" s="1"/>
  <c r="K721" i="26"/>
  <c r="L721" i="26" s="1"/>
  <c r="M721" i="26" s="1"/>
  <c r="K708" i="26"/>
  <c r="L708" i="26" s="1"/>
  <c r="M708" i="26" s="1"/>
  <c r="K695" i="26"/>
  <c r="L695" i="26" s="1"/>
  <c r="M695" i="26" s="1"/>
  <c r="K682" i="26"/>
  <c r="L682" i="26" s="1"/>
  <c r="M682" i="26" s="1"/>
  <c r="K669" i="26"/>
  <c r="L669" i="26" s="1"/>
  <c r="M669" i="26" s="1"/>
  <c r="K591" i="26"/>
  <c r="L591" i="26" s="1"/>
  <c r="M591" i="26" s="1"/>
  <c r="K577" i="26"/>
  <c r="L577" i="26" s="1"/>
  <c r="M577" i="26" s="1"/>
  <c r="K551" i="26"/>
  <c r="L551" i="26" s="1"/>
  <c r="M551" i="26" s="1"/>
  <c r="K447" i="26"/>
  <c r="L447" i="26" s="1"/>
  <c r="M447" i="26" s="1"/>
  <c r="K433" i="26"/>
  <c r="L433" i="26" s="1"/>
  <c r="M433" i="26" s="1"/>
  <c r="K407" i="26"/>
  <c r="L407" i="26" s="1"/>
  <c r="M407" i="26" s="1"/>
  <c r="K1646" i="26"/>
  <c r="L1646" i="26" s="1"/>
  <c r="M1646" i="26" s="1"/>
  <c r="N1646" i="26"/>
  <c r="N1634" i="26"/>
  <c r="K1634" i="26" s="1"/>
  <c r="L1634" i="26" s="1"/>
  <c r="M1634" i="26" s="1"/>
  <c r="N1622" i="26"/>
  <c r="K1622" i="26" s="1"/>
  <c r="L1622" i="26" s="1"/>
  <c r="M1622" i="26" s="1"/>
  <c r="K1610" i="26"/>
  <c r="L1610" i="26" s="1"/>
  <c r="M1610" i="26" s="1"/>
  <c r="N1610" i="26"/>
  <c r="N1598" i="26"/>
  <c r="K1598" i="26" s="1"/>
  <c r="L1598" i="26" s="1"/>
  <c r="M1598" i="26" s="1"/>
  <c r="N1586" i="26"/>
  <c r="K1586" i="26" s="1"/>
  <c r="L1586" i="26" s="1"/>
  <c r="M1586" i="26" s="1"/>
  <c r="K1574" i="26"/>
  <c r="L1574" i="26" s="1"/>
  <c r="M1574" i="26" s="1"/>
  <c r="N1574" i="26"/>
  <c r="N1562" i="26"/>
  <c r="K1562" i="26" s="1"/>
  <c r="L1562" i="26" s="1"/>
  <c r="M1562" i="26" s="1"/>
  <c r="N1550" i="26"/>
  <c r="K1550" i="26" s="1"/>
  <c r="L1550" i="26" s="1"/>
  <c r="M1550" i="26" s="1"/>
  <c r="K1538" i="26"/>
  <c r="L1538" i="26" s="1"/>
  <c r="M1538" i="26" s="1"/>
  <c r="N1538" i="26"/>
  <c r="N1526" i="26"/>
  <c r="K1526" i="26" s="1"/>
  <c r="L1526" i="26" s="1"/>
  <c r="M1526" i="26" s="1"/>
  <c r="N1514" i="26"/>
  <c r="K1514" i="26" s="1"/>
  <c r="L1514" i="26" s="1"/>
  <c r="M1514" i="26" s="1"/>
  <c r="K1502" i="26"/>
  <c r="L1502" i="26" s="1"/>
  <c r="M1502" i="26" s="1"/>
  <c r="N1502" i="26"/>
  <c r="N1490" i="26"/>
  <c r="K1490" i="26" s="1"/>
  <c r="L1490" i="26" s="1"/>
  <c r="M1490" i="26" s="1"/>
  <c r="N1478" i="26"/>
  <c r="K1478" i="26" s="1"/>
  <c r="L1478" i="26" s="1"/>
  <c r="M1478" i="26" s="1"/>
  <c r="K1466" i="26"/>
  <c r="L1466" i="26" s="1"/>
  <c r="M1466" i="26" s="1"/>
  <c r="N1466" i="26"/>
  <c r="N1454" i="26"/>
  <c r="K1454" i="26" s="1"/>
  <c r="L1454" i="26" s="1"/>
  <c r="M1454" i="26" s="1"/>
  <c r="N1442" i="26"/>
  <c r="K1442" i="26" s="1"/>
  <c r="L1442" i="26" s="1"/>
  <c r="M1442" i="26" s="1"/>
  <c r="K1430" i="26"/>
  <c r="L1430" i="26" s="1"/>
  <c r="M1430" i="26" s="1"/>
  <c r="N1430" i="26"/>
  <c r="N1418" i="26"/>
  <c r="K1418" i="26" s="1"/>
  <c r="L1418" i="26" s="1"/>
  <c r="M1418" i="26" s="1"/>
  <c r="N1406" i="26"/>
  <c r="K1406" i="26" s="1"/>
  <c r="L1406" i="26" s="1"/>
  <c r="M1406" i="26" s="1"/>
  <c r="K1394" i="26"/>
  <c r="L1394" i="26" s="1"/>
  <c r="M1394" i="26" s="1"/>
  <c r="N1394" i="26"/>
  <c r="N1382" i="26"/>
  <c r="K1382" i="26" s="1"/>
  <c r="L1382" i="26" s="1"/>
  <c r="M1382" i="26" s="1"/>
  <c r="N1370" i="26"/>
  <c r="K1370" i="26" s="1"/>
  <c r="L1370" i="26" s="1"/>
  <c r="M1370" i="26" s="1"/>
  <c r="K1358" i="26"/>
  <c r="L1358" i="26" s="1"/>
  <c r="M1358" i="26" s="1"/>
  <c r="N1358" i="26"/>
  <c r="N1346" i="26"/>
  <c r="K1346" i="26" s="1"/>
  <c r="L1346" i="26" s="1"/>
  <c r="M1346" i="26" s="1"/>
  <c r="N1334" i="26"/>
  <c r="K1334" i="26" s="1"/>
  <c r="L1334" i="26" s="1"/>
  <c r="M1334" i="26" s="1"/>
  <c r="K1322" i="26"/>
  <c r="L1322" i="26" s="1"/>
  <c r="M1322" i="26" s="1"/>
  <c r="N1322" i="26"/>
  <c r="N1310" i="26"/>
  <c r="K1310" i="26" s="1"/>
  <c r="L1310" i="26" s="1"/>
  <c r="M1310" i="26" s="1"/>
  <c r="N1298" i="26"/>
  <c r="K1298" i="26" s="1"/>
  <c r="L1298" i="26" s="1"/>
  <c r="M1298" i="26" s="1"/>
  <c r="K1286" i="26"/>
  <c r="L1286" i="26" s="1"/>
  <c r="M1286" i="26" s="1"/>
  <c r="N1286" i="26"/>
  <c r="N1274" i="26"/>
  <c r="K1274" i="26" s="1"/>
  <c r="L1274" i="26" s="1"/>
  <c r="M1274" i="26" s="1"/>
  <c r="N1262" i="26"/>
  <c r="K1262" i="26" s="1"/>
  <c r="L1262" i="26" s="1"/>
  <c r="M1262" i="26" s="1"/>
  <c r="K1250" i="26"/>
  <c r="L1250" i="26" s="1"/>
  <c r="M1250" i="26" s="1"/>
  <c r="N1250" i="26"/>
  <c r="N1238" i="26"/>
  <c r="K1238" i="26" s="1"/>
  <c r="L1238" i="26" s="1"/>
  <c r="M1238" i="26" s="1"/>
  <c r="N1226" i="26"/>
  <c r="K1226" i="26" s="1"/>
  <c r="L1226" i="26" s="1"/>
  <c r="M1226" i="26" s="1"/>
  <c r="K1214" i="26"/>
  <c r="L1214" i="26" s="1"/>
  <c r="M1214" i="26" s="1"/>
  <c r="N1214" i="26"/>
  <c r="N1202" i="26"/>
  <c r="K1202" i="26" s="1"/>
  <c r="L1202" i="26" s="1"/>
  <c r="M1202" i="26" s="1"/>
  <c r="N1190" i="26"/>
  <c r="K1190" i="26" s="1"/>
  <c r="L1190" i="26" s="1"/>
  <c r="M1190" i="26" s="1"/>
  <c r="K1178" i="26"/>
  <c r="L1178" i="26" s="1"/>
  <c r="M1178" i="26" s="1"/>
  <c r="N1178" i="26"/>
  <c r="N1166" i="26"/>
  <c r="K1166" i="26" s="1"/>
  <c r="L1166" i="26" s="1"/>
  <c r="M1166" i="26" s="1"/>
  <c r="N1154" i="26"/>
  <c r="K1154" i="26" s="1"/>
  <c r="L1154" i="26" s="1"/>
  <c r="M1154" i="26" s="1"/>
  <c r="K1142" i="26"/>
  <c r="L1142" i="26" s="1"/>
  <c r="M1142" i="26" s="1"/>
  <c r="N1142" i="26"/>
  <c r="N1130" i="26"/>
  <c r="K1130" i="26" s="1"/>
  <c r="L1130" i="26" s="1"/>
  <c r="M1130" i="26" s="1"/>
  <c r="N1118" i="26"/>
  <c r="K1118" i="26" s="1"/>
  <c r="L1118" i="26" s="1"/>
  <c r="M1118" i="26" s="1"/>
  <c r="K1106" i="26"/>
  <c r="L1106" i="26" s="1"/>
  <c r="M1106" i="26" s="1"/>
  <c r="N1106" i="26"/>
  <c r="N1094" i="26"/>
  <c r="K1094" i="26" s="1"/>
  <c r="L1094" i="26" s="1"/>
  <c r="M1094" i="26" s="1"/>
  <c r="N1082" i="26"/>
  <c r="K1082" i="26" s="1"/>
  <c r="L1082" i="26" s="1"/>
  <c r="M1082" i="26" s="1"/>
  <c r="K1070" i="26"/>
  <c r="L1070" i="26" s="1"/>
  <c r="M1070" i="26" s="1"/>
  <c r="N1070" i="26"/>
  <c r="N1058" i="26"/>
  <c r="K1058" i="26" s="1"/>
  <c r="L1058" i="26" s="1"/>
  <c r="M1058" i="26" s="1"/>
  <c r="N1046" i="26"/>
  <c r="K1046" i="26" s="1"/>
  <c r="L1046" i="26" s="1"/>
  <c r="M1046" i="26" s="1"/>
  <c r="K1034" i="26"/>
  <c r="L1034" i="26" s="1"/>
  <c r="M1034" i="26" s="1"/>
  <c r="N1034" i="26"/>
  <c r="N1022" i="26"/>
  <c r="K1022" i="26" s="1"/>
  <c r="L1022" i="26" s="1"/>
  <c r="M1022" i="26" s="1"/>
  <c r="N1010" i="26"/>
  <c r="K1010" i="26" s="1"/>
  <c r="L1010" i="26" s="1"/>
  <c r="M1010" i="26" s="1"/>
  <c r="K998" i="26"/>
  <c r="L998" i="26" s="1"/>
  <c r="M998" i="26" s="1"/>
  <c r="N998" i="26"/>
  <c r="N986" i="26"/>
  <c r="K986" i="26" s="1"/>
  <c r="L986" i="26" s="1"/>
  <c r="M986" i="26" s="1"/>
  <c r="N974" i="26"/>
  <c r="K974" i="26" s="1"/>
  <c r="L974" i="26" s="1"/>
  <c r="M974" i="26" s="1"/>
  <c r="K962" i="26"/>
  <c r="L962" i="26" s="1"/>
  <c r="M962" i="26" s="1"/>
  <c r="N962" i="26"/>
  <c r="N950" i="26"/>
  <c r="K950" i="26" s="1"/>
  <c r="L950" i="26" s="1"/>
  <c r="M950" i="26" s="1"/>
  <c r="N938" i="26"/>
  <c r="K938" i="26" s="1"/>
  <c r="L938" i="26" s="1"/>
  <c r="M938" i="26" s="1"/>
  <c r="K926" i="26"/>
  <c r="L926" i="26" s="1"/>
  <c r="M926" i="26" s="1"/>
  <c r="N926" i="26"/>
  <c r="N914" i="26"/>
  <c r="K914" i="26" s="1"/>
  <c r="L914" i="26" s="1"/>
  <c r="M914" i="26" s="1"/>
  <c r="N902" i="26"/>
  <c r="K902" i="26" s="1"/>
  <c r="L902" i="26" s="1"/>
  <c r="M902" i="26" s="1"/>
  <c r="K890" i="26"/>
  <c r="L890" i="26" s="1"/>
  <c r="M890" i="26" s="1"/>
  <c r="N890" i="26"/>
  <c r="N878" i="26"/>
  <c r="K878" i="26" s="1"/>
  <c r="L878" i="26" s="1"/>
  <c r="M878" i="26" s="1"/>
  <c r="N866" i="26"/>
  <c r="K866" i="26" s="1"/>
  <c r="L866" i="26" s="1"/>
  <c r="M866" i="26" s="1"/>
  <c r="K854" i="26"/>
  <c r="L854" i="26" s="1"/>
  <c r="M854" i="26" s="1"/>
  <c r="N854" i="26"/>
  <c r="N842" i="26"/>
  <c r="K842" i="26" s="1"/>
  <c r="L842" i="26" s="1"/>
  <c r="M842" i="26" s="1"/>
  <c r="N830" i="26"/>
  <c r="K830" i="26" s="1"/>
  <c r="L830" i="26" s="1"/>
  <c r="M830" i="26" s="1"/>
  <c r="K818" i="26"/>
  <c r="L818" i="26" s="1"/>
  <c r="M818" i="26" s="1"/>
  <c r="N818" i="26"/>
  <c r="N806" i="26"/>
  <c r="K806" i="26" s="1"/>
  <c r="L806" i="26" s="1"/>
  <c r="M806" i="26" s="1"/>
  <c r="N794" i="26"/>
  <c r="K794" i="26" s="1"/>
  <c r="L794" i="26" s="1"/>
  <c r="M794" i="26" s="1"/>
  <c r="K782" i="26"/>
  <c r="L782" i="26" s="1"/>
  <c r="M782" i="26" s="1"/>
  <c r="N782" i="26"/>
  <c r="N770" i="26"/>
  <c r="K770" i="26" s="1"/>
  <c r="L770" i="26" s="1"/>
  <c r="M770" i="26" s="1"/>
  <c r="N758" i="26"/>
  <c r="K758" i="26" s="1"/>
  <c r="L758" i="26" s="1"/>
  <c r="M758" i="26" s="1"/>
  <c r="K746" i="26"/>
  <c r="L746" i="26" s="1"/>
  <c r="M746" i="26" s="1"/>
  <c r="N746" i="26"/>
  <c r="N734" i="26"/>
  <c r="K734" i="26" s="1"/>
  <c r="L734" i="26" s="1"/>
  <c r="M734" i="26" s="1"/>
  <c r="N722" i="26"/>
  <c r="K722" i="26" s="1"/>
  <c r="L722" i="26" s="1"/>
  <c r="M722" i="26" s="1"/>
  <c r="K710" i="26"/>
  <c r="L710" i="26" s="1"/>
  <c r="M710" i="26" s="1"/>
  <c r="N710" i="26"/>
  <c r="N698" i="26"/>
  <c r="K698" i="26" s="1"/>
  <c r="L698" i="26" s="1"/>
  <c r="M698" i="26" s="1"/>
  <c r="N686" i="26"/>
  <c r="K686" i="26" s="1"/>
  <c r="L686" i="26" s="1"/>
  <c r="M686" i="26" s="1"/>
  <c r="K674" i="26"/>
  <c r="L674" i="26" s="1"/>
  <c r="M674" i="26" s="1"/>
  <c r="N674" i="26"/>
  <c r="N662" i="26"/>
  <c r="K662" i="26" s="1"/>
  <c r="L662" i="26" s="1"/>
  <c r="M662" i="26" s="1"/>
  <c r="N650" i="26"/>
  <c r="K650" i="26" s="1"/>
  <c r="L650" i="26" s="1"/>
  <c r="M650" i="26" s="1"/>
  <c r="K638" i="26"/>
  <c r="L638" i="26" s="1"/>
  <c r="M638" i="26" s="1"/>
  <c r="N638" i="26"/>
  <c r="N626" i="26"/>
  <c r="K626" i="26" s="1"/>
  <c r="L626" i="26" s="1"/>
  <c r="M626" i="26" s="1"/>
  <c r="N614" i="26"/>
  <c r="K614" i="26" s="1"/>
  <c r="L614" i="26" s="1"/>
  <c r="M614" i="26" s="1"/>
  <c r="K602" i="26"/>
  <c r="L602" i="26" s="1"/>
  <c r="M602" i="26" s="1"/>
  <c r="N602" i="26"/>
  <c r="N590" i="26"/>
  <c r="K590" i="26" s="1"/>
  <c r="L590" i="26" s="1"/>
  <c r="M590" i="26" s="1"/>
  <c r="N578" i="26"/>
  <c r="K578" i="26" s="1"/>
  <c r="L578" i="26" s="1"/>
  <c r="M578" i="26" s="1"/>
  <c r="K566" i="26"/>
  <c r="L566" i="26" s="1"/>
  <c r="M566" i="26" s="1"/>
  <c r="N566" i="26"/>
  <c r="N554" i="26"/>
  <c r="K554" i="26" s="1"/>
  <c r="L554" i="26" s="1"/>
  <c r="M554" i="26" s="1"/>
  <c r="N542" i="26"/>
  <c r="K542" i="26" s="1"/>
  <c r="L542" i="26" s="1"/>
  <c r="M542" i="26" s="1"/>
  <c r="K530" i="26"/>
  <c r="L530" i="26" s="1"/>
  <c r="M530" i="26" s="1"/>
  <c r="N530" i="26"/>
  <c r="N518" i="26"/>
  <c r="K518" i="26" s="1"/>
  <c r="L518" i="26" s="1"/>
  <c r="M518" i="26" s="1"/>
  <c r="N506" i="26"/>
  <c r="K506" i="26" s="1"/>
  <c r="L506" i="26" s="1"/>
  <c r="M506" i="26" s="1"/>
  <c r="K494" i="26"/>
  <c r="L494" i="26" s="1"/>
  <c r="M494" i="26" s="1"/>
  <c r="N494" i="26"/>
  <c r="N482" i="26"/>
  <c r="K482" i="26" s="1"/>
  <c r="L482" i="26" s="1"/>
  <c r="M482" i="26" s="1"/>
  <c r="N470" i="26"/>
  <c r="K470" i="26" s="1"/>
  <c r="L470" i="26" s="1"/>
  <c r="M470" i="26" s="1"/>
  <c r="K458" i="26"/>
  <c r="L458" i="26" s="1"/>
  <c r="M458" i="26" s="1"/>
  <c r="N458" i="26"/>
  <c r="N446" i="26"/>
  <c r="K446" i="26" s="1"/>
  <c r="L446" i="26" s="1"/>
  <c r="M446" i="26" s="1"/>
  <c r="K1650" i="26"/>
  <c r="L1650" i="26" s="1"/>
  <c r="M1650" i="26" s="1"/>
  <c r="K1597" i="26"/>
  <c r="L1597" i="26" s="1"/>
  <c r="M1597" i="26" s="1"/>
  <c r="K1558" i="26"/>
  <c r="L1558" i="26" s="1"/>
  <c r="M1558" i="26" s="1"/>
  <c r="K1532" i="26"/>
  <c r="L1532" i="26" s="1"/>
  <c r="M1532" i="26" s="1"/>
  <c r="K1519" i="26"/>
  <c r="L1519" i="26" s="1"/>
  <c r="M1519" i="26" s="1"/>
  <c r="K1506" i="26"/>
  <c r="L1506" i="26" s="1"/>
  <c r="M1506" i="26" s="1"/>
  <c r="K1453" i="26"/>
  <c r="L1453" i="26" s="1"/>
  <c r="M1453" i="26" s="1"/>
  <c r="K1440" i="26"/>
  <c r="L1440" i="26" s="1"/>
  <c r="M1440" i="26" s="1"/>
  <c r="K1427" i="26"/>
  <c r="L1427" i="26" s="1"/>
  <c r="M1427" i="26" s="1"/>
  <c r="K1414" i="26"/>
  <c r="L1414" i="26" s="1"/>
  <c r="M1414" i="26" s="1"/>
  <c r="K1388" i="26"/>
  <c r="L1388" i="26" s="1"/>
  <c r="M1388" i="26" s="1"/>
  <c r="K1375" i="26"/>
  <c r="L1375" i="26" s="1"/>
  <c r="M1375" i="26" s="1"/>
  <c r="K1362" i="26"/>
  <c r="L1362" i="26" s="1"/>
  <c r="M1362" i="26" s="1"/>
  <c r="K1309" i="26"/>
  <c r="L1309" i="26" s="1"/>
  <c r="M1309" i="26" s="1"/>
  <c r="K1296" i="26"/>
  <c r="L1296" i="26" s="1"/>
  <c r="M1296" i="26" s="1"/>
  <c r="K1283" i="26"/>
  <c r="L1283" i="26" s="1"/>
  <c r="M1283" i="26" s="1"/>
  <c r="K1270" i="26"/>
  <c r="L1270" i="26" s="1"/>
  <c r="M1270" i="26" s="1"/>
  <c r="K1244" i="26"/>
  <c r="L1244" i="26" s="1"/>
  <c r="M1244" i="26" s="1"/>
  <c r="K1231" i="26"/>
  <c r="L1231" i="26" s="1"/>
  <c r="M1231" i="26" s="1"/>
  <c r="K1218" i="26"/>
  <c r="L1218" i="26" s="1"/>
  <c r="M1218" i="26" s="1"/>
  <c r="K1205" i="26"/>
  <c r="L1205" i="26" s="1"/>
  <c r="M1205" i="26" s="1"/>
  <c r="K1165" i="26"/>
  <c r="L1165" i="26" s="1"/>
  <c r="M1165" i="26" s="1"/>
  <c r="K1152" i="26"/>
  <c r="L1152" i="26" s="1"/>
  <c r="M1152" i="26" s="1"/>
  <c r="K1139" i="26"/>
  <c r="L1139" i="26" s="1"/>
  <c r="M1139" i="26" s="1"/>
  <c r="K1126" i="26"/>
  <c r="L1126" i="26" s="1"/>
  <c r="M1126" i="26" s="1"/>
  <c r="K1113" i="26"/>
  <c r="L1113" i="26" s="1"/>
  <c r="M1113" i="26" s="1"/>
  <c r="K1100" i="26"/>
  <c r="L1100" i="26" s="1"/>
  <c r="M1100" i="26" s="1"/>
  <c r="K1087" i="26"/>
  <c r="L1087" i="26" s="1"/>
  <c r="M1087" i="26" s="1"/>
  <c r="K1074" i="26"/>
  <c r="L1074" i="26" s="1"/>
  <c r="M1074" i="26" s="1"/>
  <c r="K1061" i="26"/>
  <c r="L1061" i="26" s="1"/>
  <c r="M1061" i="26" s="1"/>
  <c r="K1035" i="26"/>
  <c r="L1035" i="26" s="1"/>
  <c r="M1035" i="26" s="1"/>
  <c r="K1021" i="26"/>
  <c r="L1021" i="26" s="1"/>
  <c r="M1021" i="26" s="1"/>
  <c r="K1008" i="26"/>
  <c r="L1008" i="26" s="1"/>
  <c r="M1008" i="26" s="1"/>
  <c r="K995" i="26"/>
  <c r="L995" i="26" s="1"/>
  <c r="M995" i="26" s="1"/>
  <c r="K982" i="26"/>
  <c r="L982" i="26" s="1"/>
  <c r="M982" i="26" s="1"/>
  <c r="K956" i="26"/>
  <c r="L956" i="26" s="1"/>
  <c r="M956" i="26" s="1"/>
  <c r="K943" i="26"/>
  <c r="L943" i="26" s="1"/>
  <c r="M943" i="26" s="1"/>
  <c r="K930" i="26"/>
  <c r="L930" i="26" s="1"/>
  <c r="M930" i="26" s="1"/>
  <c r="K917" i="26"/>
  <c r="L917" i="26" s="1"/>
  <c r="M917" i="26" s="1"/>
  <c r="K877" i="26"/>
  <c r="L877" i="26" s="1"/>
  <c r="M877" i="26" s="1"/>
  <c r="K864" i="26"/>
  <c r="L864" i="26" s="1"/>
  <c r="M864" i="26" s="1"/>
  <c r="K851" i="26"/>
  <c r="L851" i="26" s="1"/>
  <c r="M851" i="26" s="1"/>
  <c r="K838" i="26"/>
  <c r="L838" i="26" s="1"/>
  <c r="M838" i="26" s="1"/>
  <c r="K825" i="26"/>
  <c r="L825" i="26" s="1"/>
  <c r="M825" i="26" s="1"/>
  <c r="K812" i="26"/>
  <c r="L812" i="26" s="1"/>
  <c r="M812" i="26" s="1"/>
  <c r="K799" i="26"/>
  <c r="L799" i="26" s="1"/>
  <c r="M799" i="26" s="1"/>
  <c r="K786" i="26"/>
  <c r="L786" i="26" s="1"/>
  <c r="M786" i="26" s="1"/>
  <c r="K773" i="26"/>
  <c r="L773" i="26" s="1"/>
  <c r="M773" i="26" s="1"/>
  <c r="K747" i="26"/>
  <c r="L747" i="26" s="1"/>
  <c r="M747" i="26" s="1"/>
  <c r="K733" i="26"/>
  <c r="L733" i="26" s="1"/>
  <c r="M733" i="26" s="1"/>
  <c r="K720" i="26"/>
  <c r="L720" i="26" s="1"/>
  <c r="M720" i="26" s="1"/>
  <c r="K707" i="26"/>
  <c r="L707" i="26" s="1"/>
  <c r="M707" i="26" s="1"/>
  <c r="K694" i="26"/>
  <c r="L694" i="26" s="1"/>
  <c r="M694" i="26" s="1"/>
  <c r="K681" i="26"/>
  <c r="L681" i="26" s="1"/>
  <c r="M681" i="26" s="1"/>
  <c r="K668" i="26"/>
  <c r="L668" i="26" s="1"/>
  <c r="M668" i="26" s="1"/>
  <c r="K655" i="26"/>
  <c r="L655" i="26" s="1"/>
  <c r="M655" i="26" s="1"/>
  <c r="K642" i="26"/>
  <c r="L642" i="26" s="1"/>
  <c r="M642" i="26" s="1"/>
  <c r="K629" i="26"/>
  <c r="L629" i="26" s="1"/>
  <c r="M629" i="26" s="1"/>
  <c r="K603" i="26"/>
  <c r="L603" i="26" s="1"/>
  <c r="M603" i="26" s="1"/>
  <c r="K589" i="26"/>
  <c r="L589" i="26" s="1"/>
  <c r="M589" i="26" s="1"/>
  <c r="K563" i="26"/>
  <c r="L563" i="26" s="1"/>
  <c r="M563" i="26" s="1"/>
  <c r="K459" i="26"/>
  <c r="L459" i="26" s="1"/>
  <c r="M459" i="26" s="1"/>
  <c r="K445" i="26"/>
  <c r="L445" i="26" s="1"/>
  <c r="M445" i="26" s="1"/>
  <c r="K419" i="26"/>
  <c r="L419" i="26" s="1"/>
  <c r="M419" i="26" s="1"/>
  <c r="K550" i="26"/>
  <c r="L550" i="26" s="1"/>
  <c r="M550" i="26" s="1"/>
  <c r="K538" i="26"/>
  <c r="L538" i="26" s="1"/>
  <c r="M538" i="26" s="1"/>
  <c r="K526" i="26"/>
  <c r="L526" i="26" s="1"/>
  <c r="M526" i="26" s="1"/>
  <c r="K514" i="26"/>
  <c r="L514" i="26" s="1"/>
  <c r="M514" i="26" s="1"/>
  <c r="K502" i="26"/>
  <c r="L502" i="26" s="1"/>
  <c r="M502" i="26" s="1"/>
  <c r="K490" i="26"/>
  <c r="L490" i="26" s="1"/>
  <c r="M490" i="26" s="1"/>
  <c r="K478" i="26"/>
  <c r="L478" i="26" s="1"/>
  <c r="M478" i="26" s="1"/>
  <c r="K466" i="26"/>
  <c r="L466" i="26" s="1"/>
  <c r="M466" i="26" s="1"/>
  <c r="K454" i="26"/>
  <c r="L454" i="26" s="1"/>
  <c r="M454" i="26" s="1"/>
  <c r="K442" i="26"/>
  <c r="L442" i="26" s="1"/>
  <c r="M442" i="26" s="1"/>
  <c r="K430" i="26"/>
  <c r="L430" i="26" s="1"/>
  <c r="M430" i="26" s="1"/>
  <c r="K418" i="26"/>
  <c r="L418" i="26" s="1"/>
  <c r="M418" i="26" s="1"/>
  <c r="K406" i="26"/>
  <c r="L406" i="26" s="1"/>
  <c r="M406" i="26" s="1"/>
  <c r="K394" i="26"/>
  <c r="L394" i="26" s="1"/>
  <c r="M394" i="26" s="1"/>
  <c r="K382" i="26"/>
  <c r="L382" i="26" s="1"/>
  <c r="M382" i="26" s="1"/>
  <c r="K370" i="26"/>
  <c r="L370" i="26" s="1"/>
  <c r="M370" i="26" s="1"/>
  <c r="K358" i="26"/>
  <c r="L358" i="26" s="1"/>
  <c r="M358" i="26" s="1"/>
  <c r="K346" i="26"/>
  <c r="L346" i="26" s="1"/>
  <c r="M346" i="26" s="1"/>
  <c r="K334" i="26"/>
  <c r="L334" i="26" s="1"/>
  <c r="M334" i="26" s="1"/>
  <c r="K322" i="26"/>
  <c r="L322" i="26" s="1"/>
  <c r="M322" i="26" s="1"/>
  <c r="K310" i="26"/>
  <c r="L310" i="26" s="1"/>
  <c r="M310" i="26" s="1"/>
  <c r="K298" i="26"/>
  <c r="L298" i="26" s="1"/>
  <c r="M298" i="26" s="1"/>
  <c r="K286" i="26"/>
  <c r="L286" i="26" s="1"/>
  <c r="M286" i="26" s="1"/>
  <c r="K274" i="26"/>
  <c r="L274" i="26" s="1"/>
  <c r="M274" i="26" s="1"/>
  <c r="K262" i="26"/>
  <c r="L262" i="26" s="1"/>
  <c r="M262" i="26" s="1"/>
  <c r="K250" i="26"/>
  <c r="L250" i="26" s="1"/>
  <c r="M250" i="26" s="1"/>
  <c r="K238" i="26"/>
  <c r="L238" i="26" s="1"/>
  <c r="M238" i="26" s="1"/>
  <c r="K226" i="26"/>
  <c r="L226" i="26" s="1"/>
  <c r="M226" i="26" s="1"/>
  <c r="K214" i="26"/>
  <c r="L214" i="26" s="1"/>
  <c r="M214" i="26" s="1"/>
  <c r="K202" i="26"/>
  <c r="L202" i="26" s="1"/>
  <c r="M202" i="26" s="1"/>
  <c r="K190" i="26"/>
  <c r="L190" i="26" s="1"/>
  <c r="M190" i="26" s="1"/>
  <c r="K178" i="26"/>
  <c r="L178" i="26" s="1"/>
  <c r="M178" i="26" s="1"/>
  <c r="K166" i="26"/>
  <c r="L166" i="26" s="1"/>
  <c r="M166" i="26" s="1"/>
  <c r="K154" i="26"/>
  <c r="L154" i="26" s="1"/>
  <c r="M154" i="26" s="1"/>
  <c r="K142" i="26"/>
  <c r="L142" i="26" s="1"/>
  <c r="M142" i="26" s="1"/>
  <c r="K130" i="26"/>
  <c r="L130" i="26" s="1"/>
  <c r="M130" i="26" s="1"/>
  <c r="K118" i="26"/>
  <c r="L118" i="26" s="1"/>
  <c r="M118" i="26" s="1"/>
  <c r="K106" i="26"/>
  <c r="L106" i="26" s="1"/>
  <c r="M106" i="26" s="1"/>
  <c r="K94" i="26"/>
  <c r="L94" i="26" s="1"/>
  <c r="M94" i="26" s="1"/>
  <c r="K82" i="26"/>
  <c r="L82" i="26" s="1"/>
  <c r="M82" i="26" s="1"/>
  <c r="K70" i="26"/>
  <c r="L70" i="26" s="1"/>
  <c r="M70" i="26" s="1"/>
  <c r="K58" i="26"/>
  <c r="L58" i="26" s="1"/>
  <c r="M58" i="26" s="1"/>
  <c r="K46" i="26"/>
  <c r="L46" i="26" s="1"/>
  <c r="M46" i="26" s="1"/>
  <c r="K34" i="26"/>
  <c r="L34" i="26" s="1"/>
  <c r="M34" i="26" s="1"/>
  <c r="K22" i="26"/>
  <c r="L22" i="26" s="1"/>
  <c r="M22" i="26" s="1"/>
  <c r="K645" i="26"/>
  <c r="L645" i="26" s="1"/>
  <c r="M645" i="26" s="1"/>
  <c r="K633" i="26"/>
  <c r="L633" i="26" s="1"/>
  <c r="M633" i="26" s="1"/>
  <c r="K621" i="26"/>
  <c r="L621" i="26" s="1"/>
  <c r="M621" i="26" s="1"/>
  <c r="K609" i="26"/>
  <c r="L609" i="26" s="1"/>
  <c r="M609" i="26" s="1"/>
  <c r="K597" i="26"/>
  <c r="L597" i="26" s="1"/>
  <c r="M597" i="26" s="1"/>
  <c r="K585" i="26"/>
  <c r="L585" i="26" s="1"/>
  <c r="M585" i="26" s="1"/>
  <c r="K573" i="26"/>
  <c r="L573" i="26" s="1"/>
  <c r="M573" i="26" s="1"/>
  <c r="K561" i="26"/>
  <c r="L561" i="26" s="1"/>
  <c r="M561" i="26" s="1"/>
  <c r="K549" i="26"/>
  <c r="L549" i="26" s="1"/>
  <c r="M549" i="26" s="1"/>
  <c r="K537" i="26"/>
  <c r="L537" i="26" s="1"/>
  <c r="M537" i="26" s="1"/>
  <c r="K525" i="26"/>
  <c r="L525" i="26" s="1"/>
  <c r="M525" i="26" s="1"/>
  <c r="K513" i="26"/>
  <c r="L513" i="26" s="1"/>
  <c r="M513" i="26" s="1"/>
  <c r="K501" i="26"/>
  <c r="L501" i="26" s="1"/>
  <c r="M501" i="26" s="1"/>
  <c r="K489" i="26"/>
  <c r="L489" i="26" s="1"/>
  <c r="M489" i="26" s="1"/>
  <c r="K477" i="26"/>
  <c r="L477" i="26" s="1"/>
  <c r="M477" i="26" s="1"/>
  <c r="K465" i="26"/>
  <c r="L465" i="26" s="1"/>
  <c r="M465" i="26" s="1"/>
  <c r="K453" i="26"/>
  <c r="L453" i="26" s="1"/>
  <c r="M453" i="26" s="1"/>
  <c r="K441" i="26"/>
  <c r="L441" i="26" s="1"/>
  <c r="M441" i="26" s="1"/>
  <c r="K429" i="26"/>
  <c r="L429" i="26" s="1"/>
  <c r="M429" i="26" s="1"/>
  <c r="K417" i="26"/>
  <c r="L417" i="26" s="1"/>
  <c r="M417" i="26" s="1"/>
  <c r="K405" i="26"/>
  <c r="L405" i="26" s="1"/>
  <c r="M405" i="26" s="1"/>
  <c r="K393" i="26"/>
  <c r="L393" i="26" s="1"/>
  <c r="M393" i="26" s="1"/>
  <c r="K381" i="26"/>
  <c r="L381" i="26" s="1"/>
  <c r="M381" i="26" s="1"/>
  <c r="K369" i="26"/>
  <c r="L369" i="26" s="1"/>
  <c r="M369" i="26" s="1"/>
  <c r="K357" i="26"/>
  <c r="L357" i="26" s="1"/>
  <c r="M357" i="26" s="1"/>
  <c r="K345" i="26"/>
  <c r="L345" i="26" s="1"/>
  <c r="M345" i="26" s="1"/>
  <c r="K333" i="26"/>
  <c r="L333" i="26" s="1"/>
  <c r="M333" i="26" s="1"/>
  <c r="K321" i="26"/>
  <c r="L321" i="26" s="1"/>
  <c r="M321" i="26" s="1"/>
  <c r="K309" i="26"/>
  <c r="L309" i="26" s="1"/>
  <c r="M309" i="26" s="1"/>
  <c r="K297" i="26"/>
  <c r="L297" i="26" s="1"/>
  <c r="M297" i="26" s="1"/>
  <c r="K285" i="26"/>
  <c r="L285" i="26" s="1"/>
  <c r="M285" i="26" s="1"/>
  <c r="K273" i="26"/>
  <c r="L273" i="26" s="1"/>
  <c r="M273" i="26" s="1"/>
  <c r="K261" i="26"/>
  <c r="L261" i="26" s="1"/>
  <c r="M261" i="26" s="1"/>
  <c r="K249" i="26"/>
  <c r="L249" i="26" s="1"/>
  <c r="M249" i="26" s="1"/>
  <c r="K237" i="26"/>
  <c r="L237" i="26" s="1"/>
  <c r="M237" i="26" s="1"/>
  <c r="K225" i="26"/>
  <c r="L225" i="26" s="1"/>
  <c r="M225" i="26" s="1"/>
  <c r="K213" i="26"/>
  <c r="L213" i="26" s="1"/>
  <c r="M213" i="26" s="1"/>
  <c r="K201" i="26"/>
  <c r="L201" i="26" s="1"/>
  <c r="M201" i="26" s="1"/>
  <c r="K189" i="26"/>
  <c r="L189" i="26" s="1"/>
  <c r="M189" i="26" s="1"/>
  <c r="K177" i="26"/>
  <c r="L177" i="26" s="1"/>
  <c r="M177" i="26" s="1"/>
  <c r="K165" i="26"/>
  <c r="L165" i="26" s="1"/>
  <c r="M165" i="26" s="1"/>
  <c r="K153" i="26"/>
  <c r="L153" i="26" s="1"/>
  <c r="M153" i="26" s="1"/>
  <c r="K141" i="26"/>
  <c r="L141" i="26" s="1"/>
  <c r="M141" i="26" s="1"/>
  <c r="K129" i="26"/>
  <c r="L129" i="26" s="1"/>
  <c r="M129" i="26" s="1"/>
  <c r="K117" i="26"/>
  <c r="L117" i="26" s="1"/>
  <c r="M117" i="26" s="1"/>
  <c r="K105" i="26"/>
  <c r="L105" i="26" s="1"/>
  <c r="M105" i="26" s="1"/>
  <c r="K93" i="26"/>
  <c r="L93" i="26" s="1"/>
  <c r="M93" i="26" s="1"/>
  <c r="K81" i="26"/>
  <c r="L81" i="26" s="1"/>
  <c r="M81" i="26" s="1"/>
  <c r="K69" i="26"/>
  <c r="L69" i="26" s="1"/>
  <c r="M69" i="26" s="1"/>
  <c r="K57" i="26"/>
  <c r="L57" i="26" s="1"/>
  <c r="M57" i="26" s="1"/>
  <c r="K45" i="26"/>
  <c r="L45" i="26" s="1"/>
  <c r="M45" i="26" s="1"/>
  <c r="K33" i="26"/>
  <c r="L33" i="26" s="1"/>
  <c r="M33" i="26" s="1"/>
  <c r="K656" i="26"/>
  <c r="L656" i="26" s="1"/>
  <c r="M656" i="26" s="1"/>
  <c r="K644" i="26"/>
  <c r="L644" i="26" s="1"/>
  <c r="M644" i="26" s="1"/>
  <c r="K632" i="26"/>
  <c r="L632" i="26" s="1"/>
  <c r="M632" i="26" s="1"/>
  <c r="K620" i="26"/>
  <c r="L620" i="26" s="1"/>
  <c r="M620" i="26" s="1"/>
  <c r="K608" i="26"/>
  <c r="L608" i="26" s="1"/>
  <c r="M608" i="26" s="1"/>
  <c r="K596" i="26"/>
  <c r="L596" i="26" s="1"/>
  <c r="M596" i="26" s="1"/>
  <c r="K584" i="26"/>
  <c r="L584" i="26" s="1"/>
  <c r="M584" i="26" s="1"/>
  <c r="K572" i="26"/>
  <c r="L572" i="26" s="1"/>
  <c r="M572" i="26" s="1"/>
  <c r="K560" i="26"/>
  <c r="L560" i="26" s="1"/>
  <c r="M560" i="26" s="1"/>
  <c r="K548" i="26"/>
  <c r="L548" i="26" s="1"/>
  <c r="M548" i="26" s="1"/>
  <c r="K536" i="26"/>
  <c r="L536" i="26" s="1"/>
  <c r="M536" i="26" s="1"/>
  <c r="K524" i="26"/>
  <c r="L524" i="26" s="1"/>
  <c r="M524" i="26" s="1"/>
  <c r="K512" i="26"/>
  <c r="L512" i="26" s="1"/>
  <c r="M512" i="26" s="1"/>
  <c r="K500" i="26"/>
  <c r="L500" i="26" s="1"/>
  <c r="M500" i="26" s="1"/>
  <c r="K488" i="26"/>
  <c r="L488" i="26" s="1"/>
  <c r="M488" i="26" s="1"/>
  <c r="K476" i="26"/>
  <c r="L476" i="26" s="1"/>
  <c r="M476" i="26" s="1"/>
  <c r="K464" i="26"/>
  <c r="L464" i="26" s="1"/>
  <c r="M464" i="26" s="1"/>
  <c r="K452" i="26"/>
  <c r="L452" i="26" s="1"/>
  <c r="M452" i="26" s="1"/>
  <c r="K440" i="26"/>
  <c r="L440" i="26" s="1"/>
  <c r="M440" i="26" s="1"/>
  <c r="K428" i="26"/>
  <c r="L428" i="26" s="1"/>
  <c r="M428" i="26" s="1"/>
  <c r="K416" i="26"/>
  <c r="L416" i="26" s="1"/>
  <c r="M416" i="26" s="1"/>
  <c r="K404" i="26"/>
  <c r="L404" i="26" s="1"/>
  <c r="M404" i="26" s="1"/>
  <c r="K392" i="26"/>
  <c r="L392" i="26" s="1"/>
  <c r="M392" i="26" s="1"/>
  <c r="K380" i="26"/>
  <c r="L380" i="26" s="1"/>
  <c r="M380" i="26" s="1"/>
  <c r="K368" i="26"/>
  <c r="L368" i="26" s="1"/>
  <c r="M368" i="26" s="1"/>
  <c r="K356" i="26"/>
  <c r="L356" i="26" s="1"/>
  <c r="M356" i="26" s="1"/>
  <c r="K344" i="26"/>
  <c r="L344" i="26" s="1"/>
  <c r="M344" i="26" s="1"/>
  <c r="K332" i="26"/>
  <c r="L332" i="26" s="1"/>
  <c r="M332" i="26" s="1"/>
  <c r="K320" i="26"/>
  <c r="L320" i="26" s="1"/>
  <c r="M320" i="26" s="1"/>
  <c r="K308" i="26"/>
  <c r="L308" i="26" s="1"/>
  <c r="M308" i="26" s="1"/>
  <c r="K296" i="26"/>
  <c r="L296" i="26" s="1"/>
  <c r="M296" i="26" s="1"/>
  <c r="K284" i="26"/>
  <c r="L284" i="26" s="1"/>
  <c r="M284" i="26" s="1"/>
  <c r="K272" i="26"/>
  <c r="L272" i="26" s="1"/>
  <c r="M272" i="26" s="1"/>
  <c r="K260" i="26"/>
  <c r="L260" i="26" s="1"/>
  <c r="M260" i="26" s="1"/>
  <c r="K248" i="26"/>
  <c r="L248" i="26" s="1"/>
  <c r="M248" i="26" s="1"/>
  <c r="K236" i="26"/>
  <c r="L236" i="26" s="1"/>
  <c r="M236" i="26" s="1"/>
  <c r="K224" i="26"/>
  <c r="L224" i="26" s="1"/>
  <c r="M224" i="26" s="1"/>
  <c r="K212" i="26"/>
  <c r="L212" i="26" s="1"/>
  <c r="M212" i="26" s="1"/>
  <c r="K200" i="26"/>
  <c r="L200" i="26" s="1"/>
  <c r="M200" i="26" s="1"/>
  <c r="K188" i="26"/>
  <c r="L188" i="26" s="1"/>
  <c r="M188" i="26" s="1"/>
  <c r="K176" i="26"/>
  <c r="L176" i="26" s="1"/>
  <c r="M176" i="26" s="1"/>
  <c r="K164" i="26"/>
  <c r="L164" i="26" s="1"/>
  <c r="M164" i="26" s="1"/>
  <c r="K152" i="26"/>
  <c r="L152" i="26" s="1"/>
  <c r="M152" i="26" s="1"/>
  <c r="K140" i="26"/>
  <c r="L140" i="26" s="1"/>
  <c r="M140" i="26" s="1"/>
  <c r="K128" i="26"/>
  <c r="L128" i="26" s="1"/>
  <c r="M128" i="26" s="1"/>
  <c r="K116" i="26"/>
  <c r="L116" i="26" s="1"/>
  <c r="M116" i="26" s="1"/>
  <c r="K104" i="26"/>
  <c r="L104" i="26" s="1"/>
  <c r="M104" i="26" s="1"/>
  <c r="K92" i="26"/>
  <c r="L92" i="26" s="1"/>
  <c r="M92" i="26" s="1"/>
  <c r="K80" i="26"/>
  <c r="L80" i="26" s="1"/>
  <c r="M80" i="26" s="1"/>
  <c r="K68" i="26"/>
  <c r="L68" i="26" s="1"/>
  <c r="M68" i="26" s="1"/>
  <c r="K56" i="26"/>
  <c r="L56" i="26" s="1"/>
  <c r="M56" i="26" s="1"/>
  <c r="K44" i="26"/>
  <c r="L44" i="26" s="1"/>
  <c r="M44" i="26" s="1"/>
  <c r="K32" i="26"/>
  <c r="L32" i="26" s="1"/>
  <c r="M32" i="26" s="1"/>
  <c r="K643" i="26"/>
  <c r="L643" i="26" s="1"/>
  <c r="M643" i="26" s="1"/>
  <c r="K631" i="26"/>
  <c r="L631" i="26" s="1"/>
  <c r="M631" i="26" s="1"/>
  <c r="K619" i="26"/>
  <c r="L619" i="26" s="1"/>
  <c r="M619" i="26" s="1"/>
  <c r="K607" i="26"/>
  <c r="L607" i="26" s="1"/>
  <c r="M607" i="26" s="1"/>
  <c r="K595" i="26"/>
  <c r="L595" i="26" s="1"/>
  <c r="M595" i="26" s="1"/>
  <c r="K583" i="26"/>
  <c r="L583" i="26" s="1"/>
  <c r="M583" i="26" s="1"/>
  <c r="K571" i="26"/>
  <c r="L571" i="26" s="1"/>
  <c r="M571" i="26" s="1"/>
  <c r="K559" i="26"/>
  <c r="L559" i="26" s="1"/>
  <c r="M559" i="26" s="1"/>
  <c r="K547" i="26"/>
  <c r="L547" i="26" s="1"/>
  <c r="M547" i="26" s="1"/>
  <c r="K535" i="26"/>
  <c r="L535" i="26" s="1"/>
  <c r="M535" i="26" s="1"/>
  <c r="K523" i="26"/>
  <c r="L523" i="26" s="1"/>
  <c r="M523" i="26" s="1"/>
  <c r="K511" i="26"/>
  <c r="L511" i="26" s="1"/>
  <c r="M511" i="26" s="1"/>
  <c r="K499" i="26"/>
  <c r="L499" i="26" s="1"/>
  <c r="M499" i="26" s="1"/>
  <c r="K487" i="26"/>
  <c r="L487" i="26" s="1"/>
  <c r="M487" i="26" s="1"/>
  <c r="K475" i="26"/>
  <c r="L475" i="26" s="1"/>
  <c r="M475" i="26" s="1"/>
  <c r="K463" i="26"/>
  <c r="L463" i="26" s="1"/>
  <c r="M463" i="26" s="1"/>
  <c r="K451" i="26"/>
  <c r="L451" i="26" s="1"/>
  <c r="M451" i="26" s="1"/>
  <c r="K439" i="26"/>
  <c r="L439" i="26" s="1"/>
  <c r="M439" i="26" s="1"/>
  <c r="K427" i="26"/>
  <c r="L427" i="26" s="1"/>
  <c r="M427" i="26" s="1"/>
  <c r="K415" i="26"/>
  <c r="L415" i="26" s="1"/>
  <c r="M415" i="26" s="1"/>
  <c r="K403" i="26"/>
  <c r="L403" i="26" s="1"/>
  <c r="M403" i="26" s="1"/>
  <c r="K391" i="26"/>
  <c r="L391" i="26" s="1"/>
  <c r="M391" i="26" s="1"/>
  <c r="K379" i="26"/>
  <c r="L379" i="26" s="1"/>
  <c r="M379" i="26" s="1"/>
  <c r="K367" i="26"/>
  <c r="L367" i="26" s="1"/>
  <c r="M367" i="26" s="1"/>
  <c r="K355" i="26"/>
  <c r="L355" i="26" s="1"/>
  <c r="M355" i="26" s="1"/>
  <c r="K343" i="26"/>
  <c r="L343" i="26" s="1"/>
  <c r="M343" i="26" s="1"/>
  <c r="K331" i="26"/>
  <c r="L331" i="26" s="1"/>
  <c r="M331" i="26" s="1"/>
  <c r="K319" i="26"/>
  <c r="L319" i="26" s="1"/>
  <c r="M319" i="26" s="1"/>
  <c r="K307" i="26"/>
  <c r="L307" i="26" s="1"/>
  <c r="M307" i="26" s="1"/>
  <c r="K295" i="26"/>
  <c r="L295" i="26" s="1"/>
  <c r="M295" i="26" s="1"/>
  <c r="K283" i="26"/>
  <c r="L283" i="26" s="1"/>
  <c r="M283" i="26" s="1"/>
  <c r="K271" i="26"/>
  <c r="L271" i="26" s="1"/>
  <c r="M271" i="26" s="1"/>
  <c r="K259" i="26"/>
  <c r="L259" i="26" s="1"/>
  <c r="M259" i="26" s="1"/>
  <c r="K247" i="26"/>
  <c r="L247" i="26" s="1"/>
  <c r="M247" i="26" s="1"/>
  <c r="K235" i="26"/>
  <c r="L235" i="26" s="1"/>
  <c r="M235" i="26" s="1"/>
  <c r="K223" i="26"/>
  <c r="L223" i="26" s="1"/>
  <c r="M223" i="26" s="1"/>
  <c r="K211" i="26"/>
  <c r="L211" i="26" s="1"/>
  <c r="M211" i="26" s="1"/>
  <c r="K199" i="26"/>
  <c r="L199" i="26" s="1"/>
  <c r="M199" i="26" s="1"/>
  <c r="K187" i="26"/>
  <c r="L187" i="26" s="1"/>
  <c r="M187" i="26" s="1"/>
  <c r="K175" i="26"/>
  <c r="L175" i="26" s="1"/>
  <c r="M175" i="26" s="1"/>
  <c r="K163" i="26"/>
  <c r="L163" i="26" s="1"/>
  <c r="M163" i="26" s="1"/>
  <c r="K151" i="26"/>
  <c r="L151" i="26" s="1"/>
  <c r="M151" i="26" s="1"/>
  <c r="K139" i="26"/>
  <c r="L139" i="26" s="1"/>
  <c r="M139" i="26" s="1"/>
  <c r="K127" i="26"/>
  <c r="L127" i="26" s="1"/>
  <c r="M127" i="26" s="1"/>
  <c r="K115" i="26"/>
  <c r="L115" i="26" s="1"/>
  <c r="M115" i="26" s="1"/>
  <c r="K103" i="26"/>
  <c r="L103" i="26" s="1"/>
  <c r="M103" i="26" s="1"/>
  <c r="K91" i="26"/>
  <c r="L91" i="26" s="1"/>
  <c r="M91" i="26" s="1"/>
  <c r="K79" i="26"/>
  <c r="L79" i="26" s="1"/>
  <c r="M79" i="26" s="1"/>
  <c r="K67" i="26"/>
  <c r="L67" i="26" s="1"/>
  <c r="M67" i="26" s="1"/>
  <c r="K55" i="26"/>
  <c r="L55" i="26" s="1"/>
  <c r="M55" i="26" s="1"/>
  <c r="K43" i="26"/>
  <c r="L43" i="26" s="1"/>
  <c r="M43" i="26" s="1"/>
  <c r="K31" i="26"/>
  <c r="L31" i="26" s="1"/>
  <c r="M31" i="26" s="1"/>
  <c r="K19" i="26"/>
  <c r="L19" i="26" s="1"/>
  <c r="M19" i="26" s="1"/>
  <c r="K7" i="26"/>
  <c r="L7" i="26" s="1"/>
  <c r="M7" i="26" s="1"/>
  <c r="K630" i="26"/>
  <c r="L630" i="26" s="1"/>
  <c r="M630" i="26" s="1"/>
  <c r="K618" i="26"/>
  <c r="L618" i="26" s="1"/>
  <c r="M618" i="26" s="1"/>
  <c r="K606" i="26"/>
  <c r="L606" i="26" s="1"/>
  <c r="M606" i="26" s="1"/>
  <c r="K594" i="26"/>
  <c r="L594" i="26" s="1"/>
  <c r="M594" i="26" s="1"/>
  <c r="K582" i="26"/>
  <c r="L582" i="26" s="1"/>
  <c r="M582" i="26" s="1"/>
  <c r="K570" i="26"/>
  <c r="L570" i="26" s="1"/>
  <c r="M570" i="26" s="1"/>
  <c r="K558" i="26"/>
  <c r="L558" i="26" s="1"/>
  <c r="M558" i="26" s="1"/>
  <c r="K546" i="26"/>
  <c r="L546" i="26" s="1"/>
  <c r="M546" i="26" s="1"/>
  <c r="K534" i="26"/>
  <c r="L534" i="26" s="1"/>
  <c r="M534" i="26" s="1"/>
  <c r="K522" i="26"/>
  <c r="L522" i="26" s="1"/>
  <c r="M522" i="26" s="1"/>
  <c r="K510" i="26"/>
  <c r="L510" i="26" s="1"/>
  <c r="M510" i="26" s="1"/>
  <c r="K498" i="26"/>
  <c r="L498" i="26" s="1"/>
  <c r="M498" i="26" s="1"/>
  <c r="K486" i="26"/>
  <c r="L486" i="26" s="1"/>
  <c r="M486" i="26" s="1"/>
  <c r="K474" i="26"/>
  <c r="L474" i="26" s="1"/>
  <c r="M474" i="26" s="1"/>
  <c r="K462" i="26"/>
  <c r="L462" i="26" s="1"/>
  <c r="M462" i="26" s="1"/>
  <c r="K450" i="26"/>
  <c r="L450" i="26" s="1"/>
  <c r="M450" i="26" s="1"/>
  <c r="K438" i="26"/>
  <c r="L438" i="26" s="1"/>
  <c r="M438" i="26" s="1"/>
  <c r="K426" i="26"/>
  <c r="L426" i="26" s="1"/>
  <c r="M426" i="26" s="1"/>
  <c r="K414" i="26"/>
  <c r="L414" i="26" s="1"/>
  <c r="M414" i="26" s="1"/>
  <c r="K402" i="26"/>
  <c r="L402" i="26" s="1"/>
  <c r="M402" i="26" s="1"/>
  <c r="K390" i="26"/>
  <c r="L390" i="26" s="1"/>
  <c r="M390" i="26" s="1"/>
  <c r="K378" i="26"/>
  <c r="L378" i="26" s="1"/>
  <c r="M378" i="26" s="1"/>
  <c r="K366" i="26"/>
  <c r="L366" i="26" s="1"/>
  <c r="M366" i="26" s="1"/>
  <c r="K354" i="26"/>
  <c r="L354" i="26" s="1"/>
  <c r="M354" i="26" s="1"/>
  <c r="K342" i="26"/>
  <c r="L342" i="26" s="1"/>
  <c r="M342" i="26" s="1"/>
  <c r="K330" i="26"/>
  <c r="L330" i="26" s="1"/>
  <c r="M330" i="26" s="1"/>
  <c r="K318" i="26"/>
  <c r="L318" i="26" s="1"/>
  <c r="M318" i="26" s="1"/>
  <c r="K306" i="26"/>
  <c r="L306" i="26" s="1"/>
  <c r="M306" i="26" s="1"/>
  <c r="K294" i="26"/>
  <c r="L294" i="26" s="1"/>
  <c r="M294" i="26" s="1"/>
  <c r="K282" i="26"/>
  <c r="L282" i="26" s="1"/>
  <c r="M282" i="26" s="1"/>
  <c r="K270" i="26"/>
  <c r="L270" i="26" s="1"/>
  <c r="M270" i="26" s="1"/>
  <c r="K258" i="26"/>
  <c r="L258" i="26" s="1"/>
  <c r="M258" i="26" s="1"/>
  <c r="K246" i="26"/>
  <c r="L246" i="26" s="1"/>
  <c r="M246" i="26" s="1"/>
  <c r="K234" i="26"/>
  <c r="L234" i="26" s="1"/>
  <c r="M234" i="26" s="1"/>
  <c r="K222" i="26"/>
  <c r="L222" i="26" s="1"/>
  <c r="M222" i="26" s="1"/>
  <c r="K210" i="26"/>
  <c r="L210" i="26" s="1"/>
  <c r="M210" i="26" s="1"/>
  <c r="K198" i="26"/>
  <c r="L198" i="26" s="1"/>
  <c r="M198" i="26" s="1"/>
  <c r="K186" i="26"/>
  <c r="L186" i="26" s="1"/>
  <c r="M186" i="26" s="1"/>
  <c r="K174" i="26"/>
  <c r="L174" i="26" s="1"/>
  <c r="M174" i="26" s="1"/>
  <c r="K162" i="26"/>
  <c r="L162" i="26" s="1"/>
  <c r="M162" i="26" s="1"/>
  <c r="K150" i="26"/>
  <c r="L150" i="26" s="1"/>
  <c r="M150" i="26" s="1"/>
  <c r="K138" i="26"/>
  <c r="L138" i="26" s="1"/>
  <c r="M138" i="26" s="1"/>
  <c r="K126" i="26"/>
  <c r="L126" i="26" s="1"/>
  <c r="M126" i="26" s="1"/>
  <c r="K114" i="26"/>
  <c r="L114" i="26" s="1"/>
  <c r="M114" i="26" s="1"/>
  <c r="K102" i="26"/>
  <c r="L102" i="26" s="1"/>
  <c r="M102" i="26" s="1"/>
  <c r="K90" i="26"/>
  <c r="L90" i="26" s="1"/>
  <c r="M90" i="26" s="1"/>
  <c r="K78" i="26"/>
  <c r="L78" i="26" s="1"/>
  <c r="M78" i="26" s="1"/>
  <c r="K66" i="26"/>
  <c r="L66" i="26" s="1"/>
  <c r="M66" i="26" s="1"/>
  <c r="K54" i="26"/>
  <c r="L54" i="26" s="1"/>
  <c r="M54" i="26" s="1"/>
  <c r="K42" i="26"/>
  <c r="L42" i="26" s="1"/>
  <c r="M42" i="26" s="1"/>
  <c r="K30" i="26"/>
  <c r="L30" i="26" s="1"/>
  <c r="M30" i="26" s="1"/>
  <c r="K18" i="26"/>
  <c r="L18" i="26" s="1"/>
  <c r="M18" i="26" s="1"/>
  <c r="K6" i="26"/>
  <c r="L6" i="26" s="1"/>
  <c r="M6" i="26" s="1"/>
  <c r="K617" i="26"/>
  <c r="L617" i="26" s="1"/>
  <c r="M617" i="26" s="1"/>
  <c r="K605" i="26"/>
  <c r="L605" i="26" s="1"/>
  <c r="M605" i="26" s="1"/>
  <c r="K593" i="26"/>
  <c r="L593" i="26" s="1"/>
  <c r="M593" i="26" s="1"/>
  <c r="K581" i="26"/>
  <c r="L581" i="26" s="1"/>
  <c r="M581" i="26" s="1"/>
  <c r="K569" i="26"/>
  <c r="L569" i="26" s="1"/>
  <c r="M569" i="26" s="1"/>
  <c r="K557" i="26"/>
  <c r="L557" i="26" s="1"/>
  <c r="M557" i="26" s="1"/>
  <c r="K545" i="26"/>
  <c r="L545" i="26" s="1"/>
  <c r="M545" i="26" s="1"/>
  <c r="K533" i="26"/>
  <c r="L533" i="26" s="1"/>
  <c r="M533" i="26" s="1"/>
  <c r="K521" i="26"/>
  <c r="L521" i="26" s="1"/>
  <c r="M521" i="26" s="1"/>
  <c r="K509" i="26"/>
  <c r="L509" i="26" s="1"/>
  <c r="M509" i="26" s="1"/>
  <c r="K497" i="26"/>
  <c r="L497" i="26" s="1"/>
  <c r="M497" i="26" s="1"/>
  <c r="K485" i="26"/>
  <c r="L485" i="26" s="1"/>
  <c r="M485" i="26" s="1"/>
  <c r="K473" i="26"/>
  <c r="L473" i="26" s="1"/>
  <c r="M473" i="26" s="1"/>
  <c r="K461" i="26"/>
  <c r="L461" i="26" s="1"/>
  <c r="M461" i="26" s="1"/>
  <c r="K449" i="26"/>
  <c r="L449" i="26" s="1"/>
  <c r="M449" i="26" s="1"/>
  <c r="K437" i="26"/>
  <c r="L437" i="26" s="1"/>
  <c r="M437" i="26" s="1"/>
  <c r="K425" i="26"/>
  <c r="L425" i="26" s="1"/>
  <c r="M425" i="26" s="1"/>
  <c r="K413" i="26"/>
  <c r="L413" i="26" s="1"/>
  <c r="M413" i="26" s="1"/>
  <c r="K401" i="26"/>
  <c r="L401" i="26" s="1"/>
  <c r="M401" i="26" s="1"/>
  <c r="K389" i="26"/>
  <c r="L389" i="26" s="1"/>
  <c r="M389" i="26" s="1"/>
  <c r="K377" i="26"/>
  <c r="L377" i="26" s="1"/>
  <c r="M377" i="26" s="1"/>
  <c r="K365" i="26"/>
  <c r="L365" i="26" s="1"/>
  <c r="M365" i="26" s="1"/>
  <c r="K353" i="26"/>
  <c r="L353" i="26" s="1"/>
  <c r="M353" i="26" s="1"/>
  <c r="K341" i="26"/>
  <c r="L341" i="26" s="1"/>
  <c r="M341" i="26" s="1"/>
  <c r="K329" i="26"/>
  <c r="L329" i="26" s="1"/>
  <c r="M329" i="26" s="1"/>
  <c r="K317" i="26"/>
  <c r="L317" i="26" s="1"/>
  <c r="M317" i="26" s="1"/>
  <c r="K305" i="26"/>
  <c r="L305" i="26" s="1"/>
  <c r="M305" i="26" s="1"/>
  <c r="K293" i="26"/>
  <c r="L293" i="26" s="1"/>
  <c r="M293" i="26" s="1"/>
  <c r="K281" i="26"/>
  <c r="L281" i="26" s="1"/>
  <c r="M281" i="26" s="1"/>
  <c r="K269" i="26"/>
  <c r="L269" i="26" s="1"/>
  <c r="M269" i="26" s="1"/>
  <c r="K257" i="26"/>
  <c r="L257" i="26" s="1"/>
  <c r="M257" i="26" s="1"/>
  <c r="K245" i="26"/>
  <c r="L245" i="26" s="1"/>
  <c r="M245" i="26" s="1"/>
  <c r="K233" i="26"/>
  <c r="L233" i="26" s="1"/>
  <c r="M233" i="26" s="1"/>
  <c r="K221" i="26"/>
  <c r="L221" i="26" s="1"/>
  <c r="M221" i="26" s="1"/>
  <c r="K209" i="26"/>
  <c r="L209" i="26" s="1"/>
  <c r="M209" i="26" s="1"/>
  <c r="K197" i="26"/>
  <c r="L197" i="26" s="1"/>
  <c r="M197" i="26" s="1"/>
  <c r="K185" i="26"/>
  <c r="L185" i="26" s="1"/>
  <c r="M185" i="26" s="1"/>
  <c r="K173" i="26"/>
  <c r="L173" i="26" s="1"/>
  <c r="M173" i="26" s="1"/>
  <c r="K161" i="26"/>
  <c r="L161" i="26" s="1"/>
  <c r="M161" i="26" s="1"/>
  <c r="K149" i="26"/>
  <c r="L149" i="26" s="1"/>
  <c r="M149" i="26" s="1"/>
  <c r="K137" i="26"/>
  <c r="L137" i="26" s="1"/>
  <c r="M137" i="26" s="1"/>
  <c r="K125" i="26"/>
  <c r="L125" i="26" s="1"/>
  <c r="M125" i="26" s="1"/>
  <c r="K113" i="26"/>
  <c r="L113" i="26" s="1"/>
  <c r="M113" i="26" s="1"/>
  <c r="K101" i="26"/>
  <c r="L101" i="26" s="1"/>
  <c r="M101" i="26" s="1"/>
  <c r="K89" i="26"/>
  <c r="L89" i="26" s="1"/>
  <c r="M89" i="26" s="1"/>
  <c r="K77" i="26"/>
  <c r="L77" i="26" s="1"/>
  <c r="M77" i="26" s="1"/>
  <c r="K65" i="26"/>
  <c r="L65" i="26" s="1"/>
  <c r="M65" i="26" s="1"/>
  <c r="K53" i="26"/>
  <c r="L53" i="26" s="1"/>
  <c r="M53" i="26" s="1"/>
  <c r="K41" i="26"/>
  <c r="L41" i="26" s="1"/>
  <c r="M41" i="26" s="1"/>
  <c r="K29" i="26"/>
  <c r="L29" i="26" s="1"/>
  <c r="M29" i="26" s="1"/>
  <c r="K17" i="26"/>
  <c r="L17" i="26" s="1"/>
  <c r="M17" i="26" s="1"/>
  <c r="K5" i="26"/>
  <c r="L5" i="26" s="1"/>
  <c r="M5" i="26" s="1"/>
  <c r="K556" i="26"/>
  <c r="L556" i="26" s="1"/>
  <c r="M556" i="26" s="1"/>
  <c r="K544" i="26"/>
  <c r="L544" i="26" s="1"/>
  <c r="M544" i="26" s="1"/>
  <c r="K532" i="26"/>
  <c r="L532" i="26" s="1"/>
  <c r="M532" i="26" s="1"/>
  <c r="K520" i="26"/>
  <c r="L520" i="26" s="1"/>
  <c r="M520" i="26" s="1"/>
  <c r="K508" i="26"/>
  <c r="L508" i="26" s="1"/>
  <c r="M508" i="26" s="1"/>
  <c r="K496" i="26"/>
  <c r="L496" i="26" s="1"/>
  <c r="M496" i="26" s="1"/>
  <c r="K484" i="26"/>
  <c r="L484" i="26" s="1"/>
  <c r="M484" i="26" s="1"/>
  <c r="K472" i="26"/>
  <c r="L472" i="26" s="1"/>
  <c r="M472" i="26" s="1"/>
  <c r="K436" i="26"/>
  <c r="L436" i="26" s="1"/>
  <c r="M436" i="26" s="1"/>
  <c r="K400" i="26"/>
  <c r="L400" i="26" s="1"/>
  <c r="M400" i="26" s="1"/>
  <c r="K376" i="26"/>
  <c r="L376" i="26" s="1"/>
  <c r="M376" i="26" s="1"/>
  <c r="K364" i="26"/>
  <c r="L364" i="26" s="1"/>
  <c r="M364" i="26" s="1"/>
  <c r="K352" i="26"/>
  <c r="L352" i="26" s="1"/>
  <c r="M352" i="26" s="1"/>
  <c r="K340" i="26"/>
  <c r="L340" i="26" s="1"/>
  <c r="M340" i="26" s="1"/>
  <c r="K328" i="26"/>
  <c r="L328" i="26" s="1"/>
  <c r="M328" i="26" s="1"/>
  <c r="K304" i="26"/>
  <c r="L304" i="26" s="1"/>
  <c r="M304" i="26" s="1"/>
  <c r="K280" i="26"/>
  <c r="L280" i="26" s="1"/>
  <c r="M280" i="26" s="1"/>
  <c r="K256" i="26"/>
  <c r="L256" i="26" s="1"/>
  <c r="M256" i="26" s="1"/>
  <c r="K232" i="26"/>
  <c r="L232" i="26" s="1"/>
  <c r="M232" i="26" s="1"/>
  <c r="K220" i="26"/>
  <c r="L220" i="26" s="1"/>
  <c r="M220" i="26" s="1"/>
  <c r="K208" i="26"/>
  <c r="L208" i="26" s="1"/>
  <c r="M208" i="26" s="1"/>
  <c r="K196" i="26"/>
  <c r="L196" i="26" s="1"/>
  <c r="M196" i="26" s="1"/>
  <c r="K184" i="26"/>
  <c r="L184" i="26" s="1"/>
  <c r="M184" i="26" s="1"/>
  <c r="K160" i="26"/>
  <c r="L160" i="26" s="1"/>
  <c r="M160" i="26" s="1"/>
  <c r="K148" i="26"/>
  <c r="L148" i="26" s="1"/>
  <c r="M148" i="26" s="1"/>
  <c r="K136" i="26"/>
  <c r="L136" i="26" s="1"/>
  <c r="M136" i="26" s="1"/>
  <c r="K124" i="26"/>
  <c r="L124" i="26" s="1"/>
  <c r="M124" i="26" s="1"/>
  <c r="K112" i="26"/>
  <c r="L112" i="26" s="1"/>
  <c r="M112" i="26" s="1"/>
  <c r="K88" i="26"/>
  <c r="L88" i="26" s="1"/>
  <c r="M88" i="26" s="1"/>
  <c r="K76" i="26"/>
  <c r="L76" i="26" s="1"/>
  <c r="M76" i="26" s="1"/>
  <c r="K64" i="26"/>
  <c r="L64" i="26" s="1"/>
  <c r="M64" i="26" s="1"/>
  <c r="K52" i="26"/>
  <c r="L52" i="26" s="1"/>
  <c r="M52" i="26" s="1"/>
  <c r="K40" i="26"/>
  <c r="L40" i="26" s="1"/>
  <c r="M40" i="26" s="1"/>
  <c r="K16" i="26"/>
  <c r="L16" i="26" s="1"/>
  <c r="M16" i="26" s="1"/>
  <c r="K4" i="26"/>
  <c r="L4" i="26" s="1"/>
  <c r="M4" i="26" s="1"/>
  <c r="K267" i="26"/>
  <c r="L267" i="26" s="1"/>
  <c r="M267" i="26" s="1"/>
  <c r="K255" i="26"/>
  <c r="L255" i="26" s="1"/>
  <c r="M255" i="26" s="1"/>
  <c r="K243" i="26"/>
  <c r="L243" i="26" s="1"/>
  <c r="M243" i="26" s="1"/>
  <c r="K231" i="26"/>
  <c r="L231" i="26" s="1"/>
  <c r="M231" i="26" s="1"/>
  <c r="K219" i="26"/>
  <c r="L219" i="26" s="1"/>
  <c r="M219" i="26" s="1"/>
  <c r="K207" i="26"/>
  <c r="L207" i="26" s="1"/>
  <c r="M207" i="26" s="1"/>
  <c r="K195" i="26"/>
  <c r="L195" i="26" s="1"/>
  <c r="M195" i="26" s="1"/>
  <c r="K183" i="26"/>
  <c r="L183" i="26" s="1"/>
  <c r="M183" i="26" s="1"/>
  <c r="K171" i="26"/>
  <c r="L171" i="26" s="1"/>
  <c r="M171" i="26" s="1"/>
  <c r="K159" i="26"/>
  <c r="L159" i="26" s="1"/>
  <c r="M159" i="26" s="1"/>
  <c r="K147" i="26"/>
  <c r="L147" i="26" s="1"/>
  <c r="M147" i="26" s="1"/>
  <c r="K135" i="26"/>
  <c r="L135" i="26" s="1"/>
  <c r="M135" i="26" s="1"/>
  <c r="K123" i="26"/>
  <c r="L123" i="26" s="1"/>
  <c r="M123" i="26" s="1"/>
  <c r="K111" i="26"/>
  <c r="L111" i="26" s="1"/>
  <c r="M111" i="26" s="1"/>
  <c r="K99" i="26"/>
  <c r="L99" i="26" s="1"/>
  <c r="M99" i="26" s="1"/>
  <c r="K87" i="26"/>
  <c r="L87" i="26" s="1"/>
  <c r="M87" i="26" s="1"/>
  <c r="K75" i="26"/>
  <c r="L75" i="26" s="1"/>
  <c r="M75" i="26" s="1"/>
  <c r="K63" i="26"/>
  <c r="L63" i="26" s="1"/>
  <c r="M63" i="26" s="1"/>
  <c r="K51" i="26"/>
  <c r="L51" i="26" s="1"/>
  <c r="M51" i="26" s="1"/>
  <c r="K39" i="26"/>
  <c r="L39" i="26" s="1"/>
  <c r="M39" i="26" s="1"/>
  <c r="K27" i="26"/>
  <c r="L27" i="26" s="1"/>
  <c r="M27" i="26" s="1"/>
  <c r="K15" i="26"/>
  <c r="L15" i="26" s="1"/>
  <c r="M15" i="26" s="1"/>
  <c r="K1648" i="26"/>
  <c r="L1648" i="26" s="1"/>
  <c r="M1648" i="26" s="1"/>
  <c r="K1636" i="26"/>
  <c r="L1636" i="26" s="1"/>
  <c r="M1636" i="26" s="1"/>
  <c r="K1624" i="26"/>
  <c r="L1624" i="26" s="1"/>
  <c r="M1624" i="26" s="1"/>
  <c r="K1612" i="26"/>
  <c r="L1612" i="26" s="1"/>
  <c r="M1612" i="26" s="1"/>
  <c r="K1600" i="26"/>
  <c r="L1600" i="26" s="1"/>
  <c r="M1600" i="26" s="1"/>
  <c r="K1588" i="26"/>
  <c r="L1588" i="26" s="1"/>
  <c r="M1588" i="26" s="1"/>
  <c r="K1576" i="26"/>
  <c r="L1576" i="26" s="1"/>
  <c r="M1576" i="26" s="1"/>
  <c r="K1564" i="26"/>
  <c r="L1564" i="26" s="1"/>
  <c r="M1564" i="26" s="1"/>
  <c r="K1552" i="26"/>
  <c r="L1552" i="26" s="1"/>
  <c r="M1552" i="26" s="1"/>
  <c r="K1540" i="26"/>
  <c r="L1540" i="26" s="1"/>
  <c r="M1540" i="26" s="1"/>
  <c r="K1528" i="26"/>
  <c r="L1528" i="26" s="1"/>
  <c r="M1528" i="26" s="1"/>
  <c r="K1516" i="26"/>
  <c r="L1516" i="26" s="1"/>
  <c r="M1516" i="26" s="1"/>
  <c r="K1504" i="26"/>
  <c r="L1504" i="26" s="1"/>
  <c r="M1504" i="26" s="1"/>
  <c r="K1492" i="26"/>
  <c r="L1492" i="26" s="1"/>
  <c r="M1492" i="26" s="1"/>
  <c r="K1480" i="26"/>
  <c r="L1480" i="26" s="1"/>
  <c r="M1480" i="26" s="1"/>
  <c r="K1468" i="26"/>
  <c r="L1468" i="26" s="1"/>
  <c r="M1468" i="26" s="1"/>
  <c r="K1456" i="26"/>
  <c r="L1456" i="26" s="1"/>
  <c r="M1456" i="26" s="1"/>
  <c r="K1444" i="26"/>
  <c r="L1444" i="26" s="1"/>
  <c r="M1444" i="26" s="1"/>
  <c r="K1432" i="26"/>
  <c r="L1432" i="26" s="1"/>
  <c r="M1432" i="26" s="1"/>
  <c r="K1420" i="26"/>
  <c r="L1420" i="26" s="1"/>
  <c r="M1420" i="26" s="1"/>
  <c r="K1408" i="26"/>
  <c r="L1408" i="26" s="1"/>
  <c r="M1408" i="26" s="1"/>
  <c r="K1396" i="26"/>
  <c r="L1396" i="26" s="1"/>
  <c r="M1396" i="26" s="1"/>
  <c r="K1384" i="26"/>
  <c r="L1384" i="26" s="1"/>
  <c r="M1384" i="26" s="1"/>
  <c r="K1372" i="26"/>
  <c r="L1372" i="26" s="1"/>
  <c r="M1372" i="26" s="1"/>
  <c r="K1360" i="26"/>
  <c r="L1360" i="26" s="1"/>
  <c r="M1360" i="26" s="1"/>
  <c r="K1348" i="26"/>
  <c r="L1348" i="26" s="1"/>
  <c r="M1348" i="26" s="1"/>
  <c r="K1336" i="26"/>
  <c r="L1336" i="26" s="1"/>
  <c r="M1336" i="26" s="1"/>
  <c r="K1324" i="26"/>
  <c r="L1324" i="26" s="1"/>
  <c r="M1324" i="26" s="1"/>
  <c r="K1312" i="26"/>
  <c r="L1312" i="26" s="1"/>
  <c r="M1312" i="26" s="1"/>
  <c r="K1300" i="26"/>
  <c r="L1300" i="26" s="1"/>
  <c r="M1300" i="26" s="1"/>
  <c r="K1288" i="26"/>
  <c r="L1288" i="26" s="1"/>
  <c r="M1288" i="26" s="1"/>
  <c r="K1276" i="26"/>
  <c r="L1276" i="26" s="1"/>
  <c r="M1276" i="26" s="1"/>
  <c r="K1264" i="26"/>
  <c r="L1264" i="26" s="1"/>
  <c r="M1264" i="26" s="1"/>
  <c r="K1252" i="26"/>
  <c r="L1252" i="26" s="1"/>
  <c r="M1252" i="26" s="1"/>
  <c r="K1240" i="26"/>
  <c r="L1240" i="26" s="1"/>
  <c r="M1240" i="26" s="1"/>
  <c r="K1228" i="26"/>
  <c r="L1228" i="26" s="1"/>
  <c r="M1228" i="26" s="1"/>
  <c r="K1216" i="26"/>
  <c r="L1216" i="26" s="1"/>
  <c r="M1216" i="26" s="1"/>
  <c r="K1204" i="26"/>
  <c r="L1204" i="26" s="1"/>
  <c r="M1204" i="26" s="1"/>
  <c r="K1192" i="26"/>
  <c r="L1192" i="26" s="1"/>
  <c r="M1192" i="26" s="1"/>
  <c r="K1180" i="26"/>
  <c r="L1180" i="26" s="1"/>
  <c r="M1180" i="26" s="1"/>
  <c r="K1168" i="26"/>
  <c r="L1168" i="26" s="1"/>
  <c r="M1168" i="26" s="1"/>
  <c r="K1156" i="26"/>
  <c r="L1156" i="26" s="1"/>
  <c r="M1156" i="26" s="1"/>
  <c r="N434" i="26"/>
  <c r="K434" i="26" s="1"/>
  <c r="L434" i="26" s="1"/>
  <c r="M434" i="26" s="1"/>
  <c r="K362" i="26"/>
  <c r="L362" i="26" s="1"/>
  <c r="M362" i="26" s="1"/>
  <c r="K350" i="26"/>
  <c r="L350" i="26" s="1"/>
  <c r="M350" i="26" s="1"/>
  <c r="K338" i="26"/>
  <c r="L338" i="26" s="1"/>
  <c r="M338" i="26" s="1"/>
  <c r="K326" i="26"/>
  <c r="L326" i="26" s="1"/>
  <c r="M326" i="26" s="1"/>
  <c r="K314" i="26"/>
  <c r="L314" i="26" s="1"/>
  <c r="M314" i="26" s="1"/>
  <c r="K302" i="26"/>
  <c r="L302" i="26" s="1"/>
  <c r="M302" i="26" s="1"/>
  <c r="K290" i="26"/>
  <c r="L290" i="26" s="1"/>
  <c r="M290" i="26" s="1"/>
  <c r="K278" i="26"/>
  <c r="L278" i="26" s="1"/>
  <c r="M278" i="26" s="1"/>
  <c r="K266" i="26"/>
  <c r="L266" i="26" s="1"/>
  <c r="M266" i="26" s="1"/>
  <c r="K254" i="26"/>
  <c r="L254" i="26" s="1"/>
  <c r="M254" i="26" s="1"/>
  <c r="K242" i="26"/>
  <c r="L242" i="26" s="1"/>
  <c r="M242" i="26" s="1"/>
  <c r="K230" i="26"/>
  <c r="L230" i="26" s="1"/>
  <c r="M230" i="26" s="1"/>
  <c r="K218" i="26"/>
  <c r="L218" i="26" s="1"/>
  <c r="M218" i="26" s="1"/>
  <c r="K206" i="26"/>
  <c r="L206" i="26" s="1"/>
  <c r="M206" i="26" s="1"/>
  <c r="K194" i="26"/>
  <c r="L194" i="26" s="1"/>
  <c r="M194" i="26" s="1"/>
  <c r="K182" i="26"/>
  <c r="L182" i="26" s="1"/>
  <c r="M182" i="26" s="1"/>
  <c r="K170" i="26"/>
  <c r="L170" i="26" s="1"/>
  <c r="M170" i="26" s="1"/>
  <c r="K158" i="26"/>
  <c r="L158" i="26" s="1"/>
  <c r="M158" i="26" s="1"/>
  <c r="K146" i="26"/>
  <c r="L146" i="26" s="1"/>
  <c r="M146" i="26" s="1"/>
  <c r="K134" i="26"/>
  <c r="L134" i="26" s="1"/>
  <c r="M134" i="26" s="1"/>
  <c r="K122" i="26"/>
  <c r="L122" i="26" s="1"/>
  <c r="M122" i="26" s="1"/>
  <c r="K110" i="26"/>
  <c r="L110" i="26" s="1"/>
  <c r="M110" i="26" s="1"/>
  <c r="K98" i="26"/>
  <c r="L98" i="26" s="1"/>
  <c r="M98" i="26" s="1"/>
  <c r="K86" i="26"/>
  <c r="L86" i="26" s="1"/>
  <c r="M86" i="26" s="1"/>
  <c r="K74" i="26"/>
  <c r="L74" i="26" s="1"/>
  <c r="M74" i="26" s="1"/>
  <c r="K62" i="26"/>
  <c r="L62" i="26" s="1"/>
  <c r="M62" i="26" s="1"/>
  <c r="K50" i="26"/>
  <c r="L50" i="26" s="1"/>
  <c r="M50" i="26" s="1"/>
  <c r="K38" i="26"/>
  <c r="L38" i="26" s="1"/>
  <c r="M38" i="26" s="1"/>
  <c r="K26" i="26"/>
  <c r="L26" i="26" s="1"/>
  <c r="M26" i="26" s="1"/>
  <c r="K422" i="26"/>
  <c r="L422" i="26" s="1"/>
  <c r="M422" i="26" s="1"/>
  <c r="K410" i="26"/>
  <c r="L410" i="26" s="1"/>
  <c r="M410" i="26" s="1"/>
  <c r="K398" i="26"/>
  <c r="L398" i="26" s="1"/>
  <c r="M398" i="26" s="1"/>
  <c r="K386" i="26"/>
  <c r="L386" i="26" s="1"/>
  <c r="M386" i="26" s="1"/>
  <c r="K374" i="26"/>
  <c r="L374" i="26" s="1"/>
  <c r="M374" i="26" s="1"/>
  <c r="K660" i="26"/>
  <c r="L660" i="26" s="1"/>
  <c r="M660" i="26" s="1"/>
  <c r="K648" i="26"/>
  <c r="L648" i="26" s="1"/>
  <c r="M648" i="26" s="1"/>
  <c r="K636" i="26"/>
  <c r="L636" i="26" s="1"/>
  <c r="M636" i="26" s="1"/>
  <c r="K624" i="26"/>
  <c r="L624" i="26" s="1"/>
  <c r="M624" i="26" s="1"/>
  <c r="K612" i="26"/>
  <c r="L612" i="26" s="1"/>
  <c r="M612" i="26" s="1"/>
  <c r="K600" i="26"/>
  <c r="L600" i="26" s="1"/>
  <c r="M600" i="26" s="1"/>
  <c r="K588" i="26"/>
  <c r="L588" i="26" s="1"/>
  <c r="M588" i="26" s="1"/>
  <c r="K576" i="26"/>
  <c r="L576" i="26" s="1"/>
  <c r="M576" i="26" s="1"/>
  <c r="K564" i="26"/>
  <c r="L564" i="26" s="1"/>
  <c r="M564" i="26" s="1"/>
  <c r="K552" i="26"/>
  <c r="L552" i="26" s="1"/>
  <c r="M552" i="26" s="1"/>
  <c r="K540" i="26"/>
  <c r="L540" i="26" s="1"/>
  <c r="M540" i="26" s="1"/>
  <c r="K528" i="26"/>
  <c r="L528" i="26" s="1"/>
  <c r="M528" i="26" s="1"/>
  <c r="K516" i="26"/>
  <c r="L516" i="26" s="1"/>
  <c r="M516" i="26" s="1"/>
  <c r="K504" i="26"/>
  <c r="L504" i="26" s="1"/>
  <c r="M504" i="26" s="1"/>
  <c r="K492" i="26"/>
  <c r="L492" i="26" s="1"/>
  <c r="M492" i="26" s="1"/>
  <c r="K480" i="26"/>
  <c r="L480" i="26" s="1"/>
  <c r="M480" i="26" s="1"/>
  <c r="K468" i="26"/>
  <c r="L468" i="26" s="1"/>
  <c r="M468" i="26" s="1"/>
  <c r="K456" i="26"/>
  <c r="L456" i="26" s="1"/>
  <c r="M456" i="26" s="1"/>
  <c r="K444" i="26"/>
  <c r="L444" i="26" s="1"/>
  <c r="M444" i="26" s="1"/>
  <c r="K432" i="26"/>
  <c r="L432" i="26" s="1"/>
  <c r="M432" i="26" s="1"/>
  <c r="K420" i="26"/>
  <c r="L420" i="26" s="1"/>
  <c r="M420" i="26" s="1"/>
  <c r="K408" i="26"/>
  <c r="L408" i="26" s="1"/>
  <c r="M408" i="26" s="1"/>
  <c r="K396" i="26"/>
  <c r="L396" i="26" s="1"/>
  <c r="M396" i="26" s="1"/>
  <c r="K384" i="26"/>
  <c r="L384" i="26" s="1"/>
  <c r="M384" i="26" s="1"/>
  <c r="K372" i="26"/>
  <c r="L372" i="26" s="1"/>
  <c r="M372" i="26" s="1"/>
  <c r="K360" i="26"/>
  <c r="L360" i="26" s="1"/>
  <c r="M360" i="26" s="1"/>
  <c r="K348" i="26"/>
  <c r="L348" i="26" s="1"/>
  <c r="M348" i="26" s="1"/>
  <c r="K336" i="26"/>
  <c r="L336" i="26" s="1"/>
  <c r="M336" i="26" s="1"/>
  <c r="K324" i="26"/>
  <c r="L324" i="26" s="1"/>
  <c r="M324" i="26" s="1"/>
  <c r="K312" i="26"/>
  <c r="L312" i="26" s="1"/>
  <c r="M312" i="26" s="1"/>
  <c r="K300" i="26"/>
  <c r="L300" i="26" s="1"/>
  <c r="M300" i="26" s="1"/>
  <c r="K288" i="26"/>
  <c r="L288" i="26" s="1"/>
  <c r="M288" i="26" s="1"/>
  <c r="K276" i="26"/>
  <c r="L276" i="26" s="1"/>
  <c r="M276" i="26" s="1"/>
  <c r="K264" i="26"/>
  <c r="L264" i="26" s="1"/>
  <c r="M264" i="26" s="1"/>
  <c r="K252" i="26"/>
  <c r="L252" i="26" s="1"/>
  <c r="M252" i="26" s="1"/>
  <c r="K240" i="26"/>
  <c r="L240" i="26" s="1"/>
  <c r="M240" i="26" s="1"/>
  <c r="K228" i="26"/>
  <c r="L228" i="26" s="1"/>
  <c r="M228" i="26" s="1"/>
  <c r="K216" i="26"/>
  <c r="L216" i="26" s="1"/>
  <c r="M216" i="26" s="1"/>
  <c r="K204" i="26"/>
  <c r="L204" i="26" s="1"/>
  <c r="M204" i="26" s="1"/>
  <c r="K192" i="26"/>
  <c r="L192" i="26" s="1"/>
  <c r="M192" i="26" s="1"/>
  <c r="K180" i="26"/>
  <c r="L180" i="26" s="1"/>
  <c r="M180" i="26" s="1"/>
  <c r="K168" i="26"/>
  <c r="L168" i="26" s="1"/>
  <c r="M168" i="26" s="1"/>
  <c r="K156" i="26"/>
  <c r="L156" i="26" s="1"/>
  <c r="M156" i="26" s="1"/>
  <c r="K144" i="26"/>
  <c r="L144" i="26" s="1"/>
  <c r="M144" i="26" s="1"/>
  <c r="K132" i="26"/>
  <c r="L132" i="26" s="1"/>
  <c r="M132" i="26" s="1"/>
  <c r="K120" i="26"/>
  <c r="L120" i="26" s="1"/>
  <c r="M120" i="26" s="1"/>
  <c r="K108" i="26"/>
  <c r="L108" i="26" s="1"/>
  <c r="M108" i="26" s="1"/>
  <c r="K96" i="26"/>
  <c r="L96" i="26" s="1"/>
  <c r="M96" i="26" s="1"/>
  <c r="K84" i="26"/>
  <c r="L84" i="26" s="1"/>
  <c r="M84" i="26" s="1"/>
  <c r="K72" i="26"/>
  <c r="L72" i="26" s="1"/>
  <c r="M72" i="26" s="1"/>
  <c r="K60" i="26"/>
  <c r="L60" i="26" s="1"/>
  <c r="M60" i="26" s="1"/>
  <c r="K48" i="26"/>
  <c r="L48" i="26" s="1"/>
  <c r="M48" i="26" s="1"/>
  <c r="K36" i="26"/>
  <c r="L36" i="26" s="1"/>
  <c r="M36" i="26" s="1"/>
  <c r="K24" i="26"/>
  <c r="L24" i="26" s="1"/>
  <c r="M24" i="26" s="1"/>
  <c r="K12" i="26"/>
  <c r="L12" i="26" s="1"/>
  <c r="M12" i="26" s="1"/>
  <c r="K3" i="26"/>
  <c r="L3" i="26" s="1"/>
  <c r="M3" i="26" s="1"/>
  <c r="K14" i="26"/>
  <c r="L14" i="26" s="1"/>
  <c r="M14" i="26" s="1"/>
  <c r="K13" i="26"/>
  <c r="L13" i="26" s="1"/>
  <c r="M13" i="26" s="1"/>
  <c r="K11" i="26"/>
  <c r="L11" i="26" s="1"/>
  <c r="M11" i="26" s="1"/>
  <c r="K10" i="26"/>
  <c r="L10" i="26" s="1"/>
  <c r="M10" i="26" s="1"/>
  <c r="K21" i="26"/>
  <c r="L21" i="26" s="1"/>
  <c r="M21" i="26" s="1"/>
  <c r="K9" i="26"/>
  <c r="L9" i="26" s="1"/>
  <c r="M9" i="26" s="1"/>
  <c r="K20" i="26"/>
  <c r="L20" i="26" s="1"/>
  <c r="M20" i="26" s="1"/>
  <c r="K8" i="26"/>
  <c r="L8" i="26" s="1"/>
  <c r="M8" i="26" s="1"/>
  <c r="K1144" i="26"/>
  <c r="L1144" i="26" s="1"/>
  <c r="M1144" i="26" s="1"/>
  <c r="K1132" i="26"/>
  <c r="L1132" i="26" s="1"/>
  <c r="M1132" i="26" s="1"/>
  <c r="K1120" i="26"/>
  <c r="L1120" i="26" s="1"/>
  <c r="M1120" i="26" s="1"/>
  <c r="K1108" i="26"/>
  <c r="L1108" i="26" s="1"/>
  <c r="M1108" i="26" s="1"/>
  <c r="K1647" i="26"/>
  <c r="L1647" i="26" s="1"/>
  <c r="M1647" i="26" s="1"/>
  <c r="K1635" i="26"/>
  <c r="L1635" i="26" s="1"/>
  <c r="M1635" i="26" s="1"/>
  <c r="K1623" i="26"/>
  <c r="L1623" i="26" s="1"/>
  <c r="M1623" i="26" s="1"/>
  <c r="K1611" i="26"/>
  <c r="L1611" i="26" s="1"/>
  <c r="M1611" i="26" s="1"/>
  <c r="K1641" i="26"/>
  <c r="L1641" i="26" s="1"/>
  <c r="M1641" i="26" s="1"/>
  <c r="K1096" i="26"/>
  <c r="L1096" i="26" s="1"/>
  <c r="M1096" i="26" s="1"/>
  <c r="K1084" i="26"/>
  <c r="L1084" i="26" s="1"/>
  <c r="M1084" i="26" s="1"/>
  <c r="K1072" i="26"/>
  <c r="L1072" i="26" s="1"/>
  <c r="M1072" i="26" s="1"/>
  <c r="K1060" i="26"/>
  <c r="L1060" i="26" s="1"/>
  <c r="M1060" i="26" s="1"/>
  <c r="K1048" i="26"/>
  <c r="L1048" i="26" s="1"/>
  <c r="M1048" i="26" s="1"/>
  <c r="K1036" i="26"/>
  <c r="L1036" i="26" s="1"/>
  <c r="M1036" i="26" s="1"/>
  <c r="K1024" i="26"/>
  <c r="L1024" i="26" s="1"/>
  <c r="M1024" i="26" s="1"/>
  <c r="K1012" i="26"/>
  <c r="L1012" i="26" s="1"/>
  <c r="M1012" i="26" s="1"/>
  <c r="K1000" i="26"/>
  <c r="L1000" i="26" s="1"/>
  <c r="M1000" i="26" s="1"/>
  <c r="K988" i="26"/>
  <c r="L988" i="26" s="1"/>
  <c r="M988" i="26" s="1"/>
  <c r="K1599" i="26"/>
  <c r="L1599" i="26" s="1"/>
  <c r="M1599" i="26" s="1"/>
  <c r="K1587" i="26"/>
  <c r="L1587" i="26" s="1"/>
  <c r="M1587" i="26" s="1"/>
  <c r="K1575" i="26"/>
  <c r="L1575" i="26" s="1"/>
  <c r="M1575" i="26" s="1"/>
  <c r="K1563" i="26"/>
  <c r="L1563" i="26" s="1"/>
  <c r="M1563" i="26" s="1"/>
  <c r="K1551" i="26"/>
  <c r="L1551" i="26" s="1"/>
  <c r="M1551" i="26" s="1"/>
  <c r="K1539" i="26"/>
  <c r="L1539" i="26" s="1"/>
  <c r="M1539" i="26" s="1"/>
  <c r="K1527" i="26"/>
  <c r="L1527" i="26" s="1"/>
  <c r="M1527" i="26" s="1"/>
  <c r="K1515" i="26"/>
  <c r="L1515" i="26" s="1"/>
  <c r="M1515" i="26" s="1"/>
  <c r="K1503" i="26"/>
  <c r="L1503" i="26" s="1"/>
  <c r="M1503" i="26" s="1"/>
  <c r="K1479" i="26"/>
  <c r="L1479" i="26" s="1"/>
  <c r="M1479" i="26" s="1"/>
  <c r="K1455" i="26"/>
  <c r="L1455" i="26" s="1"/>
  <c r="M1455" i="26" s="1"/>
  <c r="K1419" i="26"/>
  <c r="L1419" i="26" s="1"/>
  <c r="M1419" i="26" s="1"/>
  <c r="K1583" i="26"/>
  <c r="L1583" i="26" s="1"/>
  <c r="M1583" i="26" s="1"/>
  <c r="K1629" i="26"/>
  <c r="L1629" i="26" s="1"/>
  <c r="M1629" i="26" s="1"/>
  <c r="K1617" i="26"/>
  <c r="L1617" i="26" s="1"/>
  <c r="M1617" i="26" s="1"/>
  <c r="K1605" i="26"/>
  <c r="L1605" i="26" s="1"/>
  <c r="M1605" i="26" s="1"/>
  <c r="K1593" i="26"/>
  <c r="L1593" i="26" s="1"/>
  <c r="M1593" i="26" s="1"/>
  <c r="K1581" i="26"/>
  <c r="L1581" i="26" s="1"/>
  <c r="M1581" i="26" s="1"/>
  <c r="K1569" i="26"/>
  <c r="L1569" i="26" s="1"/>
  <c r="M1569" i="26" s="1"/>
  <c r="K1557" i="26"/>
  <c r="L1557" i="26" s="1"/>
  <c r="M1557" i="26" s="1"/>
  <c r="K1545" i="26"/>
  <c r="L1545" i="26" s="1"/>
  <c r="M1545" i="26" s="1"/>
  <c r="K1533" i="26"/>
  <c r="L1533" i="26" s="1"/>
  <c r="M1533" i="26" s="1"/>
  <c r="K1521" i="26"/>
  <c r="L1521" i="26" s="1"/>
  <c r="M1521" i="26" s="1"/>
  <c r="K976" i="26"/>
  <c r="L976" i="26" s="1"/>
  <c r="M976" i="26" s="1"/>
  <c r="K964" i="26"/>
  <c r="L964" i="26" s="1"/>
  <c r="M964" i="26" s="1"/>
  <c r="K952" i="26"/>
  <c r="L952" i="26" s="1"/>
  <c r="M952" i="26" s="1"/>
  <c r="K940" i="26"/>
  <c r="L940" i="26" s="1"/>
  <c r="M940" i="26" s="1"/>
  <c r="K928" i="26"/>
  <c r="L928" i="26" s="1"/>
  <c r="M928" i="26" s="1"/>
  <c r="K916" i="26"/>
  <c r="L916" i="26" s="1"/>
  <c r="M916" i="26" s="1"/>
  <c r="K904" i="26"/>
  <c r="L904" i="26" s="1"/>
  <c r="M904" i="26" s="1"/>
  <c r="K892" i="26"/>
  <c r="L892" i="26" s="1"/>
  <c r="M892" i="26" s="1"/>
  <c r="K880" i="26"/>
  <c r="L880" i="26" s="1"/>
  <c r="M880" i="26" s="1"/>
  <c r="K868" i="26"/>
  <c r="L868" i="26" s="1"/>
  <c r="M868" i="26" s="1"/>
  <c r="K856" i="26"/>
  <c r="L856" i="26" s="1"/>
  <c r="M856" i="26" s="1"/>
  <c r="K844" i="26"/>
  <c r="L844" i="26" s="1"/>
  <c r="M844" i="26" s="1"/>
  <c r="K772" i="26"/>
  <c r="L772" i="26" s="1"/>
  <c r="M772" i="26" s="1"/>
  <c r="K1467" i="26"/>
  <c r="L1467" i="26" s="1"/>
  <c r="M1467" i="26" s="1"/>
  <c r="K1431" i="26"/>
  <c r="L1431" i="26" s="1"/>
  <c r="M1431" i="26" s="1"/>
  <c r="K1407" i="26"/>
  <c r="L1407" i="26" s="1"/>
  <c r="M1407" i="26" s="1"/>
  <c r="K1383" i="26"/>
  <c r="L1383" i="26" s="1"/>
  <c r="M1383" i="26" s="1"/>
  <c r="K1371" i="26"/>
  <c r="L1371" i="26" s="1"/>
  <c r="M1371" i="26" s="1"/>
  <c r="K1359" i="26"/>
  <c r="L1359" i="26" s="1"/>
  <c r="M1359" i="26" s="1"/>
  <c r="K1644" i="26"/>
  <c r="L1644" i="26" s="1"/>
  <c r="M1644" i="26" s="1"/>
  <c r="K1632" i="26"/>
  <c r="L1632" i="26" s="1"/>
  <c r="M1632" i="26" s="1"/>
  <c r="K1620" i="26"/>
  <c r="L1620" i="26" s="1"/>
  <c r="M1620" i="26" s="1"/>
  <c r="K1608" i="26"/>
  <c r="L1608" i="26" s="1"/>
  <c r="M1608" i="26" s="1"/>
  <c r="K1584" i="26"/>
  <c r="L1584" i="26" s="1"/>
  <c r="M1584" i="26" s="1"/>
  <c r="K1643" i="26"/>
  <c r="L1643" i="26" s="1"/>
  <c r="M1643" i="26" s="1"/>
  <c r="K1631" i="26"/>
  <c r="L1631" i="26" s="1"/>
  <c r="M1631" i="26" s="1"/>
  <c r="K1619" i="26"/>
  <c r="L1619" i="26" s="1"/>
  <c r="M1619" i="26" s="1"/>
  <c r="K1607" i="26"/>
  <c r="L1607" i="26" s="1"/>
  <c r="M1607" i="26" s="1"/>
  <c r="K1571" i="26"/>
  <c r="L1571" i="26" s="1"/>
  <c r="M1571" i="26" s="1"/>
  <c r="K1547" i="26"/>
  <c r="L1547" i="26" s="1"/>
  <c r="M1547" i="26" s="1"/>
  <c r="K1523" i="26"/>
  <c r="L1523" i="26" s="1"/>
  <c r="M1523" i="26" s="1"/>
  <c r="K1499" i="26"/>
  <c r="L1499" i="26" s="1"/>
  <c r="M1499" i="26" s="1"/>
  <c r="K1509" i="26"/>
  <c r="L1509" i="26" s="1"/>
  <c r="M1509" i="26" s="1"/>
  <c r="K1497" i="26"/>
  <c r="L1497" i="26" s="1"/>
  <c r="M1497" i="26" s="1"/>
  <c r="K1485" i="26"/>
  <c r="L1485" i="26" s="1"/>
  <c r="M1485" i="26" s="1"/>
  <c r="K1473" i="26"/>
  <c r="L1473" i="26" s="1"/>
  <c r="M1473" i="26" s="1"/>
  <c r="K1461" i="26"/>
  <c r="L1461" i="26" s="1"/>
  <c r="M1461" i="26" s="1"/>
  <c r="K1449" i="26"/>
  <c r="L1449" i="26" s="1"/>
  <c r="M1449" i="26" s="1"/>
  <c r="K1425" i="26"/>
  <c r="L1425" i="26" s="1"/>
  <c r="M1425" i="26" s="1"/>
  <c r="K1353" i="26"/>
  <c r="L1353" i="26" s="1"/>
  <c r="M1353" i="26" s="1"/>
  <c r="K832" i="26"/>
  <c r="L832" i="26" s="1"/>
  <c r="M832" i="26" s="1"/>
  <c r="K820" i="26"/>
  <c r="L820" i="26" s="1"/>
  <c r="M820" i="26" s="1"/>
  <c r="K808" i="26"/>
  <c r="L808" i="26" s="1"/>
  <c r="M808" i="26" s="1"/>
  <c r="K796" i="26"/>
  <c r="L796" i="26" s="1"/>
  <c r="M796" i="26" s="1"/>
  <c r="K784" i="26"/>
  <c r="L784" i="26" s="1"/>
  <c r="M784" i="26" s="1"/>
  <c r="K760" i="26"/>
  <c r="L760" i="26" s="1"/>
  <c r="M760" i="26" s="1"/>
  <c r="K748" i="26"/>
  <c r="L748" i="26" s="1"/>
  <c r="M748" i="26" s="1"/>
  <c r="K736" i="26"/>
  <c r="L736" i="26" s="1"/>
  <c r="M736" i="26" s="1"/>
  <c r="K724" i="26"/>
  <c r="L724" i="26" s="1"/>
  <c r="M724" i="26" s="1"/>
  <c r="K712" i="26"/>
  <c r="L712" i="26" s="1"/>
  <c r="M712" i="26" s="1"/>
  <c r="K664" i="26"/>
  <c r="L664" i="26" s="1"/>
  <c r="M664" i="26" s="1"/>
  <c r="K1347" i="26"/>
  <c r="L1347" i="26" s="1"/>
  <c r="M1347" i="26" s="1"/>
  <c r="K1323" i="26"/>
  <c r="L1323" i="26" s="1"/>
  <c r="M1323" i="26" s="1"/>
  <c r="K1311" i="26"/>
  <c r="L1311" i="26" s="1"/>
  <c r="M1311" i="26" s="1"/>
  <c r="K1287" i="26"/>
  <c r="L1287" i="26" s="1"/>
  <c r="M1287" i="26" s="1"/>
  <c r="K1275" i="26"/>
  <c r="L1275" i="26" s="1"/>
  <c r="M1275" i="26" s="1"/>
  <c r="K1263" i="26"/>
  <c r="L1263" i="26" s="1"/>
  <c r="M1263" i="26" s="1"/>
  <c r="K1239" i="26"/>
  <c r="L1239" i="26" s="1"/>
  <c r="M1239" i="26" s="1"/>
  <c r="K1203" i="26"/>
  <c r="L1203" i="26" s="1"/>
  <c r="M1203" i="26" s="1"/>
  <c r="K1179" i="26"/>
  <c r="L1179" i="26" s="1"/>
  <c r="M1179" i="26" s="1"/>
  <c r="K1167" i="26"/>
  <c r="L1167" i="26" s="1"/>
  <c r="M1167" i="26" s="1"/>
  <c r="K1572" i="26"/>
  <c r="L1572" i="26" s="1"/>
  <c r="M1572" i="26" s="1"/>
  <c r="K1536" i="26"/>
  <c r="L1536" i="26" s="1"/>
  <c r="M1536" i="26" s="1"/>
  <c r="K1512" i="26"/>
  <c r="L1512" i="26" s="1"/>
  <c r="M1512" i="26" s="1"/>
  <c r="K1500" i="26"/>
  <c r="L1500" i="26" s="1"/>
  <c r="M1500" i="26" s="1"/>
  <c r="K1488" i="26"/>
  <c r="L1488" i="26" s="1"/>
  <c r="M1488" i="26" s="1"/>
  <c r="K1464" i="26"/>
  <c r="L1464" i="26" s="1"/>
  <c r="M1464" i="26" s="1"/>
  <c r="K1511" i="26"/>
  <c r="L1511" i="26" s="1"/>
  <c r="M1511" i="26" s="1"/>
  <c r="K1475" i="26"/>
  <c r="L1475" i="26" s="1"/>
  <c r="M1475" i="26" s="1"/>
  <c r="K1403" i="26"/>
  <c r="L1403" i="26" s="1"/>
  <c r="M1403" i="26" s="1"/>
  <c r="K1379" i="26"/>
  <c r="L1379" i="26" s="1"/>
  <c r="M1379" i="26" s="1"/>
  <c r="K1401" i="26"/>
  <c r="L1401" i="26" s="1"/>
  <c r="M1401" i="26" s="1"/>
  <c r="K1389" i="26"/>
  <c r="L1389" i="26" s="1"/>
  <c r="M1389" i="26" s="1"/>
  <c r="K1293" i="26"/>
  <c r="L1293" i="26" s="1"/>
  <c r="M1293" i="26" s="1"/>
  <c r="K1257" i="26"/>
  <c r="L1257" i="26" s="1"/>
  <c r="M1257" i="26" s="1"/>
  <c r="K1637" i="26"/>
  <c r="L1637" i="26" s="1"/>
  <c r="M1637" i="26" s="1"/>
  <c r="K1601" i="26"/>
  <c r="L1601" i="26" s="1"/>
  <c r="M1601" i="26" s="1"/>
  <c r="K1565" i="26"/>
  <c r="L1565" i="26" s="1"/>
  <c r="M1565" i="26" s="1"/>
  <c r="K652" i="26"/>
  <c r="L652" i="26" s="1"/>
  <c r="M652" i="26" s="1"/>
  <c r="K640" i="26"/>
  <c r="L640" i="26" s="1"/>
  <c r="M640" i="26" s="1"/>
  <c r="K628" i="26"/>
  <c r="L628" i="26" s="1"/>
  <c r="M628" i="26" s="1"/>
  <c r="K616" i="26"/>
  <c r="L616" i="26" s="1"/>
  <c r="M616" i="26" s="1"/>
  <c r="K604" i="26"/>
  <c r="L604" i="26" s="1"/>
  <c r="M604" i="26" s="1"/>
  <c r="K1215" i="26"/>
  <c r="L1215" i="26" s="1"/>
  <c r="M1215" i="26" s="1"/>
  <c r="K1191" i="26"/>
  <c r="L1191" i="26" s="1"/>
  <c r="M1191" i="26" s="1"/>
  <c r="K1143" i="26"/>
  <c r="L1143" i="26" s="1"/>
  <c r="M1143" i="26" s="1"/>
  <c r="K1131" i="26"/>
  <c r="L1131" i="26" s="1"/>
  <c r="M1131" i="26" s="1"/>
  <c r="K1107" i="26"/>
  <c r="L1107" i="26" s="1"/>
  <c r="M1107" i="26" s="1"/>
  <c r="K1095" i="26"/>
  <c r="L1095" i="26" s="1"/>
  <c r="M1095" i="26" s="1"/>
  <c r="K1428" i="26"/>
  <c r="L1428" i="26" s="1"/>
  <c r="M1428" i="26" s="1"/>
  <c r="K1344" i="26"/>
  <c r="L1344" i="26" s="1"/>
  <c r="M1344" i="26" s="1"/>
  <c r="K1284" i="26"/>
  <c r="L1284" i="26" s="1"/>
  <c r="M1284" i="26" s="1"/>
  <c r="K1212" i="26"/>
  <c r="L1212" i="26" s="1"/>
  <c r="M1212" i="26" s="1"/>
  <c r="K1415" i="26"/>
  <c r="L1415" i="26" s="1"/>
  <c r="M1415" i="26" s="1"/>
  <c r="K1331" i="26"/>
  <c r="L1331" i="26" s="1"/>
  <c r="M1331" i="26" s="1"/>
  <c r="K1235" i="26"/>
  <c r="L1235" i="26" s="1"/>
  <c r="M1235" i="26" s="1"/>
  <c r="K1305" i="26"/>
  <c r="L1305" i="26" s="1"/>
  <c r="M1305" i="26" s="1"/>
  <c r="K1269" i="26"/>
  <c r="L1269" i="26" s="1"/>
  <c r="M1269" i="26" s="1"/>
  <c r="K1197" i="26"/>
  <c r="L1197" i="26" s="1"/>
  <c r="M1197" i="26" s="1"/>
  <c r="K1053" i="26"/>
  <c r="L1053" i="26" s="1"/>
  <c r="M1053" i="26" s="1"/>
  <c r="K1520" i="26"/>
  <c r="L1520" i="26" s="1"/>
  <c r="M1520" i="26" s="1"/>
  <c r="K1529" i="26"/>
  <c r="L1529" i="26" s="1"/>
  <c r="M1529" i="26" s="1"/>
  <c r="K1517" i="26"/>
  <c r="L1517" i="26" s="1"/>
  <c r="M1517" i="26" s="1"/>
  <c r="K1505" i="26"/>
  <c r="L1505" i="26" s="1"/>
  <c r="M1505" i="26" s="1"/>
  <c r="K1493" i="26"/>
  <c r="L1493" i="26" s="1"/>
  <c r="M1493" i="26" s="1"/>
  <c r="K1481" i="26"/>
  <c r="L1481" i="26" s="1"/>
  <c r="M1481" i="26" s="1"/>
  <c r="K1469" i="26"/>
  <c r="L1469" i="26" s="1"/>
  <c r="M1469" i="26" s="1"/>
  <c r="K592" i="26"/>
  <c r="L592" i="26" s="1"/>
  <c r="M592" i="26" s="1"/>
  <c r="K580" i="26"/>
  <c r="L580" i="26" s="1"/>
  <c r="M580" i="26" s="1"/>
  <c r="K424" i="26"/>
  <c r="L424" i="26" s="1"/>
  <c r="M424" i="26" s="1"/>
  <c r="K412" i="26"/>
  <c r="L412" i="26" s="1"/>
  <c r="M412" i="26" s="1"/>
  <c r="K1083" i="26"/>
  <c r="L1083" i="26" s="1"/>
  <c r="M1083" i="26" s="1"/>
  <c r="K1059" i="26"/>
  <c r="L1059" i="26" s="1"/>
  <c r="M1059" i="26" s="1"/>
  <c r="K1011" i="26"/>
  <c r="L1011" i="26" s="1"/>
  <c r="M1011" i="26" s="1"/>
  <c r="K987" i="26"/>
  <c r="L987" i="26" s="1"/>
  <c r="M987" i="26" s="1"/>
  <c r="K891" i="26"/>
  <c r="L891" i="26" s="1"/>
  <c r="M891" i="26" s="1"/>
  <c r="K1091" i="26"/>
  <c r="L1091" i="26" s="1"/>
  <c r="M1091" i="26" s="1"/>
  <c r="K1149" i="26"/>
  <c r="L1149" i="26" s="1"/>
  <c r="M1149" i="26" s="1"/>
  <c r="K1065" i="26"/>
  <c r="L1065" i="26" s="1"/>
  <c r="M1065" i="26" s="1"/>
  <c r="K969" i="26"/>
  <c r="L969" i="26" s="1"/>
  <c r="M969" i="26" s="1"/>
  <c r="K1457" i="26"/>
  <c r="L1457" i="26" s="1"/>
  <c r="M1457" i="26" s="1"/>
  <c r="K1445" i="26"/>
  <c r="L1445" i="26" s="1"/>
  <c r="M1445" i="26" s="1"/>
  <c r="K1433" i="26"/>
  <c r="L1433" i="26" s="1"/>
  <c r="M1433" i="26" s="1"/>
  <c r="K1421" i="26"/>
  <c r="L1421" i="26" s="1"/>
  <c r="M1421" i="26" s="1"/>
  <c r="K1409" i="26"/>
  <c r="L1409" i="26" s="1"/>
  <c r="M1409" i="26" s="1"/>
  <c r="K1397" i="26"/>
  <c r="L1397" i="26" s="1"/>
  <c r="M1397" i="26" s="1"/>
  <c r="K1385" i="26"/>
  <c r="L1385" i="26" s="1"/>
  <c r="M1385" i="26" s="1"/>
  <c r="K1373" i="26"/>
  <c r="L1373" i="26" s="1"/>
  <c r="M1373" i="26" s="1"/>
  <c r="K1361" i="26"/>
  <c r="L1361" i="26" s="1"/>
  <c r="M1361" i="26" s="1"/>
  <c r="K1349" i="26"/>
  <c r="L1349" i="26" s="1"/>
  <c r="M1349" i="26" s="1"/>
  <c r="K1337" i="26"/>
  <c r="L1337" i="26" s="1"/>
  <c r="M1337" i="26" s="1"/>
  <c r="K1325" i="26"/>
  <c r="L1325" i="26" s="1"/>
  <c r="M1325" i="26" s="1"/>
  <c r="K1313" i="26"/>
  <c r="L1313" i="26" s="1"/>
  <c r="M1313" i="26" s="1"/>
  <c r="K1301" i="26"/>
  <c r="L1301" i="26" s="1"/>
  <c r="M1301" i="26" s="1"/>
  <c r="K1289" i="26"/>
  <c r="L1289" i="26" s="1"/>
  <c r="M1289" i="26" s="1"/>
  <c r="K1277" i="26"/>
  <c r="L1277" i="26" s="1"/>
  <c r="M1277" i="26" s="1"/>
  <c r="K1265" i="26"/>
  <c r="L1265" i="26" s="1"/>
  <c r="M1265" i="26" s="1"/>
  <c r="K460" i="26"/>
  <c r="L460" i="26" s="1"/>
  <c r="M460" i="26" s="1"/>
  <c r="K448" i="26"/>
  <c r="L448" i="26" s="1"/>
  <c r="M448" i="26" s="1"/>
  <c r="K388" i="26"/>
  <c r="L388" i="26" s="1"/>
  <c r="M388" i="26" s="1"/>
  <c r="K316" i="26"/>
  <c r="L316" i="26" s="1"/>
  <c r="M316" i="26" s="1"/>
  <c r="K292" i="26"/>
  <c r="L292" i="26" s="1"/>
  <c r="M292" i="26" s="1"/>
  <c r="K268" i="26"/>
  <c r="L268" i="26" s="1"/>
  <c r="M268" i="26" s="1"/>
  <c r="K975" i="26"/>
  <c r="L975" i="26" s="1"/>
  <c r="M975" i="26" s="1"/>
  <c r="K903" i="26"/>
  <c r="L903" i="26" s="1"/>
  <c r="M903" i="26" s="1"/>
  <c r="K867" i="26"/>
  <c r="L867" i="26" s="1"/>
  <c r="M867" i="26" s="1"/>
  <c r="K855" i="26"/>
  <c r="L855" i="26" s="1"/>
  <c r="M855" i="26" s="1"/>
  <c r="K783" i="26"/>
  <c r="L783" i="26" s="1"/>
  <c r="M783" i="26" s="1"/>
  <c r="K933" i="26"/>
  <c r="L933" i="26" s="1"/>
  <c r="M933" i="26" s="1"/>
  <c r="K244" i="26"/>
  <c r="L244" i="26" s="1"/>
  <c r="M244" i="26" s="1"/>
  <c r="K172" i="26"/>
  <c r="L172" i="26" s="1"/>
  <c r="M172" i="26" s="1"/>
  <c r="K100" i="26"/>
  <c r="L100" i="26" s="1"/>
  <c r="M100" i="26" s="1"/>
  <c r="K28" i="26"/>
  <c r="L28" i="26" s="1"/>
  <c r="M28" i="26" s="1"/>
  <c r="K723" i="26"/>
  <c r="L723" i="26" s="1"/>
  <c r="M723" i="26" s="1"/>
  <c r="K627" i="26"/>
  <c r="L627" i="26" s="1"/>
  <c r="M627" i="26" s="1"/>
  <c r="K555" i="26"/>
  <c r="L555" i="26" s="1"/>
  <c r="M555" i="26" s="1"/>
  <c r="N2" i="26"/>
  <c r="O2" i="26"/>
  <c r="N2" i="27"/>
  <c r="O2" i="27"/>
  <c r="N2" i="28"/>
  <c r="K2" i="28" s="1"/>
  <c r="L2" i="28" s="1"/>
  <c r="M2" i="28" s="1"/>
  <c r="O2" i="28"/>
  <c r="P2" i="19"/>
  <c r="N2" i="19"/>
  <c r="P2" i="20"/>
  <c r="N2" i="20"/>
  <c r="N2" i="21"/>
  <c r="P2" i="21"/>
  <c r="H262" i="2" l="1"/>
  <c r="J262" i="2"/>
  <c r="K264" i="2"/>
  <c r="J273" i="2"/>
  <c r="H273" i="2"/>
  <c r="K273" i="2"/>
  <c r="K262" i="2"/>
  <c r="H263" i="2"/>
  <c r="J263" i="2"/>
  <c r="K263" i="2"/>
  <c r="H271" i="2"/>
  <c r="J271" i="2"/>
  <c r="K271" i="2"/>
  <c r="K274" i="2"/>
  <c r="H274" i="2"/>
  <c r="J274" i="2"/>
  <c r="J276" i="2"/>
  <c r="K276" i="2"/>
  <c r="H276" i="2"/>
  <c r="H272" i="2"/>
  <c r="K275" i="2"/>
  <c r="H275" i="2"/>
  <c r="H264" i="2"/>
  <c r="J272" i="2"/>
  <c r="J264" i="2"/>
  <c r="K272" i="2"/>
  <c r="K277" i="2"/>
  <c r="H277" i="2"/>
  <c r="J277" i="2"/>
  <c r="H265" i="2"/>
  <c r="J265" i="2"/>
  <c r="K265" i="2"/>
  <c r="J275" i="2"/>
  <c r="J299" i="2"/>
  <c r="K299" i="2"/>
  <c r="H300" i="2"/>
  <c r="J300" i="2"/>
  <c r="K300" i="2"/>
  <c r="J301" i="2"/>
  <c r="K301" i="2"/>
  <c r="H301" i="2"/>
  <c r="J79" i="2"/>
  <c r="K79" i="2"/>
  <c r="K78" i="2"/>
  <c r="K76" i="2"/>
  <c r="K77" i="2"/>
  <c r="J76" i="2"/>
  <c r="J78" i="2"/>
  <c r="J77" i="2"/>
  <c r="B325" i="2"/>
  <c r="C325" i="2"/>
  <c r="D325" i="2"/>
  <c r="E325" i="2"/>
  <c r="F325" i="2"/>
  <c r="G325" i="2"/>
  <c r="B320" i="2"/>
  <c r="C320" i="2"/>
  <c r="D320" i="2"/>
  <c r="E320" i="2"/>
  <c r="F320" i="2"/>
  <c r="G320" i="2"/>
  <c r="B323" i="2"/>
  <c r="C323" i="2"/>
  <c r="D323" i="2"/>
  <c r="E323" i="2"/>
  <c r="F323" i="2"/>
  <c r="G323" i="2"/>
  <c r="B322" i="2"/>
  <c r="E322" i="2"/>
  <c r="F322" i="2"/>
  <c r="G322" i="2"/>
  <c r="C322" i="2"/>
  <c r="D322" i="2"/>
  <c r="B321" i="2"/>
  <c r="C321" i="2"/>
  <c r="D321" i="2"/>
  <c r="E321" i="2"/>
  <c r="F321" i="2"/>
  <c r="G321" i="2"/>
  <c r="B324" i="2"/>
  <c r="G324" i="2"/>
  <c r="C324" i="2"/>
  <c r="D324" i="2"/>
  <c r="E324" i="2"/>
  <c r="F324" i="2"/>
  <c r="D319" i="2"/>
  <c r="E319" i="2"/>
  <c r="F319" i="2"/>
  <c r="G319" i="2"/>
  <c r="B319" i="2"/>
  <c r="C319" i="2"/>
  <c r="B311" i="2"/>
  <c r="C311" i="2"/>
  <c r="D311" i="2"/>
  <c r="E311" i="2"/>
  <c r="F311" i="2"/>
  <c r="G311" i="2"/>
  <c r="B313" i="2"/>
  <c r="E313" i="2"/>
  <c r="F313" i="2"/>
  <c r="G313" i="2"/>
  <c r="C313" i="2"/>
  <c r="D313" i="2"/>
  <c r="B312" i="2"/>
  <c r="C312" i="2"/>
  <c r="D312" i="2"/>
  <c r="E312" i="2"/>
  <c r="F312" i="2"/>
  <c r="G312" i="2"/>
  <c r="D310" i="2"/>
  <c r="E310" i="2"/>
  <c r="F310" i="2"/>
  <c r="G310" i="2"/>
  <c r="B310" i="2"/>
  <c r="C310" i="2"/>
  <c r="J42" i="2"/>
  <c r="K43" i="2"/>
  <c r="J43" i="2"/>
  <c r="I43" i="2"/>
  <c r="I42" i="2"/>
  <c r="K42" i="2"/>
  <c r="F28" i="2"/>
  <c r="G28" i="2"/>
  <c r="H28" i="2"/>
  <c r="G27" i="2"/>
  <c r="H27" i="2"/>
  <c r="L2" i="30"/>
  <c r="F27" i="2"/>
  <c r="E27" i="2"/>
  <c r="E28" i="2"/>
  <c r="E31" i="2"/>
  <c r="E217" i="2"/>
  <c r="H217" i="2"/>
  <c r="F217" i="2"/>
  <c r="G217" i="2"/>
  <c r="K2" i="29"/>
  <c r="C217" i="2"/>
  <c r="D217" i="2"/>
  <c r="F226" i="2"/>
  <c r="G226" i="2"/>
  <c r="H226" i="2"/>
  <c r="F227" i="2"/>
  <c r="G227" i="2"/>
  <c r="H227" i="2"/>
  <c r="F228" i="2"/>
  <c r="G228" i="2"/>
  <c r="H228" i="2"/>
  <c r="D228" i="2"/>
  <c r="E228" i="2"/>
  <c r="F229" i="2"/>
  <c r="G229" i="2"/>
  <c r="H229" i="2"/>
  <c r="H230" i="2"/>
  <c r="F230" i="2"/>
  <c r="G230" i="2"/>
  <c r="F231" i="2"/>
  <c r="G231" i="2"/>
  <c r="H231" i="2"/>
  <c r="F232" i="2"/>
  <c r="G232" i="2"/>
  <c r="H232" i="2"/>
  <c r="B227" i="2"/>
  <c r="C227" i="2"/>
  <c r="B228" i="2"/>
  <c r="C228" i="2"/>
  <c r="B229" i="2"/>
  <c r="C229" i="2"/>
  <c r="B230" i="2"/>
  <c r="C230" i="2"/>
  <c r="B231" i="2"/>
  <c r="C231" i="2"/>
  <c r="B232" i="2"/>
  <c r="B226" i="2"/>
  <c r="C226" i="2"/>
  <c r="F220" i="2"/>
  <c r="G220" i="2"/>
  <c r="H220" i="2"/>
  <c r="F219" i="2"/>
  <c r="G219" i="2"/>
  <c r="H219" i="2"/>
  <c r="F218" i="2"/>
  <c r="G218" i="2"/>
  <c r="H218" i="2"/>
  <c r="B220" i="2"/>
  <c r="B219" i="2"/>
  <c r="C219" i="2"/>
  <c r="B218" i="2"/>
  <c r="C218" i="2"/>
  <c r="A206" i="2"/>
  <c r="A205" i="2"/>
  <c r="A207" i="2"/>
  <c r="A208" i="2"/>
  <c r="A199" i="2"/>
  <c r="K2" i="26"/>
  <c r="L2" i="26" s="1"/>
  <c r="M2" i="26" s="1"/>
  <c r="K2" i="27"/>
  <c r="L2" i="27" s="1"/>
  <c r="M2" i="27" s="1"/>
  <c r="K2" i="20"/>
  <c r="K2" i="19"/>
  <c r="L2" i="19" s="1" a="1"/>
  <c r="L2" i="19" s="1"/>
  <c r="K2" i="21"/>
  <c r="L2" i="21" s="1" a="1"/>
  <c r="L2" i="21" s="1"/>
  <c r="J19" i="10"/>
  <c r="K19" i="10" s="1"/>
  <c r="J18" i="10"/>
  <c r="K18" i="10" s="1"/>
  <c r="J17" i="10"/>
  <c r="K17" i="10" s="1"/>
  <c r="J16" i="10"/>
  <c r="K16" i="10" s="1"/>
  <c r="J15" i="10"/>
  <c r="K15" i="10" s="1"/>
  <c r="J14" i="10"/>
  <c r="K14" i="10" s="1"/>
  <c r="J13" i="10"/>
  <c r="K13" i="10" s="1"/>
  <c r="J12" i="10"/>
  <c r="J11" i="10"/>
  <c r="J10" i="10"/>
  <c r="J9" i="10"/>
  <c r="J8" i="10"/>
  <c r="L2" i="20" l="1" a="1"/>
  <c r="L2" i="20" s="1"/>
  <c r="M2" i="20" s="1"/>
  <c r="L2" i="29" a="1"/>
  <c r="L2" i="29" s="1"/>
  <c r="D226" i="2" s="1"/>
  <c r="F30" i="2"/>
  <c r="F31" i="2"/>
  <c r="C220" i="2"/>
  <c r="C232" i="2"/>
  <c r="H322" i="2"/>
  <c r="K322" i="2"/>
  <c r="H312" i="2"/>
  <c r="H320" i="2"/>
  <c r="H325" i="2"/>
  <c r="J322" i="2"/>
  <c r="H323" i="2"/>
  <c r="K323" i="2"/>
  <c r="K320" i="2"/>
  <c r="K325" i="2"/>
  <c r="K321" i="2"/>
  <c r="H311" i="2"/>
  <c r="H319" i="2"/>
  <c r="J324" i="2"/>
  <c r="J310" i="2"/>
  <c r="J311" i="2"/>
  <c r="J319" i="2"/>
  <c r="K324" i="2"/>
  <c r="K310" i="2"/>
  <c r="K311" i="2"/>
  <c r="H324" i="2"/>
  <c r="K319" i="2"/>
  <c r="H310" i="2"/>
  <c r="K313" i="2"/>
  <c r="H321" i="2"/>
  <c r="J312" i="2"/>
  <c r="J320" i="2"/>
  <c r="J325" i="2"/>
  <c r="J321" i="2"/>
  <c r="K312" i="2"/>
  <c r="H313" i="2"/>
  <c r="J323" i="2"/>
  <c r="J313" i="2"/>
  <c r="M2" i="30"/>
  <c r="N2" i="30" s="1"/>
  <c r="D208" i="2"/>
  <c r="E208" i="2"/>
  <c r="F208" i="2"/>
  <c r="F207" i="2"/>
  <c r="D207" i="2"/>
  <c r="E207" i="2"/>
  <c r="D205" i="2"/>
  <c r="E205" i="2"/>
  <c r="F205" i="2"/>
  <c r="D206" i="2"/>
  <c r="E206" i="2"/>
  <c r="F206" i="2"/>
  <c r="B208" i="2"/>
  <c r="C208" i="2"/>
  <c r="B207" i="2"/>
  <c r="C207" i="2"/>
  <c r="B206" i="2"/>
  <c r="C206" i="2"/>
  <c r="B205" i="2"/>
  <c r="C205" i="2"/>
  <c r="D199" i="2"/>
  <c r="E199" i="2"/>
  <c r="F199" i="2"/>
  <c r="B199" i="2"/>
  <c r="C199" i="2"/>
  <c r="D218" i="2"/>
  <c r="A198" i="2"/>
  <c r="P10" i="2"/>
  <c r="P5" i="2"/>
  <c r="P4" i="2"/>
  <c r="M9" i="10" a="1"/>
  <c r="M9" i="10" s="1"/>
  <c r="K9" i="10"/>
  <c r="L9" i="10" s="1"/>
  <c r="M10" i="10" a="1"/>
  <c r="M10" i="10" s="1"/>
  <c r="K10" i="10"/>
  <c r="L10" i="10" s="1"/>
  <c r="M11" i="10" a="1"/>
  <c r="M11" i="10" s="1"/>
  <c r="K11" i="10"/>
  <c r="L11" i="10" s="1"/>
  <c r="M12" i="10" a="1"/>
  <c r="M12" i="10" s="1"/>
  <c r="K12" i="10"/>
  <c r="L12" i="10" s="1"/>
  <c r="M8" i="10" a="1"/>
  <c r="M8" i="10" s="1"/>
  <c r="K8" i="10"/>
  <c r="L8" i="10" s="1"/>
  <c r="M13" i="10" a="1"/>
  <c r="M13" i="10" s="1"/>
  <c r="M14" i="10" a="1"/>
  <c r="M14" i="10" s="1"/>
  <c r="M15" i="10" a="1"/>
  <c r="M15" i="10" s="1"/>
  <c r="M16" i="10" a="1"/>
  <c r="M16" i="10" s="1"/>
  <c r="M17" i="10" a="1"/>
  <c r="M17" i="10" s="1"/>
  <c r="M18" i="10" a="1"/>
  <c r="M18" i="10" s="1"/>
  <c r="M19" i="10" a="1"/>
  <c r="M19" i="10" s="1"/>
  <c r="L14" i="10"/>
  <c r="L15" i="10"/>
  <c r="L16" i="10"/>
  <c r="L17" i="10"/>
  <c r="L18" i="10"/>
  <c r="L13" i="10"/>
  <c r="L19" i="10"/>
  <c r="M2" i="21"/>
  <c r="M2" i="19"/>
  <c r="P6" i="2"/>
  <c r="P7" i="2"/>
  <c r="P2" i="2"/>
  <c r="A3" i="2" a="1"/>
  <c r="A3" i="2" s="1"/>
  <c r="D230" i="2" l="1"/>
  <c r="D227" i="2"/>
  <c r="D219" i="2"/>
  <c r="D229" i="2"/>
  <c r="H33" i="2"/>
  <c r="D231" i="2"/>
  <c r="G30" i="2"/>
  <c r="G31" i="2"/>
  <c r="M2" i="29"/>
  <c r="E226" i="2" s="1"/>
  <c r="D220" i="2"/>
  <c r="D232" i="2"/>
  <c r="G33" i="2"/>
  <c r="H34" i="2"/>
  <c r="E33" i="2"/>
  <c r="A66" i="2"/>
  <c r="A67" i="2"/>
  <c r="A64" i="2"/>
  <c r="A65" i="2"/>
  <c r="A62" i="2"/>
  <c r="A63" i="2"/>
  <c r="F34" i="2"/>
  <c r="G34" i="2"/>
  <c r="F25" i="2"/>
  <c r="G25" i="2"/>
  <c r="H25" i="2"/>
  <c r="F22" i="2"/>
  <c r="G22" i="2"/>
  <c r="H22" i="2"/>
  <c r="F19" i="2"/>
  <c r="G19" i="2"/>
  <c r="H19" i="2"/>
  <c r="F16" i="2"/>
  <c r="G16" i="2"/>
  <c r="H16" i="2"/>
  <c r="F10" i="2"/>
  <c r="G10" i="2"/>
  <c r="H10" i="2"/>
  <c r="F24" i="2"/>
  <c r="G24" i="2"/>
  <c r="H24" i="2"/>
  <c r="G21" i="2"/>
  <c r="H21" i="2"/>
  <c r="A150" i="2"/>
  <c r="F21" i="2"/>
  <c r="F18" i="2"/>
  <c r="G18" i="2"/>
  <c r="H18" i="2"/>
  <c r="F15" i="2"/>
  <c r="G15" i="2"/>
  <c r="H15" i="2"/>
  <c r="F9" i="2"/>
  <c r="G9" i="2"/>
  <c r="H9" i="2"/>
  <c r="E10" i="2"/>
  <c r="E9" i="2"/>
  <c r="F198" i="2"/>
  <c r="E198" i="2"/>
  <c r="D198" i="2"/>
  <c r="B198" i="2"/>
  <c r="C198" i="2"/>
  <c r="A242" i="2"/>
  <c r="A241" i="2"/>
  <c r="A243" i="2"/>
  <c r="A251" i="2"/>
  <c r="A244" i="2"/>
  <c r="A252" i="2"/>
  <c r="A250" i="2"/>
  <c r="A253" i="2"/>
  <c r="F33" i="2"/>
  <c r="E34" i="2"/>
  <c r="E24" i="2"/>
  <c r="A197" i="2"/>
  <c r="A184" i="2"/>
  <c r="A185" i="2"/>
  <c r="A182" i="2"/>
  <c r="A183" i="2"/>
  <c r="A187" i="2"/>
  <c r="E187" i="2" s="1"/>
  <c r="A181" i="2"/>
  <c r="A160" i="2"/>
  <c r="A161" i="2"/>
  <c r="A158" i="2"/>
  <c r="A159" i="2"/>
  <c r="A163" i="2"/>
  <c r="E163" i="2" s="1"/>
  <c r="A157" i="2"/>
  <c r="A136" i="2"/>
  <c r="A137" i="2"/>
  <c r="A134" i="2"/>
  <c r="A135" i="2"/>
  <c r="A139" i="2"/>
  <c r="F139" i="2" s="1"/>
  <c r="A133" i="2"/>
  <c r="A112" i="2"/>
  <c r="A113" i="2"/>
  <c r="A110" i="2"/>
  <c r="A111" i="2"/>
  <c r="A115" i="2"/>
  <c r="A109" i="2"/>
  <c r="D109" i="2" s="1"/>
  <c r="A61" i="2"/>
  <c r="C61" i="2" s="1"/>
  <c r="A186" i="2"/>
  <c r="A162" i="2"/>
  <c r="A138" i="2"/>
  <c r="A114" i="2"/>
  <c r="A174" i="2"/>
  <c r="A175" i="2"/>
  <c r="A172" i="2"/>
  <c r="A173" i="2"/>
  <c r="A151" i="2"/>
  <c r="A148" i="2"/>
  <c r="A149" i="2"/>
  <c r="A125" i="2"/>
  <c r="A126" i="2"/>
  <c r="A127" i="2"/>
  <c r="A124" i="2"/>
  <c r="A101" i="2"/>
  <c r="A102" i="2"/>
  <c r="A103" i="2"/>
  <c r="A100" i="2"/>
  <c r="A52" i="2"/>
  <c r="A54" i="2"/>
  <c r="A53" i="2"/>
  <c r="A55" i="2"/>
  <c r="B55" i="2" s="1"/>
  <c r="E25" i="2"/>
  <c r="E22" i="2"/>
  <c r="E21" i="2"/>
  <c r="E19" i="2"/>
  <c r="E18" i="2"/>
  <c r="E16" i="2"/>
  <c r="E15" i="2"/>
  <c r="E230" i="2" l="1"/>
  <c r="E227" i="2"/>
  <c r="E219" i="2"/>
  <c r="E229" i="2"/>
  <c r="E231" i="2"/>
  <c r="H30" i="2"/>
  <c r="K30" i="2" s="1"/>
  <c r="H31" i="2"/>
  <c r="K31" i="2" s="1"/>
  <c r="E110" i="2"/>
  <c r="E109" i="2"/>
  <c r="E218" i="2"/>
  <c r="E232" i="2"/>
  <c r="E220" i="2"/>
  <c r="D67" i="2"/>
  <c r="B67" i="2"/>
  <c r="G67" i="2"/>
  <c r="F67" i="2"/>
  <c r="C67" i="2"/>
  <c r="E67" i="2"/>
  <c r="G66" i="2"/>
  <c r="B66" i="2"/>
  <c r="F66" i="2"/>
  <c r="C66" i="2"/>
  <c r="E66" i="2"/>
  <c r="D66" i="2"/>
  <c r="F65" i="2"/>
  <c r="B65" i="2"/>
  <c r="E65" i="2"/>
  <c r="D65" i="2"/>
  <c r="C65" i="2"/>
  <c r="G65" i="2"/>
  <c r="E64" i="2"/>
  <c r="G64" i="2"/>
  <c r="D64" i="2"/>
  <c r="B64" i="2"/>
  <c r="F64" i="2"/>
  <c r="C64" i="2"/>
  <c r="E63" i="2"/>
  <c r="D63" i="2"/>
  <c r="B63" i="2"/>
  <c r="G63" i="2"/>
  <c r="F63" i="2"/>
  <c r="C63" i="2"/>
  <c r="E62" i="2"/>
  <c r="F62" i="2"/>
  <c r="C62" i="2"/>
  <c r="D62" i="2"/>
  <c r="B62" i="2"/>
  <c r="G62" i="2"/>
  <c r="K13" i="2"/>
  <c r="I13" i="2"/>
  <c r="J13" i="2"/>
  <c r="J12" i="2"/>
  <c r="K12" i="2"/>
  <c r="I12" i="2"/>
  <c r="D197" i="2"/>
  <c r="E197" i="2"/>
  <c r="F197" i="2"/>
  <c r="B197" i="2"/>
  <c r="C197" i="2"/>
  <c r="F253" i="2"/>
  <c r="G253" i="2"/>
  <c r="D250" i="2"/>
  <c r="F250" i="2"/>
  <c r="G250" i="2"/>
  <c r="F252" i="2"/>
  <c r="G252" i="2"/>
  <c r="F251" i="2"/>
  <c r="G251" i="2"/>
  <c r="B253" i="2"/>
  <c r="D253" i="2"/>
  <c r="B252" i="2"/>
  <c r="D252" i="2"/>
  <c r="B251" i="2"/>
  <c r="D251" i="2"/>
  <c r="B250" i="2"/>
  <c r="F244" i="2"/>
  <c r="G244" i="2"/>
  <c r="F243" i="2"/>
  <c r="G243" i="2"/>
  <c r="F241" i="2"/>
  <c r="G241" i="2"/>
  <c r="F242" i="2"/>
  <c r="G242" i="2"/>
  <c r="B244" i="2"/>
  <c r="D244" i="2"/>
  <c r="B243" i="2"/>
  <c r="D243" i="2"/>
  <c r="B242" i="2"/>
  <c r="D242" i="2"/>
  <c r="B241" i="2"/>
  <c r="D241" i="2"/>
  <c r="A196" i="2"/>
  <c r="I34" i="2"/>
  <c r="J34" i="2"/>
  <c r="K34" i="2"/>
  <c r="J33" i="2"/>
  <c r="I33" i="2"/>
  <c r="I31" i="2"/>
  <c r="J31" i="2"/>
  <c r="K33" i="2"/>
  <c r="J30" i="2"/>
  <c r="I30" i="2"/>
  <c r="I28" i="2"/>
  <c r="J28" i="2"/>
  <c r="K28" i="2"/>
  <c r="J27" i="2"/>
  <c r="K27" i="2"/>
  <c r="I27" i="2"/>
  <c r="G187" i="2"/>
  <c r="E139" i="2"/>
  <c r="H187" i="2"/>
  <c r="B187" i="2"/>
  <c r="D187" i="2"/>
  <c r="B139" i="2"/>
  <c r="C187" i="2"/>
  <c r="D139" i="2"/>
  <c r="C139" i="2"/>
  <c r="F187" i="2"/>
  <c r="E115" i="2"/>
  <c r="C163" i="2"/>
  <c r="D163" i="2"/>
  <c r="B163" i="2"/>
  <c r="H163" i="2"/>
  <c r="G163" i="2"/>
  <c r="F163" i="2"/>
  <c r="F115" i="2"/>
  <c r="D115" i="2"/>
  <c r="C115" i="2"/>
  <c r="B115" i="2"/>
  <c r="D184" i="2"/>
  <c r="E184" i="2"/>
  <c r="F184" i="2"/>
  <c r="G184" i="2"/>
  <c r="H184" i="2"/>
  <c r="B184" i="2"/>
  <c r="C184" i="2"/>
  <c r="C183" i="2"/>
  <c r="D183" i="2"/>
  <c r="E183" i="2"/>
  <c r="F183" i="2"/>
  <c r="G183" i="2"/>
  <c r="H183" i="2"/>
  <c r="B183" i="2"/>
  <c r="F186" i="2"/>
  <c r="G186" i="2"/>
  <c r="H186" i="2"/>
  <c r="B186" i="2"/>
  <c r="C186" i="2"/>
  <c r="D186" i="2"/>
  <c r="E186" i="2"/>
  <c r="E185" i="2"/>
  <c r="F185" i="2"/>
  <c r="G185" i="2"/>
  <c r="H185" i="2"/>
  <c r="B185" i="2"/>
  <c r="C185" i="2"/>
  <c r="D185" i="2"/>
  <c r="B182" i="2"/>
  <c r="C182" i="2"/>
  <c r="D182" i="2"/>
  <c r="E182" i="2"/>
  <c r="F182" i="2"/>
  <c r="G182" i="2"/>
  <c r="H182" i="2"/>
  <c r="D181" i="2"/>
  <c r="E181" i="2"/>
  <c r="F181" i="2"/>
  <c r="G181" i="2"/>
  <c r="H181" i="2"/>
  <c r="B181" i="2"/>
  <c r="C181" i="2"/>
  <c r="D175" i="2"/>
  <c r="E175" i="2"/>
  <c r="F175" i="2"/>
  <c r="G175" i="2"/>
  <c r="H175" i="2"/>
  <c r="B175" i="2"/>
  <c r="C175" i="2"/>
  <c r="C174" i="2"/>
  <c r="D174" i="2"/>
  <c r="E174" i="2"/>
  <c r="F174" i="2"/>
  <c r="G174" i="2"/>
  <c r="H174" i="2"/>
  <c r="B174" i="2"/>
  <c r="B173" i="2"/>
  <c r="C173" i="2"/>
  <c r="D173" i="2"/>
  <c r="E173" i="2"/>
  <c r="F173" i="2"/>
  <c r="G173" i="2"/>
  <c r="H173" i="2"/>
  <c r="D172" i="2"/>
  <c r="E172" i="2"/>
  <c r="F172" i="2"/>
  <c r="G172" i="2"/>
  <c r="H172" i="2"/>
  <c r="B172" i="2"/>
  <c r="C172" i="2"/>
  <c r="D160" i="2"/>
  <c r="E160" i="2"/>
  <c r="F160" i="2"/>
  <c r="G160" i="2"/>
  <c r="H160" i="2"/>
  <c r="B160" i="2"/>
  <c r="C160" i="2"/>
  <c r="C159" i="2"/>
  <c r="D159" i="2"/>
  <c r="E159" i="2"/>
  <c r="F159" i="2"/>
  <c r="G159" i="2"/>
  <c r="H159" i="2"/>
  <c r="B159" i="2"/>
  <c r="F162" i="2"/>
  <c r="G162" i="2"/>
  <c r="H162" i="2"/>
  <c r="B162" i="2"/>
  <c r="C162" i="2"/>
  <c r="D162" i="2"/>
  <c r="E162" i="2"/>
  <c r="E161" i="2"/>
  <c r="F161" i="2"/>
  <c r="G161" i="2"/>
  <c r="H161" i="2"/>
  <c r="B161" i="2"/>
  <c r="C161" i="2"/>
  <c r="D161" i="2"/>
  <c r="B158" i="2"/>
  <c r="C158" i="2"/>
  <c r="D158" i="2"/>
  <c r="E158" i="2"/>
  <c r="F158" i="2"/>
  <c r="G158" i="2"/>
  <c r="H158" i="2"/>
  <c r="D157" i="2"/>
  <c r="E157" i="2"/>
  <c r="F157" i="2"/>
  <c r="G157" i="2"/>
  <c r="H157" i="2"/>
  <c r="B157" i="2"/>
  <c r="C157" i="2"/>
  <c r="B149" i="2"/>
  <c r="C149" i="2"/>
  <c r="D149" i="2"/>
  <c r="E149" i="2"/>
  <c r="F149" i="2"/>
  <c r="G149" i="2"/>
  <c r="H149" i="2"/>
  <c r="D151" i="2"/>
  <c r="E151" i="2"/>
  <c r="F151" i="2"/>
  <c r="G151" i="2"/>
  <c r="H151" i="2"/>
  <c r="B151" i="2"/>
  <c r="C151" i="2"/>
  <c r="C150" i="2"/>
  <c r="D150" i="2"/>
  <c r="E150" i="2"/>
  <c r="F150" i="2"/>
  <c r="G150" i="2"/>
  <c r="H150" i="2"/>
  <c r="B150" i="2"/>
  <c r="D148" i="2"/>
  <c r="E148" i="2"/>
  <c r="F148" i="2"/>
  <c r="G148" i="2"/>
  <c r="H148" i="2"/>
  <c r="B148" i="2"/>
  <c r="C148" i="2"/>
  <c r="B134" i="2"/>
  <c r="C134" i="2"/>
  <c r="D134" i="2"/>
  <c r="E134" i="2"/>
  <c r="F134" i="2"/>
  <c r="D136" i="2"/>
  <c r="E136" i="2"/>
  <c r="F136" i="2"/>
  <c r="B136" i="2"/>
  <c r="C136" i="2"/>
  <c r="C135" i="2"/>
  <c r="D135" i="2"/>
  <c r="E135" i="2"/>
  <c r="F135" i="2"/>
  <c r="B135" i="2"/>
  <c r="F138" i="2"/>
  <c r="B138" i="2"/>
  <c r="C138" i="2"/>
  <c r="D138" i="2"/>
  <c r="E138" i="2"/>
  <c r="E137" i="2"/>
  <c r="F137" i="2"/>
  <c r="B137" i="2"/>
  <c r="C137" i="2"/>
  <c r="D137" i="2"/>
  <c r="D133" i="2"/>
  <c r="E133" i="2"/>
  <c r="F133" i="2"/>
  <c r="B133" i="2"/>
  <c r="C133" i="2"/>
  <c r="C126" i="2"/>
  <c r="D126" i="2"/>
  <c r="E126" i="2"/>
  <c r="F126" i="2"/>
  <c r="B126" i="2"/>
  <c r="B125" i="2"/>
  <c r="C125" i="2"/>
  <c r="D125" i="2"/>
  <c r="E125" i="2"/>
  <c r="F125" i="2"/>
  <c r="D127" i="2"/>
  <c r="E127" i="2"/>
  <c r="F127" i="2"/>
  <c r="B127" i="2"/>
  <c r="C127" i="2"/>
  <c r="D124" i="2"/>
  <c r="E124" i="2"/>
  <c r="F124" i="2"/>
  <c r="B124" i="2"/>
  <c r="C124" i="2"/>
  <c r="B110" i="2"/>
  <c r="C110" i="2"/>
  <c r="D110" i="2"/>
  <c r="F110" i="2"/>
  <c r="D112" i="2"/>
  <c r="E112" i="2"/>
  <c r="F112" i="2"/>
  <c r="B112" i="2"/>
  <c r="C112" i="2"/>
  <c r="C111" i="2"/>
  <c r="D111" i="2"/>
  <c r="E111" i="2"/>
  <c r="F111" i="2"/>
  <c r="B111" i="2"/>
  <c r="F114" i="2"/>
  <c r="B114" i="2"/>
  <c r="C114" i="2"/>
  <c r="D114" i="2"/>
  <c r="E114" i="2"/>
  <c r="E113" i="2"/>
  <c r="F113" i="2"/>
  <c r="B113" i="2"/>
  <c r="C113" i="2"/>
  <c r="D113" i="2"/>
  <c r="F109" i="2"/>
  <c r="B109" i="2"/>
  <c r="C109" i="2"/>
  <c r="D103" i="2"/>
  <c r="E103" i="2"/>
  <c r="F103" i="2"/>
  <c r="B103" i="2"/>
  <c r="C103" i="2"/>
  <c r="C102" i="2"/>
  <c r="D102" i="2"/>
  <c r="E102" i="2"/>
  <c r="F102" i="2"/>
  <c r="B102" i="2"/>
  <c r="B101" i="2"/>
  <c r="C101" i="2"/>
  <c r="D101" i="2"/>
  <c r="E101" i="2"/>
  <c r="F101" i="2"/>
  <c r="D100" i="2"/>
  <c r="E100" i="2"/>
  <c r="F100" i="2"/>
  <c r="B100" i="2"/>
  <c r="C100" i="2"/>
  <c r="D61" i="2"/>
  <c r="E61" i="2"/>
  <c r="F61" i="2"/>
  <c r="G61" i="2"/>
  <c r="B61" i="2"/>
  <c r="G55" i="2"/>
  <c r="C55" i="2"/>
  <c r="D55" i="2"/>
  <c r="E55" i="2"/>
  <c r="F55" i="2"/>
  <c r="C53" i="2"/>
  <c r="D53" i="2"/>
  <c r="E53" i="2"/>
  <c r="F53" i="2"/>
  <c r="G53" i="2"/>
  <c r="E54" i="2"/>
  <c r="F54" i="2"/>
  <c r="G54" i="2"/>
  <c r="C54" i="2"/>
  <c r="D54" i="2"/>
  <c r="E52" i="2"/>
  <c r="F52" i="2"/>
  <c r="G52" i="2"/>
  <c r="D52" i="2"/>
  <c r="C52" i="2"/>
  <c r="B53" i="2"/>
  <c r="B54" i="2"/>
  <c r="B52" i="2"/>
  <c r="K295" i="2" l="1"/>
  <c r="J286" i="2"/>
  <c r="J298" i="2"/>
  <c r="K298" i="2"/>
  <c r="H289" i="2"/>
  <c r="J289" i="2"/>
  <c r="H298" i="2"/>
  <c r="K289" i="2"/>
  <c r="K286" i="2"/>
  <c r="H296" i="2"/>
  <c r="J296" i="2"/>
  <c r="H288" i="2"/>
  <c r="K296" i="2"/>
  <c r="J288" i="2"/>
  <c r="K288" i="2"/>
  <c r="J287" i="2"/>
  <c r="H286" i="2"/>
  <c r="H295" i="2"/>
  <c r="J295" i="2"/>
  <c r="H297" i="2"/>
  <c r="J297" i="2"/>
  <c r="H287" i="2"/>
  <c r="K297" i="2"/>
  <c r="K287" i="2"/>
  <c r="K53" i="2"/>
  <c r="K52" i="2"/>
  <c r="K63" i="2"/>
  <c r="J66" i="2"/>
  <c r="K66" i="2"/>
  <c r="H64" i="2"/>
  <c r="J67" i="2"/>
  <c r="K62" i="2"/>
  <c r="K67" i="2"/>
  <c r="J62" i="2"/>
  <c r="H62" i="2"/>
  <c r="K64" i="2"/>
  <c r="J63" i="2"/>
  <c r="H67" i="2"/>
  <c r="K65" i="2"/>
  <c r="J64" i="2"/>
  <c r="J65" i="2"/>
  <c r="H63" i="2"/>
  <c r="H66" i="2"/>
  <c r="H65" i="2"/>
  <c r="H77" i="2"/>
  <c r="H85" i="2"/>
  <c r="H87" i="2"/>
  <c r="J91" i="2"/>
  <c r="K85" i="2"/>
  <c r="H79" i="2"/>
  <c r="J86" i="2"/>
  <c r="K86" i="2"/>
  <c r="K88" i="2"/>
  <c r="H90" i="2"/>
  <c r="J90" i="2"/>
  <c r="K87" i="2"/>
  <c r="J89" i="2"/>
  <c r="K91" i="2"/>
  <c r="H78" i="2"/>
  <c r="H86" i="2"/>
  <c r="H88" i="2"/>
  <c r="J88" i="2"/>
  <c r="K90" i="2"/>
  <c r="H76" i="2"/>
  <c r="J85" i="2"/>
  <c r="J87" i="2"/>
  <c r="H89" i="2"/>
  <c r="K89" i="2"/>
  <c r="H91" i="2"/>
  <c r="C196" i="2"/>
  <c r="D196" i="2"/>
  <c r="E196" i="2"/>
  <c r="F196" i="2"/>
  <c r="B196" i="2"/>
  <c r="K244" i="2"/>
  <c r="J242" i="2"/>
  <c r="H244" i="2"/>
  <c r="H242" i="2"/>
  <c r="J244" i="2"/>
  <c r="K243" i="2"/>
  <c r="H251" i="2"/>
  <c r="J243" i="2"/>
  <c r="J250" i="2"/>
  <c r="H241" i="2"/>
  <c r="K242" i="2"/>
  <c r="J251" i="2"/>
  <c r="K251" i="2"/>
  <c r="J253" i="2"/>
  <c r="K253" i="2"/>
  <c r="H243" i="2"/>
  <c r="H250" i="2"/>
  <c r="K250" i="2"/>
  <c r="H252" i="2"/>
  <c r="J252" i="2"/>
  <c r="K252" i="2"/>
  <c r="J241" i="2"/>
  <c r="K241" i="2"/>
  <c r="H253" i="2"/>
  <c r="K219" i="2"/>
  <c r="J217" i="2"/>
  <c r="K217" i="2"/>
  <c r="I219" i="2"/>
  <c r="K227" i="2"/>
  <c r="J228" i="2"/>
  <c r="K220" i="2"/>
  <c r="I227" i="2"/>
  <c r="K232" i="2"/>
  <c r="J231" i="2"/>
  <c r="I217" i="2"/>
  <c r="I218" i="2"/>
  <c r="I226" i="2"/>
  <c r="J218" i="2"/>
  <c r="J220" i="2"/>
  <c r="J226" i="2"/>
  <c r="I228" i="2"/>
  <c r="K218" i="2"/>
  <c r="K226" i="2"/>
  <c r="J232" i="2"/>
  <c r="J219" i="2"/>
  <c r="I220" i="2"/>
  <c r="J227" i="2"/>
  <c r="I229" i="2"/>
  <c r="J229" i="2"/>
  <c r="K229" i="2"/>
  <c r="I231" i="2"/>
  <c r="K231" i="2"/>
  <c r="I230" i="2"/>
  <c r="K228" i="2"/>
  <c r="J230" i="2"/>
  <c r="K230" i="2"/>
  <c r="I232" i="2"/>
  <c r="H197" i="2"/>
  <c r="H205" i="2"/>
  <c r="J205" i="2"/>
  <c r="K205" i="2"/>
  <c r="J208" i="2"/>
  <c r="K208" i="2"/>
  <c r="K207" i="2"/>
  <c r="H207" i="2"/>
  <c r="J207" i="2"/>
  <c r="K198" i="2"/>
  <c r="J199" i="2"/>
  <c r="H208" i="2"/>
  <c r="J198" i="2"/>
  <c r="K197" i="2"/>
  <c r="H199" i="2"/>
  <c r="H206" i="2"/>
  <c r="K199" i="2"/>
  <c r="J206" i="2"/>
  <c r="K206" i="2"/>
  <c r="H198" i="2"/>
  <c r="J197" i="2"/>
  <c r="J135" i="2"/>
  <c r="J110" i="2"/>
  <c r="H114" i="2"/>
  <c r="J114" i="2"/>
  <c r="K114" i="2"/>
  <c r="H112" i="2"/>
  <c r="K182" i="2"/>
  <c r="I159" i="2"/>
  <c r="K61" i="2"/>
  <c r="J182" i="2"/>
  <c r="J136" i="2"/>
  <c r="H136" i="2"/>
  <c r="K133" i="2"/>
  <c r="K136" i="2"/>
  <c r="J112" i="2"/>
  <c r="J158" i="2"/>
  <c r="K157" i="2"/>
  <c r="I162" i="2"/>
  <c r="K158" i="2"/>
  <c r="I185" i="2"/>
  <c r="J109" i="2"/>
  <c r="K110" i="2"/>
  <c r="I160" i="2"/>
  <c r="J186" i="2"/>
  <c r="K134" i="2"/>
  <c r="H111" i="2"/>
  <c r="H109" i="2"/>
  <c r="K185" i="2"/>
  <c r="I186" i="2"/>
  <c r="H134" i="2"/>
  <c r="K111" i="2"/>
  <c r="I161" i="2"/>
  <c r="J111" i="2"/>
  <c r="I158" i="2"/>
  <c r="J161" i="2"/>
  <c r="H138" i="2"/>
  <c r="K183" i="2"/>
  <c r="J9" i="2"/>
  <c r="I183" i="2"/>
  <c r="I9" i="2"/>
  <c r="J185" i="2"/>
  <c r="K112" i="2"/>
  <c r="K161" i="2"/>
  <c r="K109" i="2"/>
  <c r="J160" i="2"/>
  <c r="H113" i="2"/>
  <c r="K187" i="2"/>
  <c r="K9" i="2"/>
  <c r="K162" i="2"/>
  <c r="J162" i="2"/>
  <c r="H110" i="2"/>
  <c r="J134" i="2"/>
  <c r="J24" i="2"/>
  <c r="I24" i="2"/>
  <c r="K184" i="2"/>
  <c r="J113" i="2"/>
  <c r="K160" i="2"/>
  <c r="H137" i="2"/>
  <c r="I181" i="2"/>
  <c r="I184" i="2"/>
  <c r="K137" i="2"/>
  <c r="H133" i="2"/>
  <c r="J138" i="2"/>
  <c r="J183" i="2"/>
  <c r="I182" i="2"/>
  <c r="J184" i="2"/>
  <c r="K113" i="2"/>
  <c r="K138" i="2"/>
  <c r="K24" i="2"/>
  <c r="J137" i="2"/>
  <c r="K186" i="2"/>
  <c r="J163" i="2"/>
  <c r="J133" i="2"/>
  <c r="K196" i="2" l="1"/>
  <c r="J196" i="2"/>
  <c r="H196" i="2"/>
  <c r="K135" i="2"/>
  <c r="H135" i="2"/>
  <c r="H61" i="2"/>
  <c r="K159" i="2"/>
  <c r="I21" i="2"/>
  <c r="J159" i="2"/>
  <c r="J61" i="2"/>
  <c r="K115" i="2"/>
  <c r="J157" i="2"/>
  <c r="I157" i="2"/>
  <c r="H54" i="2"/>
  <c r="I18" i="2"/>
  <c r="J100" i="2"/>
  <c r="J139" i="2"/>
  <c r="H139" i="2"/>
  <c r="K139" i="2"/>
  <c r="J151" i="2"/>
  <c r="K16" i="2"/>
  <c r="I16" i="2"/>
  <c r="K126" i="2"/>
  <c r="J18" i="2"/>
  <c r="K18" i="2"/>
  <c r="K103" i="2"/>
  <c r="K15" i="2"/>
  <c r="I187" i="2"/>
  <c r="K151" i="2"/>
  <c r="K181" i="2"/>
  <c r="J125" i="2"/>
  <c r="J102" i="2"/>
  <c r="I151" i="2"/>
  <c r="H102" i="2"/>
  <c r="J10" i="2"/>
  <c r="J55" i="2"/>
  <c r="I174" i="2"/>
  <c r="J187" i="2"/>
  <c r="I149" i="2"/>
  <c r="H115" i="2"/>
  <c r="J115" i="2"/>
  <c r="J15" i="2"/>
  <c r="I15" i="2"/>
  <c r="K54" i="2"/>
  <c r="H125" i="2"/>
  <c r="I19" i="2"/>
  <c r="K174" i="2"/>
  <c r="K124" i="2"/>
  <c r="K100" i="2"/>
  <c r="K19" i="2"/>
  <c r="I175" i="2"/>
  <c r="K101" i="2"/>
  <c r="K149" i="2"/>
  <c r="J54" i="2"/>
  <c r="K125" i="2"/>
  <c r="K172" i="2"/>
  <c r="J172" i="2"/>
  <c r="H101" i="2"/>
  <c r="J16" i="2"/>
  <c r="J149" i="2"/>
  <c r="J124" i="2"/>
  <c r="I163" i="2"/>
  <c r="J25" i="2"/>
  <c r="I22" i="2"/>
  <c r="K55" i="2"/>
  <c r="K10" i="2"/>
  <c r="K163" i="2"/>
  <c r="K175" i="2"/>
  <c r="J173" i="2"/>
  <c r="I10" i="2"/>
  <c r="K21" i="2"/>
  <c r="K22" i="2"/>
  <c r="J101" i="2"/>
  <c r="J22" i="2"/>
  <c r="H103" i="2"/>
  <c r="J52" i="2"/>
  <c r="J126" i="2"/>
  <c r="H126" i="2"/>
  <c r="I172" i="2"/>
  <c r="J21" i="2"/>
  <c r="K148" i="2"/>
  <c r="H124" i="2"/>
  <c r="H55" i="2"/>
  <c r="H127" i="2"/>
  <c r="I173" i="2"/>
  <c r="J103" i="2"/>
  <c r="K127" i="2"/>
  <c r="J175" i="2"/>
  <c r="J148" i="2"/>
  <c r="J127" i="2"/>
  <c r="I25" i="2"/>
  <c r="H53" i="2"/>
  <c r="J181" i="2"/>
  <c r="K25" i="2"/>
  <c r="K150" i="2"/>
  <c r="J150" i="2"/>
  <c r="I150" i="2"/>
  <c r="H100" i="2"/>
  <c r="K102" i="2"/>
  <c r="J53" i="2"/>
  <c r="H52" i="2"/>
  <c r="J19" i="2"/>
  <c r="J174" i="2"/>
  <c r="K173" i="2"/>
  <c r="I14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<sst xmlns="http://schemas.openxmlformats.org/spreadsheetml/2006/main" count="9908" uniqueCount="5775">
  <si>
    <t>Title</t>
  </si>
  <si>
    <t>Labels</t>
  </si>
  <si>
    <t>AFS</t>
  </si>
  <si>
    <t>VFC</t>
  </si>
  <si>
    <t>Reimbursements</t>
  </si>
  <si>
    <t>Date</t>
  </si>
  <si>
    <t>Process</t>
  </si>
  <si>
    <t>D-2</t>
  </si>
  <si>
    <t>WTD</t>
  </si>
  <si>
    <t>PM</t>
  </si>
  <si>
    <t>D-1</t>
  </si>
  <si>
    <t>Report Date</t>
  </si>
  <si>
    <t>AFS Weekly Misses</t>
  </si>
  <si>
    <t>False Resolution</t>
  </si>
  <si>
    <t>AFS Daily Misses</t>
  </si>
  <si>
    <t>Preventative Maintenance Daily Misses</t>
  </si>
  <si>
    <t>VFC Weekly Misses</t>
  </si>
  <si>
    <t>VFC Daily Misses</t>
  </si>
  <si>
    <t>Ungrounding</t>
  </si>
  <si>
    <t>Ops Date</t>
  </si>
  <si>
    <t>NCI</t>
  </si>
  <si>
    <t>Excluded</t>
  </si>
  <si>
    <t>Ungrounding Weekly Misses</t>
  </si>
  <si>
    <t>Ungrounding Daily Misses</t>
  </si>
  <si>
    <t>Reimbursement</t>
  </si>
  <si>
    <t>Operator Follow-up</t>
  </si>
  <si>
    <t> Preventative Maintenance Weekly Misses</t>
  </si>
  <si>
    <t xml:space="preserve">Quality – Central Ops </t>
  </si>
  <si>
    <t>Overall Summary</t>
  </si>
  <si>
    <t>Reference</t>
  </si>
  <si>
    <t>Reimbursement Weekly Misses</t>
  </si>
  <si>
    <t>Reimbursement Daily Misses</t>
  </si>
  <si>
    <t>Miss</t>
  </si>
  <si>
    <t>SLA</t>
  </si>
  <si>
    <t>CI</t>
  </si>
  <si>
    <t>Ops Week</t>
  </si>
  <si>
    <t>Bridge</t>
  </si>
  <si>
    <t>• For detailed Daily Flash logic, visit: https://amazon.awsapps.com/workdocs/index.html#/document/32309652cdaa6e9a98d9aa7c923a7ac4b81649ca157167de62e80d9b2dde1de0
• For detailed CI vs. NCI logic, visit: https://amazon.awsapps.com/workdocs/index.html#/document/3ddf88162260e6cbc03338b8764730b5bf4f6b17dab9ab577bd2110ade412973</t>
  </si>
  <si>
    <t>Authorized Fleet Services (AFS)</t>
  </si>
  <si>
    <t>Preventative Maintenance (PM)</t>
  </si>
  <si>
    <t>Voyager Fueling Cards (VFC)</t>
  </si>
  <si>
    <t>• Quality does not audit Mobile Fueling (VFC and Reimbursement) SIMs escalated to Fleet PMs</t>
  </si>
  <si>
    <t>protoKey</t>
  </si>
  <si>
    <t>[Long Form]</t>
  </si>
  <si>
    <t>The demonstration table to the right breaks down the logic used to find SIM [Ops Date]s. It begins by slicing</t>
  </si>
  <si>
    <t>a ten-character string out of the [Title], which ends with the year; it is set up to handle late December/early</t>
  </si>
  <si>
    <t>January, when two years will be present. From there, any white space is trimmed, and then the first character</t>
  </si>
  <si>
    <t>Ungrounding was not capturing the types of misses (i.e., False Resolution, CI, or Non-CI). Added logic to now do so; requires downloading another header.</t>
  </si>
  <si>
    <t>Change Log</t>
  </si>
  <si>
    <t>Login</t>
  </si>
  <si>
    <t>jjonamos</t>
  </si>
  <si>
    <t>Added cell logic to ensure "Week Number 53" never shows up again.</t>
  </si>
  <si>
    <t>Issue Url</t>
  </si>
  <si>
    <t>Data Status</t>
  </si>
  <si>
    <t>Operator Follow-up Miss</t>
  </si>
  <si>
    <t>False Resolution Miss</t>
  </si>
  <si>
    <t>SLA Miss</t>
  </si>
  <si>
    <t>Refactored automation to use Class modules.</t>
  </si>
  <si>
    <t>Time Range</t>
  </si>
  <si>
    <t>Refactored tool to receive SIMs from Python code.</t>
  </si>
  <si>
    <t>Key</t>
  </si>
  <si>
    <t>Value</t>
  </si>
  <si>
    <t>ce593387-4d82-416d-ac64-90bd6ae2a939</t>
  </si>
  <si>
    <t>AFS QA Miss</t>
  </si>
  <si>
    <t>4a3e0e0d-db05-499c-bb67-33d516596694</t>
  </si>
  <si>
    <t>1b56ce8d-d3b7-43d7-933a-96cebd319004</t>
  </si>
  <si>
    <t>d165abad-d3d4-4080-9493-0cba87fba25e</t>
  </si>
  <si>
    <t>71414cc5-7f37-4514-9e67-3b801c551a71</t>
  </si>
  <si>
    <t>545d21be-90d0-4561-a3d4-73616c3d00a8</t>
  </si>
  <si>
    <t>a05f2c64-26d4-491c-9c5d-1562d6577cde</t>
  </si>
  <si>
    <t>54e144be-c763-46b5-86ce-08fe4923ac6d</t>
  </si>
  <si>
    <t>1dcd7a43-a634-450d-a559-953ff9b341d4</t>
  </si>
  <si>
    <t>8489c52c-ebd6-48a5-9461-414c8e88bd09</t>
  </si>
  <si>
    <t>3cd83379-cd12-4d48-87c7-73f812aea5a5</t>
  </si>
  <si>
    <t>d0efcb87-faf4-4916-b250-9148a672b0db</t>
  </si>
  <si>
    <t>c37b5afc-1038-4fbe-94c8-6f887538693d</t>
  </si>
  <si>
    <t>7c64026e-4f5c-40f4-bf35-a204bc705ab9</t>
  </si>
  <si>
    <t>5260662e-629b-4a9e-882b-3ef0a6396d5f</t>
  </si>
  <si>
    <t>c162ade3-f018-4943-bffc-8a17b11ec2d9</t>
  </si>
  <si>
    <t>4284beda-d45a-4665-a184-2be47b7c93e8</t>
  </si>
  <si>
    <t>cbcac966-78dc-42ce-b798-5c0327817715</t>
  </si>
  <si>
    <t>bd68081d-89bf-4c57-a169-5e560145a599</t>
  </si>
  <si>
    <t>fea35a36-2593-432e-9d64-36298a9bf427</t>
  </si>
  <si>
    <t>671f9272-4ff7-41e5-b77b-3f09b72860d8</t>
  </si>
  <si>
    <t>dd251268-05b4-4b75-806b-60b6d6d88910</t>
  </si>
  <si>
    <t>02ac8d9c-b44b-4394-a09f-b06c9b168e63</t>
  </si>
  <si>
    <t>4d257bd1-d111-4de3-8a8f-a444c8a948d1</t>
  </si>
  <si>
    <t>1d47b5f9-92b3-4b25-90c4-cf4cf88e2231</t>
  </si>
  <si>
    <t>c992a71e-38e6-4ddb-b3ee-9765089012c2</t>
  </si>
  <si>
    <t>6258dc26-a0f3-4beb-9be2-5839d4007597</t>
  </si>
  <si>
    <t>423b291a-eeb8-49b1-96c1-ddba375a0845</t>
  </si>
  <si>
    <t>89af1f29-7741-4d5b-bee6-33c6871ad86e</t>
  </si>
  <si>
    <t>54967f6d-a14f-4bd6-aabb-c02a9264ce08</t>
  </si>
  <si>
    <t>4b340327-bd0d-4c5e-bf7c-2956e73f6ebc</t>
  </si>
  <si>
    <t>1a6fafe4-65e8-4c75-a305-8bcbe0b30116</t>
  </si>
  <si>
    <t>1b858fec-a7fd-4ec4-b26c-dd2b3c3276e4</t>
  </si>
  <si>
    <t>3bc229cc-5408-4b12-9cd7-c82be48170e7</t>
  </si>
  <si>
    <t>11f40b0f-ccae-4986-a391-1b30014f9f6a</t>
  </si>
  <si>
    <t>466c0e49-63f8-460b-96dc-33e5b7befb04</t>
  </si>
  <si>
    <t>5848cbe9-5647-4bb6-8c75-edb44a2dfbb3</t>
  </si>
  <si>
    <t>3b96aef2-84ae-4948-bc58-768d1d8c2f03</t>
  </si>
  <si>
    <t>5f1f8234-36ac-4e74-ac86-ecbff67e0a53</t>
  </si>
  <si>
    <t>ba3c4041-5ad3-48f3-9318-5a3b16ddad76</t>
  </si>
  <si>
    <t>a9c304e0-19d7-4a1f-a4e7-cef321c1e72c</t>
  </si>
  <si>
    <t>2f9d8746-921a-4a82-8602-641786ac0f46</t>
  </si>
  <si>
    <t>1f727329-d4ce-428f-8bb1-8df160236528</t>
  </si>
  <si>
    <t>3b7ec2f9-c410-4cb8-8168-692c7bf6973f</t>
  </si>
  <si>
    <t>5a950658-5493-48eb-a2be-425f89d2d4f4</t>
  </si>
  <si>
    <t>62a060c8-4f05-4bfa-8ce0-d7f8e4d3a51b</t>
  </si>
  <si>
    <t>10bff125-153b-4f7c-8368-d2eac5191c72</t>
  </si>
  <si>
    <t>ec7332a8-a561-4918-b8e1-c7fdd1f5adb1</t>
  </si>
  <si>
    <t>7586b661-858d-4572-97e0-57a174437cfa</t>
  </si>
  <si>
    <t>76cb19e8-11a5-4600-b6c1-f65e9ef8517e</t>
  </si>
  <si>
    <t>876046af-24a5-422e-abd9-cd94f380292a</t>
  </si>
  <si>
    <t>059f066d-3957-4181-be33-0e012ce59480</t>
  </si>
  <si>
    <t>1470a8a4-fcb5-47e2-a07a-ef36de78fc05</t>
  </si>
  <si>
    <t>8900b064-f347-40ce-9759-9c939c6522a1</t>
  </si>
  <si>
    <t>0d747484-ad1e-4c11-918c-535a22915698</t>
  </si>
  <si>
    <t>afaf1811-e2b2-4581-af07-67b9465e08f0</t>
  </si>
  <si>
    <t>e9eb2d9b-47fd-4cd2-b4c5-7d7522768887</t>
  </si>
  <si>
    <t>1ea6199c-d229-451f-a63b-699ecb4ee7b6</t>
  </si>
  <si>
    <t>35e37883-0408-4719-a33e-b235b1e88ca4</t>
  </si>
  <si>
    <t>5dcfe8cf-0e91-4538-b9fd-fdbbdfd5ddee</t>
  </si>
  <si>
    <t>80ee00f7-4f8b-402d-ba1b-3e2c8d6e663b</t>
  </si>
  <si>
    <t>79eb7181-7396-41d3-b5f5-d2885c0417c1</t>
  </si>
  <si>
    <t>c4312744-c1b9-499b-b002-8fdab71221c9</t>
  </si>
  <si>
    <t>c4a88748-4f20-4122-92f7-48ede3553b02</t>
  </si>
  <si>
    <t>3b0b5128-172d-477d-82da-5213588e219b</t>
  </si>
  <si>
    <t>dfb60dc7-6521-467d-900c-67c408595915</t>
  </si>
  <si>
    <t>ef191bf9-a4d8-4457-a60b-4bec9e5a277d</t>
  </si>
  <si>
    <t>ccc8336f-5a68-4104-9551-b05ef48f78c1</t>
  </si>
  <si>
    <t>e888eeb5-d4c4-43f0-bc11-a331fb767975</t>
  </si>
  <si>
    <t>e378bb0b-503a-42ac-91c2-73d4320960f4</t>
  </si>
  <si>
    <t>b3ea4c30-9452-4e91-b119-558ec439b37d</t>
  </si>
  <si>
    <t>8ae3b4d1-308f-4e1e-ae82-bd5e09b93e5a</t>
  </si>
  <si>
    <t>3d190a97-21dd-4c0a-8246-cebf179df2f4</t>
  </si>
  <si>
    <t>76e2dc68-710e-4be4-82d1-db8f0694633f</t>
  </si>
  <si>
    <t>a62560a0-3ac3-4606-986f-6f15c620bd1b</t>
  </si>
  <si>
    <t>df6f41ac-0ddd-485f-9598-1ea15cffa208</t>
  </si>
  <si>
    <t>445c50c1-1235-4864-bcbe-60abc94eed9c</t>
  </si>
  <si>
    <t>1fd8d77f-6ec8-4713-9346-77342ab0c14d</t>
  </si>
  <si>
    <t>d1783cf3-17cb-49e8-933d-045bd4985bc1</t>
  </si>
  <si>
    <t>4cd224a2-01a6-4ed7-b725-9799a7f7af79</t>
  </si>
  <si>
    <t>284fd60a-7fe4-44e2-a68e-548d6741bef6</t>
  </si>
  <si>
    <t>3961e866-28e9-4c66-bb56-e417eba28aae</t>
  </si>
  <si>
    <t>09fc67d9-1b95-44c0-93e8-f44a068124f3</t>
  </si>
  <si>
    <t>8dabc845-c02b-4d03-b08c-1ee57868478a</t>
  </si>
  <si>
    <t>16b1d581-aa6a-45f2-b71e-ea4ed8a0a0b5</t>
  </si>
  <si>
    <t>1e3fff4b-fad0-4ac7-ad77-4bb982ed0f12</t>
  </si>
  <si>
    <t>659d7c85-e303-436d-a563-2fb4952615e1</t>
  </si>
  <si>
    <t>780c9ba1-0de0-423f-9bf6-d2e4de3b9c1c</t>
  </si>
  <si>
    <t>20c7453c-8d7e-443d-9ee9-ceb710c3ea7c</t>
  </si>
  <si>
    <t>8bbe3123-20a0-4000-bc4b-45550d40c8b3</t>
  </si>
  <si>
    <t>87597405-68dd-4164-be19-d92a78ebb175</t>
  </si>
  <si>
    <t>d77285bd-fe9f-4066-8726-3a3a4abc1396</t>
  </si>
  <si>
    <t>70667208-9484-439c-b2e0-a71402f5be43</t>
  </si>
  <si>
    <t>f6b39372-5bde-40d9-8094-9703b869d19f</t>
  </si>
  <si>
    <t>0cd6aad8-e623-4f9b-b300-753c36968e5b</t>
  </si>
  <si>
    <t>832bff51-7686-4fc6-9649-ecdb0cc70f0a</t>
  </si>
  <si>
    <t>83aaa74e-de61-4801-a55b-02c6ae5c3abf</t>
  </si>
  <si>
    <t>e108ae93-e0bd-45bd-b541-0612fc836e51</t>
  </si>
  <si>
    <t>d35307d5-a0b8-4881-97ea-ec149856a560</t>
  </si>
  <si>
    <t>cf74c09c-3838-4b45-a07d-662c5dcb1335</t>
  </si>
  <si>
    <t>f2db5440-5203-40ae-8939-4baf6b394ae4</t>
  </si>
  <si>
    <t>df6723da-478b-4380-b29f-827c4701388e</t>
  </si>
  <si>
    <t>3cacbb98-7514-4c36-b57b-5650c165e548</t>
  </si>
  <si>
    <t>0692cee5-e52c-489b-b29d-f65f47e5cbe6</t>
  </si>
  <si>
    <t>262243b4-5d11-43c8-94ed-9c875f8b36a7</t>
  </si>
  <si>
    <t>fde3ef32-41be-42bd-b1ea-21955df8406a</t>
  </si>
  <si>
    <t>6313da4a-3806-47ff-90c9-c9b9ea8b708b</t>
  </si>
  <si>
    <t>1f3c7cdf-934e-486f-991c-48fe28b04dc9</t>
  </si>
  <si>
    <t>1237e880-2dd9-45ff-9246-6a7ad78d07f5</t>
  </si>
  <si>
    <t>ec319345-8ef5-450c-912e-3f2776964c8c</t>
  </si>
  <si>
    <t>b80e2b24-06a7-43ee-8479-e225d77be175</t>
  </si>
  <si>
    <t>a4f86eb1-8c2c-4e82-b4a5-56d378053f3f</t>
  </si>
  <si>
    <t>e3bd8d88-e10b-43a8-9ce5-44133b6ccb77</t>
  </si>
  <si>
    <t>3d28818d-28ed-49ab-bf1f-465cd3c1bb7e</t>
  </si>
  <si>
    <t>a5c1e9b5-d478-4197-a76b-d88b8b9a79aa</t>
  </si>
  <si>
    <t>650e76a4-6686-4090-b02c-945a9a39d8a8</t>
  </si>
  <si>
    <t>36244aa1-92bc-47da-80fe-04667f0cf50c</t>
  </si>
  <si>
    <t>c5a5ba13-f362-4a9b-8962-28c0c1d16ebc</t>
  </si>
  <si>
    <t>b240abff-eb21-4f71-98e4-8df5181abde1</t>
  </si>
  <si>
    <t>19973bb5-323b-491e-8272-f99b7479be4e</t>
  </si>
  <si>
    <t>2f63821f-0dd3-43ee-9733-8d4206cdaaac</t>
  </si>
  <si>
    <t>2c8b8e66-1a7e-4c75-a4ec-a916374324a7</t>
  </si>
  <si>
    <t>6397eb5a-f325-4aab-8740-cbb3eea1e59f</t>
  </si>
  <si>
    <t>86ea117f-2690-48c8-b549-a4d366931fe9</t>
  </si>
  <si>
    <t>5a3fd326-7494-4463-8ad7-df088c000b17</t>
  </si>
  <si>
    <t>d8cd7d07-811e-459f-9349-e511eef8f1a3</t>
  </si>
  <si>
    <t>d918220c-8853-423a-9f54-ac6915bb673e</t>
  </si>
  <si>
    <t>a6da493a-aeb1-4146-8128-2274c43c5ae1</t>
  </si>
  <si>
    <t>b3ffdfdf-9950-409a-88c7-11187411f346</t>
  </si>
  <si>
    <t>b34ed956-6c32-4661-bdbc-39b1b275e880</t>
  </si>
  <si>
    <t>f81e3944-58a9-4a49-8f00-d1ffd2b6c215</t>
  </si>
  <si>
    <t>751d923f-3af0-4aa1-9671-7b3694eee2dd</t>
  </si>
  <si>
    <t>c301570d-ff09-4130-8be3-36d04f4e4456</t>
  </si>
  <si>
    <t>e2c9f09d-c306-458d-9174-6ee3d816ac40</t>
  </si>
  <si>
    <t>afe7ed94-dd3a-454b-bd92-87f60a5a6ec7</t>
  </si>
  <si>
    <t>c0d1c458-9c93-434c-a8f6-fe19f9e4092d</t>
  </si>
  <si>
    <t>4768ffa9-e134-43b1-8e50-a4d0968791f8</t>
  </si>
  <si>
    <t>dbca7d13-dde7-46ce-84fa-bebac22ca0ba</t>
  </si>
  <si>
    <t>81cb39cb-73d2-4f4d-9a78-8c348621238a</t>
  </si>
  <si>
    <t>a975868d-bca2-48fb-9017-f50ee9331238</t>
  </si>
  <si>
    <t>ca82a1be-32c4-4ab5-ab69-ad368885c4ee</t>
  </si>
  <si>
    <t>debeaa0b-731a-40f5-9a38-5fc54e51ce4b</t>
  </si>
  <si>
    <t>87d89f55-d8db-435b-bd8e-60e1eeba8e16</t>
  </si>
  <si>
    <t>d43d6688-47d4-4d8d-a289-66bfce7a8116</t>
  </si>
  <si>
    <t>7a2ffc14-7781-472c-820d-6972b4c1350d</t>
  </si>
  <si>
    <t>4dfeaf9a-df9d-4915-b10e-959a4e3f2def</t>
  </si>
  <si>
    <t>771e17b8-42d2-4777-8167-fb130ac770f3</t>
  </si>
  <si>
    <t>7e0561a4-2697-41f0-ae2d-45e0151b9eca</t>
  </si>
  <si>
    <t>cfaec05d-28ff-4b37-8a36-865186b254fc</t>
  </si>
  <si>
    <t>1998b091-396c-49a3-a1da-7acf9eace93f</t>
  </si>
  <si>
    <t>0a3d20c9-30c2-4645-b3a2-7e2589e5cd72</t>
  </si>
  <si>
    <t>3e9dc522-50d9-4f58-87fe-9911ee45c703</t>
  </si>
  <si>
    <t>6eb7e1c0-d892-477e-9ffd-e182dddaf3dc</t>
  </si>
  <si>
    <t>8b80ca41-f1a1-4a1a-9a86-0bc184c54cea</t>
  </si>
  <si>
    <t>2cfc497c-ae47-4aaa-bba3-605de9f2abdd</t>
  </si>
  <si>
    <t>5b336a76-ffe5-4545-8766-9857ee0cf935</t>
  </si>
  <si>
    <t>1805e94d-b26a-45d9-ab87-00c694895e1d</t>
  </si>
  <si>
    <t>d0f3b577-45dd-4d2e-958b-a4c986287d37</t>
  </si>
  <si>
    <t>9b274df7-af75-4b2a-b03f-fdf92ce1b920</t>
  </si>
  <si>
    <t>dcc39e45-a8f9-4868-8b9d-ff0e8740ec70</t>
  </si>
  <si>
    <t>a7f850b7-522a-46f1-83db-eccdef9f0492</t>
  </si>
  <si>
    <t>49dbe65a-b4f4-401c-952c-7e075e49f98f</t>
  </si>
  <si>
    <t>3c196dcc-6cff-462a-931c-4954ae1e629d</t>
  </si>
  <si>
    <t>b3a92d29-f8f8-4349-a577-45c649f9efbb</t>
  </si>
  <si>
    <t>61fdb17b-404e-4556-97fe-75205830339d</t>
  </si>
  <si>
    <t>a7b3418f-24c0-411b-8c93-e5df8703cc94</t>
  </si>
  <si>
    <t>63e24525-4b0f-463f-b104-e452358124c0</t>
  </si>
  <si>
    <t>322718fa-3eda-4575-8b52-9c4ffb964fdc</t>
  </si>
  <si>
    <t>3ab75323-b365-462e-9cab-84dc895b0a2a</t>
  </si>
  <si>
    <t>f934ed95-1a27-42e0-9ba9-36985c8dc165</t>
  </si>
  <si>
    <t>0d53fad8-b37c-4c7a-a281-1bdc5846635c</t>
  </si>
  <si>
    <t>6c19e9ec-ead5-4613-9781-b528802e6014</t>
  </si>
  <si>
    <t>a3d6a415-d221-4cab-8afe-da9e2aecba70</t>
  </si>
  <si>
    <t>87b17bce-88e8-4bb2-9b94-95e30721d5c0</t>
  </si>
  <si>
    <t>9a931413-c13c-4d9f-8c67-e4e6dc27b5c2</t>
  </si>
  <si>
    <t>6a54a301-3044-422c-8be4-38665c119151</t>
  </si>
  <si>
    <t>48afb49f-512e-4050-8236-004ae3d9fe35</t>
  </si>
  <si>
    <t>ad65d3a2-b546-4af4-adae-e9f46bc325ca</t>
  </si>
  <si>
    <t>15ed925d-9312-4235-8eca-32e78a375580</t>
  </si>
  <si>
    <t>e956bc1d-8800-4d08-af5c-17e6eee5465d</t>
  </si>
  <si>
    <t>49c6bee2-5bfb-4a26-a2b9-9457f171781b</t>
  </si>
  <si>
    <t>6a2c6d61-7f7c-4ba6-9789-8d44fb9e3528</t>
  </si>
  <si>
    <t>edebf4cc-7280-4946-9bf0-980e5a23c8ab</t>
  </si>
  <si>
    <t>6254fe76-0697-4ba5-b0a4-f277cdf497ee</t>
  </si>
  <si>
    <t>f7b893b1-de1c-41ba-bf06-61a004d1354f</t>
  </si>
  <si>
    <t>de6222ed-58dc-4b59-a35a-7760e99a4324</t>
  </si>
  <si>
    <t>e81d86e7-ab63-47fb-aa90-cdb3ea0effe8</t>
  </si>
  <si>
    <t>1d7821ba-58ee-4a96-b951-e78d216f9b24</t>
  </si>
  <si>
    <t>891f7200-26c9-4aac-8c77-0a8e57a4a4b3</t>
  </si>
  <si>
    <t>42b0a8b7-779b-47f1-9476-90c101b370b7</t>
  </si>
  <si>
    <t>082bd453-1d9e-440a-96a3-c7b2c2fd94eb</t>
  </si>
  <si>
    <t>3544b196-b83d-4bb8-a97f-73019b87d6f5</t>
  </si>
  <si>
    <t>f0604cc5-472e-4061-b96e-c78046fa2d7a</t>
  </si>
  <si>
    <t>a5cd1686-6b48-4367-b7e2-e2560c72e9d1</t>
  </si>
  <si>
    <t>98c0ff1e-4eb8-42a6-bec9-a3f3843fed7c</t>
  </si>
  <si>
    <t>a0aa28b5-b707-42d7-9c7b-fd8c1bc2820d</t>
  </si>
  <si>
    <t>c05ea75f-1b89-4eb8-b83d-d6a9da6da9f2</t>
  </si>
  <si>
    <t>7f34a757-2b14-46b2-ae1c-e8f0e120eda8</t>
  </si>
  <si>
    <t>50ae37f0-798c-4b29-9a45-0dc764c0977c</t>
  </si>
  <si>
    <t>d486795e-f67a-4afd-a259-3f57b4b9fa96</t>
  </si>
  <si>
    <t>d0c5b1ab-4ecf-4430-b936-6de13c3e1545</t>
  </si>
  <si>
    <t>ffdb7a4b-ec31-4bd7-99ce-0711536abfd7</t>
  </si>
  <si>
    <t>831a9def-c829-425b-adb3-a25be8c209fa</t>
  </si>
  <si>
    <t>c4dd342a-65b0-4d9a-95c9-dc0980cdd1ee</t>
  </si>
  <si>
    <t>f7b2a992-ee0c-494b-8f1f-ef9b17410fee</t>
  </si>
  <si>
    <t>4141ec41-4345-4556-8181-451d9a6fca5c</t>
  </si>
  <si>
    <t>76486dc4-5717-42c4-ac6b-68dc9488d2fd</t>
  </si>
  <si>
    <t>36a4a26a-81cb-4981-9e02-ad3634780293</t>
  </si>
  <si>
    <t>5877a127-fc37-4304-98cf-9a743438f146</t>
  </si>
  <si>
    <t>86df2d49-bb36-41d6-8a4b-da541faf93b0</t>
  </si>
  <si>
    <t>4b790e06-7d13-42ce-a47a-63566c5e9d03</t>
  </si>
  <si>
    <t>7f6c0694-b691-4a41-b66a-4c1c763f1fb5</t>
  </si>
  <si>
    <t>98327f0c-a8f8-41e2-aabb-10ae92aebe4d</t>
  </si>
  <si>
    <t>71149d47-9ec3-43d0-9892-056b50a9a0a6</t>
  </si>
  <si>
    <t>d00536f0-aa88-43a7-99b6-9711a7a46c47</t>
  </si>
  <si>
    <t>4328b716-c952-489f-8d6d-24a6eaec082b</t>
  </si>
  <si>
    <t>f514aae4-26a5-4cca-b842-a21d29fbd1df</t>
  </si>
  <si>
    <t>88bfbcb0-68e2-424b-9bca-3632c001823e</t>
  </si>
  <si>
    <t>35936b6b-10a8-43d8-b74e-ad3a7ade5179</t>
  </si>
  <si>
    <t>b4dd6f97-defe-48bc-b03f-95b1725ccfdd</t>
  </si>
  <si>
    <t>0d954bff-bc89-4c33-b489-26eb80c7797d</t>
  </si>
  <si>
    <t>4bc15952-c47d-4055-8f15-2c81ae74bb4c</t>
  </si>
  <si>
    <t>0957c7d6-f000-4693-8a41-36baf30194fc</t>
  </si>
  <si>
    <t>c3f8bfa9-14a0-4f62-b5ea-8bac14bac43a</t>
  </si>
  <si>
    <t>6d74754d-2744-4028-b71e-cdd850649cee</t>
  </si>
  <si>
    <t>a66cbe96-f665-433f-9d8f-d52d019e5bd3</t>
  </si>
  <si>
    <t>a8f8319c-6fdd-42b9-ae12-6c4cdacbaa5f</t>
  </si>
  <si>
    <t>f59b238c-5385-4447-884b-163139e7bda1</t>
  </si>
  <si>
    <t>1207e260-7f49-4840-81ca-fd9fb6a6c5a8</t>
  </si>
  <si>
    <t>7f9de9e7-7f95-47f7-8856-4f05fc6eb34b</t>
  </si>
  <si>
    <t>783c9256-23a7-4f04-9504-5cbb230aca99</t>
  </si>
  <si>
    <t>7a206130-9dbe-4e92-b361-a2ce8bad16a3</t>
  </si>
  <si>
    <t>cd3506e3-8583-4508-8559-603f19a7b4cb</t>
  </si>
  <si>
    <t>06e1a4f9-0c4b-40a9-9a74-1f1db5393d52</t>
  </si>
  <si>
    <t>3ad357af-8eb1-4dad-9cae-6027d3625964</t>
  </si>
  <si>
    <t>d134becf-b6c2-4e01-a02c-0966373e85e9</t>
  </si>
  <si>
    <t>da6ecbb8-10e1-47d0-b063-640ef6817e19</t>
  </si>
  <si>
    <t>f9791d46-1aac-4aa1-9940-09f143ef6ad7</t>
  </si>
  <si>
    <t>298d278d-9d77-4f75-b2ec-a6dcf6e9c6d6</t>
  </si>
  <si>
    <t>cb88fb2e-aec1-419d-bede-2bdc5f5be421</t>
  </si>
  <si>
    <t>7e2b146b-97ab-4de0-8e67-a2e6f1136441</t>
  </si>
  <si>
    <t>34403251-bba2-4abc-b98c-fd8a01dc3ecc</t>
  </si>
  <si>
    <t>4f2ea603-fbc2-4bb5-a975-85f8f7990769</t>
  </si>
  <si>
    <t>bbb7721f-799f-4ead-be48-1fa181da1f1f</t>
  </si>
  <si>
    <t>6b4d5add-f0dd-4699-b62c-989b3d9164f3</t>
  </si>
  <si>
    <t>89ce6ca6-167e-49ed-8a4d-2e2c47149214</t>
  </si>
  <si>
    <t>646ffe4c-c6ef-4da9-9d27-25ecbe51fb68</t>
  </si>
  <si>
    <t>f293548c-9b93-4fd4-87fb-18dc4214ddc6</t>
  </si>
  <si>
    <t>454edd68-47ad-407a-84ba-b7da8bdfa41d</t>
  </si>
  <si>
    <t>c9053811-d7b2-43c5-aaaf-6d95f1bbd297</t>
  </si>
  <si>
    <t>8425c3be-bda6-405d-9d24-838673935795</t>
  </si>
  <si>
    <t>1106ff14-a934-4226-b385-801ab1ac957a</t>
  </si>
  <si>
    <t>7302e4d4-af2d-44a7-a862-77d3b9f3abb2</t>
  </si>
  <si>
    <t>0cfd280e-0ff8-4bab-a566-cba777150fa0</t>
  </si>
  <si>
    <t>d744a2b4-6cac-4a01-8bfe-2cbd01217b32</t>
  </si>
  <si>
    <t>446383ea-c23d-41f4-b2dc-a7d075165430</t>
  </si>
  <si>
    <t>78661cf8-e893-46f9-801d-441ac161c939</t>
  </si>
  <si>
    <t>655da517-e771-4a52-b2d1-fed837e1464f</t>
  </si>
  <si>
    <t>1bb8c5e3-7344-44ba-b662-ce2ec8051cd4</t>
  </si>
  <si>
    <t>93be1e03-4504-4220-868c-53e8f282b1c5</t>
  </si>
  <si>
    <t>eaae4a9f-6754-49af-a8d7-3390d59f64c0</t>
  </si>
  <si>
    <t>eb964469-643a-4224-84c8-a34dab4cbc50</t>
  </si>
  <si>
    <t>55ada9bd-89fa-4028-b0be-e543d738f258</t>
  </si>
  <si>
    <t>dc27e31f-2099-4c28-8049-9e58ad951252</t>
  </si>
  <si>
    <t>f7ce5706-101d-440c-876d-b7001ddf4899</t>
  </si>
  <si>
    <t>f31761a0-1683-453e-aff5-1f2f5c0fc654</t>
  </si>
  <si>
    <t>65dd7feb-d910-4731-a750-bd71c5d4b343</t>
  </si>
  <si>
    <t>6be5e0bc-e5d1-4cc4-9089-06b7715c796d</t>
  </si>
  <si>
    <t>a0f8e70f-1aec-4575-ac56-39408a10fd40</t>
  </si>
  <si>
    <t>fb456b6f-7e72-4733-ad8d-86c3ef8803a8</t>
  </si>
  <si>
    <t>b5ad8a2e-43d4-45b2-bfff-628085c1c64c</t>
  </si>
  <si>
    <t>65aa8aa6-3996-4785-9c1a-ac12df7e6aa0</t>
  </si>
  <si>
    <t>27f3dab7-f006-48d8-b61f-137c7f93494b</t>
  </si>
  <si>
    <t>b60a3f7e-4826-4c48-a2d6-d40ebfcff826</t>
  </si>
  <si>
    <t>171f207d-2a7c-486a-b4fb-ec9571471b33</t>
  </si>
  <si>
    <t>41bf434e-f090-4ba8-b46d-12b81d27396d</t>
  </si>
  <si>
    <t>f97e18fa-4bc1-47e6-8d87-178fd07078cf</t>
  </si>
  <si>
    <t>f2bd18a2-260b-475f-981f-ee2c425b5997</t>
  </si>
  <si>
    <t>1ae5b4b7-0176-4570-953f-27d20aa6a3ed</t>
  </si>
  <si>
    <t>4684799c-6d1d-43d7-9ee1-38ee57f14ddd</t>
  </si>
  <si>
    <t>46146193-6f98-499f-b45e-2d568ede6525</t>
  </si>
  <si>
    <t>7d706904-cf4d-4e8f-ad62-0a6c6dee1560</t>
  </si>
  <si>
    <t>21679448-8198-4628-94d9-a63ee95b2a06</t>
  </si>
  <si>
    <t>2c12ebe0-1488-49b6-8beb-0e738ae049c4</t>
  </si>
  <si>
    <t>7071b9d9-57dd-41df-aa08-a126535059dc</t>
  </si>
  <si>
    <t>0b66c6d5-de16-4fa7-9dea-0ed2056a059d</t>
  </si>
  <si>
    <t>94bafb91-c360-41a1-b99d-ff900494945a</t>
  </si>
  <si>
    <t>0f2d6174-8875-4434-89a6-a775f1b5d3aa</t>
  </si>
  <si>
    <t>d55a1eae-bd29-4d60-a961-fbb494dc11e0</t>
  </si>
  <si>
    <t>c0ab181c-483c-4b67-ae3b-2dcbbf227f32</t>
  </si>
  <si>
    <t>1cf1001c-88b8-477e-ae1b-4b56e3b2474d</t>
  </si>
  <si>
    <t>2e6a2a11-4b4a-44c2-861e-efa1ca86960c</t>
  </si>
  <si>
    <t>b5fec5bb-8b96-4929-88fe-31fbc39cf09a</t>
  </si>
  <si>
    <t>2544c1fe-c5bd-4299-ba9c-55b74ea5d3f5</t>
  </si>
  <si>
    <t>465545e1-cd16-413b-8209-ca14b8a0cbb8</t>
  </si>
  <si>
    <t>b2ee0a9d-63b5-4d78-a4b0-93fca42a330c</t>
  </si>
  <si>
    <t>b60c22c6-c0be-44e2-adbc-753f91cb4e88</t>
  </si>
  <si>
    <t>4f375c8c-ce2f-4340-b7a1-9467aa5fc65f</t>
  </si>
  <si>
    <t>e6195943-cebd-4d62-8b43-0606f55c6761</t>
  </si>
  <si>
    <t>d1bbdc9b-fd99-4964-877f-1a96103b475c</t>
  </si>
  <si>
    <t>9a103f8b-ff84-4b66-b977-57221ba3f4ec</t>
  </si>
  <si>
    <t>2b166a10-e6b8-4f34-aaf8-85c2f56cb02b</t>
  </si>
  <si>
    <t>167b6be1-11a6-44b1-bfbb-ceb4e2e1feb1</t>
  </si>
  <si>
    <t>a28f9ac8-f9a1-4678-8131-ba8d836c41ba</t>
  </si>
  <si>
    <t>519e072d-f86d-402a-86a1-698d290cf190</t>
  </si>
  <si>
    <t>62f1937a-60bc-419a-92d2-9b38f8e11ea0</t>
  </si>
  <si>
    <t>fa436715-7779-48ef-aef3-c7d3f08512d5</t>
  </si>
  <si>
    <t>7314ae58-b9ad-4f28-bf61-33ff951be9a2</t>
  </si>
  <si>
    <t>c0d5649a-a093-46f6-9d1c-14ceadf9423a</t>
  </si>
  <si>
    <t>25888b33-6bad-44aa-80d3-9ae35c2c0bb7</t>
  </si>
  <si>
    <t>d1b84887-d2ae-4bf8-bf53-dbd31add4c6b</t>
  </si>
  <si>
    <t>53ce7fa3-3db0-4733-8ef7-1cb32894222c</t>
  </si>
  <si>
    <t>6bae5ab8-483e-4adf-a630-01ba86285adb</t>
  </si>
  <si>
    <t>8b13253a-9a49-44bf-876a-e383a29daa60</t>
  </si>
  <si>
    <t>b4f027f7-87c2-4f58-ae5d-e42291221308</t>
  </si>
  <si>
    <t>de91ce7f-ae10-4591-ac6b-d09632e4c8ae</t>
  </si>
  <si>
    <t>811fca3c-268f-4600-bce1-75cb98cc8e79</t>
  </si>
  <si>
    <t>08a96a99-8ab2-4fba-918e-ca1ef2d46863</t>
  </si>
  <si>
    <t>3994d8c7-1985-4066-8a3a-751ac41a1723</t>
  </si>
  <si>
    <t>6eb5cb59-7ef3-4590-a012-49b4cac2f18b</t>
  </si>
  <si>
    <t>23fe5443-d96b-408c-adc6-a8ff8f1cf7fd</t>
  </si>
  <si>
    <t>1c2d5bc0-eb2c-40f5-a963-956c2d60ad37</t>
  </si>
  <si>
    <t>65a64e3f-5e34-4909-988a-36da9375fc4a</t>
  </si>
  <si>
    <t>d731dec8-a9bf-4623-b4bf-5f3b62a91073</t>
  </si>
  <si>
    <t>bb36f33f-5e5f-4d31-a1ac-bcae3aaac3dd</t>
  </si>
  <si>
    <t>655b829e-7a56-4b0d-a2c0-34b020821b63</t>
  </si>
  <si>
    <t>f511f87c-2b2b-4d52-89b3-8b277dc3fd1a</t>
  </si>
  <si>
    <t>59d7b068-69f1-4b61-bddf-57c83c80d90b</t>
  </si>
  <si>
    <t>37ea3cdb-42e7-47b4-9a7c-76de8e6209aa</t>
  </si>
  <si>
    <t>0c246a33-7967-4eeb-9230-0d23ddcca6f6</t>
  </si>
  <si>
    <t>1345ea72-bfe2-4e1e-a5c1-c1631c658ac4</t>
  </si>
  <si>
    <t>cc8f2d09-395d-4450-9f20-81e89a9984de</t>
  </si>
  <si>
    <t>d22efc90-651e-4e16-85f6-10eccebba925</t>
  </si>
  <si>
    <t>bc23e3fd-b231-4537-88a3-0135ecfe360d</t>
  </si>
  <si>
    <t>a9bc1818-16e9-4980-ad84-30e5b385cdd7</t>
  </si>
  <si>
    <t>8c1daa80-535a-4d0a-b44d-529ee875b650</t>
  </si>
  <si>
    <t>ab82e938-b012-4d09-be7e-af418c60bfda</t>
  </si>
  <si>
    <t>717976b8-9e5c-40fa-9286-d7fe82730eb8</t>
  </si>
  <si>
    <t>a3eb8582-8f04-44e0-94a9-b37f769f2a32</t>
  </si>
  <si>
    <t>62aa4719-7fe5-46b5-b3c0-4cef234bb4b0</t>
  </si>
  <si>
    <t>471c7313-6388-40d0-bae1-3ad267aadb25</t>
  </si>
  <si>
    <t>954dd6e0-7f0e-433e-a983-5ead3f55534c</t>
  </si>
  <si>
    <t>c884d76f-9a81-4f2d-b612-fdb032c8b5df</t>
  </si>
  <si>
    <t>67d6bc72-fec2-43ad-8665-369d48a13683</t>
  </si>
  <si>
    <t>a7e30130-76bf-41fb-9e97-5975a4148e6a</t>
  </si>
  <si>
    <t>2445fae6-a521-475a-98cb-6b5b881bb08b</t>
  </si>
  <si>
    <t>abb9a255-5359-4ae3-b88b-73d64b90e894</t>
  </si>
  <si>
    <t>bab9975d-911a-4bcc-b2ad-a468a5f4821c</t>
  </si>
  <si>
    <t>ba1f0dd3-b518-4c1e-8379-83b334678518</t>
  </si>
  <si>
    <t>d0061deb-893b-4e70-b707-7aad61e9270e</t>
  </si>
  <si>
    <t>09a46bde-50a3-45a6-8f86-27bcee527ff7</t>
  </si>
  <si>
    <t>951d2374-6f7d-4e74-9841-cd8873a3e3c2</t>
  </si>
  <si>
    <t>6d88ba37-e452-4a00-b068-747485bc5ca0</t>
  </si>
  <si>
    <t>01234a80-8b8e-4883-9d11-97f7acc23b5b</t>
  </si>
  <si>
    <t>e7ba8aef-2e25-4973-9bc7-1729ca611fed</t>
  </si>
  <si>
    <t>3ff4e4ab-3ea6-47ca-aa84-d5cd813602a8</t>
  </si>
  <si>
    <t>50156ca9-d863-4071-812f-ce846ce05988</t>
  </si>
  <si>
    <t>23643c19-dbda-4de6-9105-f9621718b87d</t>
  </si>
  <si>
    <t>28e4036d-ea17-4a93-92b0-9baac5eeb725</t>
  </si>
  <si>
    <t>069e27d3-30a4-4deb-b82a-f3b9802a774d</t>
  </si>
  <si>
    <t>3db298dd-4502-4d99-9cc0-09e0c0354f5f</t>
  </si>
  <si>
    <t>59652cb9-50ce-4223-b322-1367e5e0e552</t>
  </si>
  <si>
    <t>881fc459-05e9-4209-9ac9-427d76ae7908</t>
  </si>
  <si>
    <t>23e2532d-2f79-4126-838e-c4bb1a17742d</t>
  </si>
  <si>
    <t>d5f44674-e161-4f8b-8f57-57959fa6f71d</t>
  </si>
  <si>
    <t>4661ff7e-e822-4ee8-8569-17742eb7b682</t>
  </si>
  <si>
    <t>d904b26e-fbcf-45de-90bc-ab2b9e55f6f4</t>
  </si>
  <si>
    <t>3fca2611-7c80-4cea-bf4b-40caac3f25d5</t>
  </si>
  <si>
    <t>956ef65a-89ec-49cf-a537-f9810aef094e</t>
  </si>
  <si>
    <t>4637e103-3bdb-4cf4-a5bd-8bc19cd0fbac</t>
  </si>
  <si>
    <t>22fc3fb9-7b3d-429c-8d45-99f2dd68ecf4</t>
  </si>
  <si>
    <t>335b930a-6ebe-4401-8932-3ed9d025dbd3</t>
  </si>
  <si>
    <t>2e4b3a36-e62a-4e5f-9a18-a7ce2709c05d</t>
  </si>
  <si>
    <t>8ac4e4f5-ef2f-44e3-ae3b-07a1e3a3a634</t>
  </si>
  <si>
    <t>edc5ad09-41ee-4fe5-80b0-2fd1c77279ba</t>
  </si>
  <si>
    <t>7585b351-de04-49a6-9915-bf50b040d2ff</t>
  </si>
  <si>
    <t>f08657c1-2c67-490b-8b54-c3a2cd0844e3</t>
  </si>
  <si>
    <t>d1320249-7aa6-4e76-803b-5bc4c8b375c9</t>
  </si>
  <si>
    <t>e853ba02-06d5-47f4-bcbe-fad183496e5c</t>
  </si>
  <si>
    <t>3fc01742-e18b-4625-9f85-dd77039c2281</t>
  </si>
  <si>
    <t>518957d3-b8e4-4600-b7b8-4ac056c13e27</t>
  </si>
  <si>
    <t>f434a41e-efdc-4ad3-b2fc-d5df2284d66f</t>
  </si>
  <si>
    <t>a4e268d4-04da-4831-8f45-5330979415e2</t>
  </si>
  <si>
    <t>6824c15b-7d73-4aab-a7b6-e645e4c3ce98</t>
  </si>
  <si>
    <t>189ab70e-0130-472c-ad63-d425b6a50e79</t>
  </si>
  <si>
    <t>eb2d7abb-af76-4c85-91e3-f11b23842a80</t>
  </si>
  <si>
    <t>69d212c5-d8d3-4447-b89b-296b339c2e29</t>
  </si>
  <si>
    <t>9499b879-62a1-43da-adca-04d68921d820</t>
  </si>
  <si>
    <t>061b96b7-a22d-47e0-b072-5fffd839e475</t>
  </si>
  <si>
    <t>821ef4eb-f7c2-4316-a1d8-fb1b011439b6</t>
  </si>
  <si>
    <t>faa8c689-8c90-434d-9264-d79bf304d6b4</t>
  </si>
  <si>
    <t>ff25a329-4ab2-45d6-960f-12ab87401fd6</t>
  </si>
  <si>
    <t>d0b16469-c21f-4f28-a48d-41498871f67c</t>
  </si>
  <si>
    <t>fdd1bb64-8ecb-4b3e-9429-c733ba19d5be</t>
  </si>
  <si>
    <t>5914114f-521d-4a61-976d-59036511211f</t>
  </si>
  <si>
    <t>67638dcd-a997-4137-9fde-f356eed1aa39</t>
  </si>
  <si>
    <t>f5c124d7-baa2-4fef-84a8-bdfe42c2b20c</t>
  </si>
  <si>
    <t>b94cc9b2-10dc-4634-97c4-d0cc775e8d24</t>
  </si>
  <si>
    <t>23386f63-28c1-4f4d-b8c3-008dfb8eea6c</t>
  </si>
  <si>
    <t>2b694247-19c1-4734-a529-c14f95ba6ebc</t>
  </si>
  <si>
    <t>0e0ae31c-06a6-4dcd-a22f-f189da9ed9b6</t>
  </si>
  <si>
    <t>59e506fd-2841-4212-a839-4d5bb713dbc5</t>
  </si>
  <si>
    <t>6fe9aa2f-38c7-4c5e-8f8d-aeee37975fb9</t>
  </si>
  <si>
    <t>4820eae0-d5a1-4e54-ba3d-35a4dbacd86b</t>
  </si>
  <si>
    <t>f4c4e3cc-1a82-4adc-99a3-702427212227</t>
  </si>
  <si>
    <t>6d821ec2-ae08-4dba-b110-c09e43088022</t>
  </si>
  <si>
    <t>c697a523-e1e1-43f2-936a-c4f36fb3c239</t>
  </si>
  <si>
    <t>Excluded - SW/Process Discrepancy</t>
  </si>
  <si>
    <t>Operator Follow Up Miss</t>
  </si>
  <si>
    <t>Operator Follow Up</t>
  </si>
  <si>
    <t>Preventative Maintenance Miss</t>
  </si>
  <si>
    <t>Reimbursement Miss</t>
  </si>
  <si>
    <t>Ungrounding Miss</t>
  </si>
  <si>
    <t>Valid Miss - Standard Work Discrepancy</t>
  </si>
  <si>
    <t>Validated</t>
  </si>
  <si>
    <t>VFC Miss</t>
  </si>
  <si>
    <t>QA AFS 01/30/2024</t>
  </si>
  <si>
    <t>QA VFC 01/29/2024</t>
  </si>
  <si>
    <t>QA AFS 01/29/2024</t>
  </si>
  <si>
    <t>QA Preventative Maintenance 01/29/2024</t>
  </si>
  <si>
    <t>QA Ungrounding 01/29/2024</t>
  </si>
  <si>
    <t>QA AFS 01/28/2024</t>
  </si>
  <si>
    <t>QA VFC 01/28/2024</t>
  </si>
  <si>
    <t>QA Preventative Maintenance 01/28/2024</t>
  </si>
  <si>
    <t>QA Ungrounding 01/28/2024</t>
  </si>
  <si>
    <t>QA AFS 01/27/2024</t>
  </si>
  <si>
    <t>QA VFC 01/27/2024</t>
  </si>
  <si>
    <t>QA Preventative Maintenance 01/27/2024</t>
  </si>
  <si>
    <t>QA Ungrounding 01/27/2024</t>
  </si>
  <si>
    <t>QA Ungrounding 01/26/2024</t>
  </si>
  <si>
    <t>QA AFS 01/26/2024</t>
  </si>
  <si>
    <t>QA VFC 01/26/2024</t>
  </si>
  <si>
    <t>QA AFS 01/25/2024</t>
  </si>
  <si>
    <t>QA Ungrounding 01/25/2024</t>
  </si>
  <si>
    <t>QA Preventative Maintenance 01/25/2024</t>
  </si>
  <si>
    <t>QA VFC 01/25/2024</t>
  </si>
  <si>
    <t>QA AFS 01/24/2024</t>
  </si>
  <si>
    <t>QA Preventative Maintenance 01/24/2024</t>
  </si>
  <si>
    <t>QA VFC 01/24/2024</t>
  </si>
  <si>
    <t>QA Ungrounding 01/24/2024</t>
  </si>
  <si>
    <t>QA AFS 01/23/2024</t>
  </si>
  <si>
    <t>QA Preventative Maintenance 01/23/2024</t>
  </si>
  <si>
    <t>QA Ungrounding 01/23/2024</t>
  </si>
  <si>
    <t>QA VFC 01/23/2024</t>
  </si>
  <si>
    <t>QA AFS 01/22/2024</t>
  </si>
  <si>
    <t>QA Preventative Maintenance 01/22/2024</t>
  </si>
  <si>
    <t>QA Ungrounding 01/22/2024</t>
  </si>
  <si>
    <t>QA VFC 01/22/2024</t>
  </si>
  <si>
    <t>QA AFS 01/21/2024</t>
  </si>
  <si>
    <t>QA Preventative Maintenance 01/21/2024</t>
  </si>
  <si>
    <t>QA Reimbursement 01/21/2024</t>
  </si>
  <si>
    <t>QA Ungrounding 01/21/2024</t>
  </si>
  <si>
    <t>QA VFC 01/21/2024</t>
  </si>
  <si>
    <t>QA AFS 01/20/2024</t>
  </si>
  <si>
    <t>QA Preventative Maintenance 01/20/2024</t>
  </si>
  <si>
    <t>QA Ungrounding 01/20/2024</t>
  </si>
  <si>
    <t>QA VFC 01/20/2024</t>
  </si>
  <si>
    <t>QA AFS 01/19/2024</t>
  </si>
  <si>
    <t>QA Preventative Maintenance 01/19/2024</t>
  </si>
  <si>
    <t>QA Reimbursement 01/19/2024</t>
  </si>
  <si>
    <t>QA Ungrounding 01/19/2024</t>
  </si>
  <si>
    <t>QA VFC 01/19/2024</t>
  </si>
  <si>
    <t>QA AFS 01/18/2024</t>
  </si>
  <si>
    <t>QA Reimbursement 01/18/2024</t>
  </si>
  <si>
    <t>QA Ungrounding 01/18/2024</t>
  </si>
  <si>
    <t>QA Ungrounding Training SIM 01/18/2024</t>
  </si>
  <si>
    <t>QA VFC 01/18/2024</t>
  </si>
  <si>
    <t>QA Preventative Maintenance Training SIMs 01/18/2024</t>
  </si>
  <si>
    <t>QA AFS 01/17/2024</t>
  </si>
  <si>
    <t>QA Preventative Maintenance 01/17/2024</t>
  </si>
  <si>
    <t>QA Reimbursement 01/17/2024</t>
  </si>
  <si>
    <t>QA Ungrounding 01/17/2024</t>
  </si>
  <si>
    <t>QA VFC 01/17/2024</t>
  </si>
  <si>
    <t>QA AFS 01/16/2024</t>
  </si>
  <si>
    <t>QA Preventative Maintenance 01/16/2024</t>
  </si>
  <si>
    <t>QA Reimbursement 01/16/2024</t>
  </si>
  <si>
    <t>QA Ungrounding 01/16/2024</t>
  </si>
  <si>
    <t>QA VFC 01/16/2024</t>
  </si>
  <si>
    <t>QA AFS 01/15/2024</t>
  </si>
  <si>
    <t>QA Preventative Maintenance 01/15/2024</t>
  </si>
  <si>
    <t>QA Reimbursement 01/15/2024</t>
  </si>
  <si>
    <t>QA Ungrounding 01/15/2024</t>
  </si>
  <si>
    <t>QA VFC 01/15/2024</t>
  </si>
  <si>
    <t>QA AFS 01/14/2024</t>
  </si>
  <si>
    <t>QA Preventative Maintenance 01/14/2024</t>
  </si>
  <si>
    <t>QA Reimbursement 01/14/2024</t>
  </si>
  <si>
    <t>QA Ungrounding 01/14/2024</t>
  </si>
  <si>
    <t>QA VFC 01/14/2024</t>
  </si>
  <si>
    <t>QA AFS 01/13/2024</t>
  </si>
  <si>
    <t>QA Preventative Maintenance 01/13/2024</t>
  </si>
  <si>
    <t>QA Reimbursement 01/13/2024</t>
  </si>
  <si>
    <t>QA Ungrounding 01/13/2024</t>
  </si>
  <si>
    <t>QA VFC 01/13/2024</t>
  </si>
  <si>
    <t>QA AFS 01/12/2024</t>
  </si>
  <si>
    <t>QA Preventative Maintenance 01/12/2024</t>
  </si>
  <si>
    <t>QA Reimbursement 01/12/2024</t>
  </si>
  <si>
    <t>QA Ungrounding 01/12/2024</t>
  </si>
  <si>
    <t>QA VFC 01/12/2024</t>
  </si>
  <si>
    <t>QA AFS 01/11/2024</t>
  </si>
  <si>
    <t>QA Preventative Maintenance 01/11/2024</t>
  </si>
  <si>
    <t>QA Reimbursement 01/11/2024</t>
  </si>
  <si>
    <t>QA Ungrounding 01/11/2024</t>
  </si>
  <si>
    <t>QA VFC 01/11/2024</t>
  </si>
  <si>
    <t>QA AFS 01/10/2024</t>
  </si>
  <si>
    <t>QA Preventative Maintenance 01/10/2024</t>
  </si>
  <si>
    <t>QA Reimbursement 01/10/2024</t>
  </si>
  <si>
    <t>QA Ungrounding 01/10/2024</t>
  </si>
  <si>
    <t>QA VFC 01/10/2024</t>
  </si>
  <si>
    <t>QA AFS 01/09/2024</t>
  </si>
  <si>
    <t>QA Preventative Maintenance 01/09/2024</t>
  </si>
  <si>
    <t>QA Reimbursement 01/09/2024</t>
  </si>
  <si>
    <t>QA Ungrounding 01/09/2024</t>
  </si>
  <si>
    <t>QA VFC 01/09/2024</t>
  </si>
  <si>
    <t>QA AFS 01/08/2024</t>
  </si>
  <si>
    <t>QA Preventative Maintenance 01/08/2024</t>
  </si>
  <si>
    <t>QA Reimbursement 01/08/2024</t>
  </si>
  <si>
    <t>QA Ungrounding 01/08/2024</t>
  </si>
  <si>
    <t>QA VFC 01/08/2024</t>
  </si>
  <si>
    <t>QA AFS 01/07/2024</t>
  </si>
  <si>
    <t>QA Preventative Maintenance 01/07/2024</t>
  </si>
  <si>
    <t>QA Reimbursement 01/07/2024</t>
  </si>
  <si>
    <t>QA Ungrounding 01/07/2024</t>
  </si>
  <si>
    <t>QA VFC 01/07/2024</t>
  </si>
  <si>
    <t>QA AFS 01/06/2024</t>
  </si>
  <si>
    <t>QA Preventative Maintenance 01/06/2024</t>
  </si>
  <si>
    <t>QA Reimbursement 01/06/2024</t>
  </si>
  <si>
    <t>QA Ungrounding 01/06/2024</t>
  </si>
  <si>
    <t>QA VFC 01/06/2024</t>
  </si>
  <si>
    <t>QA AFS 01/05/2024</t>
  </si>
  <si>
    <t>QA Preventative Maintenance 01/05/2024</t>
  </si>
  <si>
    <t>QA Reimbursement 01/05/2024</t>
  </si>
  <si>
    <t>QA Ungrounding 01/05/2024</t>
  </si>
  <si>
    <t>QA VFC 01/05/2024</t>
  </si>
  <si>
    <t>QA AFS 01/04/2024</t>
  </si>
  <si>
    <t>QA Preventative Maintenance 01/04/2024</t>
  </si>
  <si>
    <t>QA Reimbursement 01/04/2024</t>
  </si>
  <si>
    <t>QA Ungrounding 01/04/2024</t>
  </si>
  <si>
    <t>QA VFC 01/04/2024</t>
  </si>
  <si>
    <t>QA Reimbursement 01/03/2024</t>
  </si>
  <si>
    <t>QA VFC 01/03/2024</t>
  </si>
  <si>
    <t>QA AFS 01/02/2024</t>
  </si>
  <si>
    <t>QA Preventative Maintenance 01/02/2024</t>
  </si>
  <si>
    <t>QA Reimbursement 01/02/2024</t>
  </si>
  <si>
    <t>QA Ungrounding 01/02/2024</t>
  </si>
  <si>
    <t>QA VFC 01/02/2024</t>
  </si>
  <si>
    <t>QA Preventative Maintenance 01/01/2024</t>
  </si>
  <si>
    <t>QA Ungrounding 01/01/2024</t>
  </si>
  <si>
    <t>QA AFS 12/31/2023</t>
  </si>
  <si>
    <t>QA Preventative Maintenance 12/31/2023</t>
  </si>
  <si>
    <t>QA Reimbursement 12/31/2023</t>
  </si>
  <si>
    <t>QA Ungrounding 12/31/2023</t>
  </si>
  <si>
    <t>QA VFC 12/31/2023</t>
  </si>
  <si>
    <t>QA AFS 12/30/2023</t>
  </si>
  <si>
    <t>QA Preventative Maintenance 12/30/2023</t>
  </si>
  <si>
    <t>QA Reimbursement 12/30/2023</t>
  </si>
  <si>
    <t>QA Ungrounding 12/30/2023</t>
  </si>
  <si>
    <t>QA VFC 12/30/2023</t>
  </si>
  <si>
    <t>QA AFS 12/29/2023</t>
  </si>
  <si>
    <t>QA Preventative Maintenance 12/29/2023</t>
  </si>
  <si>
    <t>QA Reimbursement 12/29/2023</t>
  </si>
  <si>
    <t>QA Ungrounding 12/29/2023</t>
  </si>
  <si>
    <t>QA VFC 12/29/2023</t>
  </si>
  <si>
    <t>QA AFS 12/28/2023</t>
  </si>
  <si>
    <t>QA Preventative Maintenance 12/28/2023</t>
  </si>
  <si>
    <t>QA Reimbursement 12/28/2023</t>
  </si>
  <si>
    <t>QA Ungrounding 12/28/2023</t>
  </si>
  <si>
    <t>QA VFC 12/28/2023</t>
  </si>
  <si>
    <t>QA Preventative Maintenance 12/27/2023</t>
  </si>
  <si>
    <t>QA Ungrounding 12/27/2023</t>
  </si>
  <si>
    <t>QA VFC 12/27/2023</t>
  </si>
  <si>
    <t>QA AFS 12/25/2023</t>
  </si>
  <si>
    <t>QA Preventative Maintenance 12/25/2023</t>
  </si>
  <si>
    <t>QA Ungrounding 12/25/2023</t>
  </si>
  <si>
    <t>QA AFS 02/01/2024</t>
  </si>
  <si>
    <t>QA Preventative Maintenance 02/01/2024</t>
  </si>
  <si>
    <t>QA Ungrounding 02/01/2024</t>
  </si>
  <si>
    <t>QA Reimbursement 01/31/2024</t>
  </si>
  <si>
    <t>QA VFC 01/31/2024</t>
  </si>
  <si>
    <t>QA AFS 01/31/2024</t>
  </si>
  <si>
    <t>QA Preventative Maintenance 01/31/2024</t>
  </si>
  <si>
    <t>QA Ungrounding 01/31/2024</t>
  </si>
  <si>
    <t>QA AFS 02/08/2024</t>
  </si>
  <si>
    <t>QA AFS 02/07/2024</t>
  </si>
  <si>
    <t>QA Ungrounding 02/08/2024</t>
  </si>
  <si>
    <t>QA Preventative Maintenance 02/08/2024</t>
  </si>
  <si>
    <t>QA VFC 02/07/2024</t>
  </si>
  <si>
    <t>QA Reimbursement 02/07/2024</t>
  </si>
  <si>
    <t>QA Ungrounding 02/07/2024</t>
  </si>
  <si>
    <t>QA VFC 02/06/2024</t>
  </si>
  <si>
    <t>QA Preventative Maintenance 02/07/2024</t>
  </si>
  <si>
    <t>QA Reimbursement 02/06/2024</t>
  </si>
  <si>
    <t>QA VFC 02/04/2024</t>
  </si>
  <si>
    <t>QA AFS 02/06/2024</t>
  </si>
  <si>
    <t>CF VFC Audits 02/05/2024</t>
  </si>
  <si>
    <t>QA Preventative Maintenance 02/06/2024</t>
  </si>
  <si>
    <t>QA Ungrounding 02/06/2024</t>
  </si>
  <si>
    <t>QA Reimbursement 02/05/2024</t>
  </si>
  <si>
    <t>QA Ungrounding 02/05/2024</t>
  </si>
  <si>
    <t>QA AFS 02/05/2024</t>
  </si>
  <si>
    <t>QA Preventative Maintenance 02/05/2024</t>
  </si>
  <si>
    <t>QA AFS 02/04/2024</t>
  </si>
  <si>
    <t>QA AFS 02/03/2024</t>
  </si>
  <si>
    <t>QA AFS 02/02/2024</t>
  </si>
  <si>
    <t>QA Reimbursement 02/03/2024</t>
  </si>
  <si>
    <t>QA VFC 02/03/2024</t>
  </si>
  <si>
    <t>QA VFC 02/02/2024</t>
  </si>
  <si>
    <t>QA Preventative Maintenance 02/03/2024</t>
  </si>
  <si>
    <t>QA Ungrounding 02/03/2024</t>
  </si>
  <si>
    <t>QA Reimbursement 02/02/2024</t>
  </si>
  <si>
    <t>QA Ungrounding 02/02/2024</t>
  </si>
  <si>
    <t>QA Preventative Maintenance 02/02/2024</t>
  </si>
  <si>
    <t>QA VFC 02/01/2024</t>
  </si>
  <si>
    <t>QA Reimbursement 02/01/2024</t>
  </si>
  <si>
    <t>QA Ungrounding 02/09/2024</t>
  </si>
  <si>
    <t>QA VFC 02/08/2024</t>
  </si>
  <si>
    <t>QA Reimbursement 02/08/2024</t>
  </si>
  <si>
    <t>QA AFS 02/09/2024</t>
  </si>
  <si>
    <t>QA AFS 02/15/2024</t>
  </si>
  <si>
    <t>QA AFS 02/14/2024</t>
  </si>
  <si>
    <t>QA AFS 02/13/2024</t>
  </si>
  <si>
    <t>QA AFS 02/12/2024</t>
  </si>
  <si>
    <t>QA AFS 02/10/2024</t>
  </si>
  <si>
    <t>QA AFS 02/11/2024</t>
  </si>
  <si>
    <t>QA Ungrounding 02/16/2024</t>
  </si>
  <si>
    <t>QA Ungrounding 02/15/2024</t>
  </si>
  <si>
    <t>QA Ungrounding 02/11/2024</t>
  </si>
  <si>
    <t>QA Ungrounding 02/14/2024</t>
  </si>
  <si>
    <t>QA Ungrounding 02/13/2024</t>
  </si>
  <si>
    <t>QA Ungrounding 02/12/2024</t>
  </si>
  <si>
    <t>QA Ungrounding 02/10/2024</t>
  </si>
  <si>
    <t>QA Reimbursement 02/15/2024</t>
  </si>
  <si>
    <t>QA Reimbursement 02/14/2024</t>
  </si>
  <si>
    <t>QA Reimbursement 02/13/2024</t>
  </si>
  <si>
    <t>QA Reimbursement 02/12/2024</t>
  </si>
  <si>
    <t>QA Reimbursement 02/11/2024</t>
  </si>
  <si>
    <t>QA Reimbursement 02/10/2024</t>
  </si>
  <si>
    <t>QA Reimbursement 02/09/2024</t>
  </si>
  <si>
    <t>CF VFC 02/15/2024</t>
  </si>
  <si>
    <t>QA VFC 02/15/2024</t>
  </si>
  <si>
    <t>CF VFC 02/14/2024</t>
  </si>
  <si>
    <t>QA VFC 02/14/2024</t>
  </si>
  <si>
    <t>CF VFC 02/13/2024</t>
  </si>
  <si>
    <t>QA VFC 02/13/2024</t>
  </si>
  <si>
    <t>QA VFC 02/12/2024</t>
  </si>
  <si>
    <t>QA VFC 02/11/2024</t>
  </si>
  <si>
    <t>QA VFC 02/10/2024</t>
  </si>
  <si>
    <t>QA VFC 02/09/2024</t>
  </si>
  <si>
    <t>QA AFS 02/16/2024</t>
  </si>
  <si>
    <t>QA Preventative Maintenance 02/15/2024</t>
  </si>
  <si>
    <t>QA Preventative Maintenance 02/14/2024</t>
  </si>
  <si>
    <t>QA Preventative Maintenance 02/16/2024</t>
  </si>
  <si>
    <t>QA Preventative Maintenance 02/11/2024</t>
  </si>
  <si>
    <t>QA Preventative Maintenance 02/13/2024</t>
  </si>
  <si>
    <t>QA Preventative Maintenance 02/12/2024</t>
  </si>
  <si>
    <t>QA Preventative Maintenance 02/10/2024</t>
  </si>
  <si>
    <t>QA VFC 02/20/2024</t>
  </si>
  <si>
    <t>QA VFC 02/19/2024</t>
  </si>
  <si>
    <t>CF VFC 02/16/2024</t>
  </si>
  <si>
    <t>QA VFC 02/18/2024 Testing Sprint</t>
  </si>
  <si>
    <t>QA VFC 02/18/2024</t>
  </si>
  <si>
    <t>QA VFC 02/17/2024</t>
  </si>
  <si>
    <t>QA VFC 02/16/2024</t>
  </si>
  <si>
    <t>QA Preventative Maintenance 02/20/2024</t>
  </si>
  <si>
    <t>QA Preventative Maintenance 02/19/2024</t>
  </si>
  <si>
    <t>QA Preventative Maintenance 02/18/2024</t>
  </si>
  <si>
    <t>QA Preventative Maintenance 02/17/2024</t>
  </si>
  <si>
    <t>QA Reimbursement 02/19/2024</t>
  </si>
  <si>
    <t>QA Reimbursement 02/16/2024</t>
  </si>
  <si>
    <t>QA Ungrounding 02/20/2024</t>
  </si>
  <si>
    <t>QA Ungrounding 02/19/2024</t>
  </si>
  <si>
    <t>QA Ungrounding 02/18/2024</t>
  </si>
  <si>
    <t>QA Ungrounding 02/17/2024</t>
  </si>
  <si>
    <t>QA AFS 02/19/2024</t>
  </si>
  <si>
    <t>QA AFS 02/18/2024</t>
  </si>
  <si>
    <t>QA AFS 02/17/2024</t>
  </si>
  <si>
    <t>QA AFS 02/20/2024</t>
  </si>
  <si>
    <t>QA Reimbursement 02/20/2024</t>
  </si>
  <si>
    <t>QA Reimbursement 12/23/2023</t>
  </si>
  <si>
    <t>QA Reimbursement 12/22/2023</t>
  </si>
  <si>
    <t>QA Reimbursement 12/21/2023</t>
  </si>
  <si>
    <t>QA Reimbursement 12/20/2023</t>
  </si>
  <si>
    <t>QA Reimbursement 12/19/2023</t>
  </si>
  <si>
    <t>QA Reimbursement 12/18/2023</t>
  </si>
  <si>
    <t>QA Reimbursement 12/17/2023</t>
  </si>
  <si>
    <t>QA Reimbursement 12/16/2023</t>
  </si>
  <si>
    <t>QA Reimbursement 12/15/2023</t>
  </si>
  <si>
    <t>QA Reimbursement 12/14/2023</t>
  </si>
  <si>
    <t>QA Reimbursement 12/13/2023</t>
  </si>
  <si>
    <t>QA Reimbursement 12/12/2023</t>
  </si>
  <si>
    <t>QA Reimbursement 12/11/2023</t>
  </si>
  <si>
    <t>QA Reimbursement 12/10/2023</t>
  </si>
  <si>
    <t>QA Reimbursement 12/09/2023</t>
  </si>
  <si>
    <t>QA Reimbursement 12/08/2023</t>
  </si>
  <si>
    <t>QA Reimbursement 12/07/2023</t>
  </si>
  <si>
    <t>QA Reimbursement 12/06/2023</t>
  </si>
  <si>
    <t>QA Reimbursement 12/05/2023</t>
  </si>
  <si>
    <t>QA Reimbursement 12/04/2023</t>
  </si>
  <si>
    <t>QA Reimbursement 12/02/2023</t>
  </si>
  <si>
    <t>QA Reimbursement 11/28/2023</t>
  </si>
  <si>
    <t>QA Reimbursement 11/27/2023</t>
  </si>
  <si>
    <t>QA Reimbursement 11/29/2023</t>
  </si>
  <si>
    <t>QA Reimbursement 12/03/2023</t>
  </si>
  <si>
    <t>QA Preventative Maintenance 02/21/2024</t>
  </si>
  <si>
    <t>QA Preventative Maintenance 12/24/2023</t>
  </si>
  <si>
    <t>QA Preventative Maintenance 12/23/2023</t>
  </si>
  <si>
    <t>QA Preventative Maintenance 12/22/2023</t>
  </si>
  <si>
    <t>QA Preventative Maintenance 12/21/2023</t>
  </si>
  <si>
    <t>QA Preventative Maintenance 12/20/2023</t>
  </si>
  <si>
    <t>QA Preventative Maintenance 12/19/2023</t>
  </si>
  <si>
    <t>QA Preventative Maintenance 12/18/2023</t>
  </si>
  <si>
    <t>QA Preventative Maintenance 12/17/2023</t>
  </si>
  <si>
    <t>QA Preventative Maintenance 12/16/2023</t>
  </si>
  <si>
    <t>QA Preventative Maintenance 12/15/2023</t>
  </si>
  <si>
    <t>QA Preventative Maintenance 12/01/2023</t>
  </si>
  <si>
    <t>QA Preventative Maintenance 12/09/2023</t>
  </si>
  <si>
    <t>QA Preventative Maintenance 12/14/2023</t>
  </si>
  <si>
    <t>QA Preventative Maintenance 12/13/2023</t>
  </si>
  <si>
    <t>QA Preventative Maintenance 12/12/2023</t>
  </si>
  <si>
    <t>QA Preventative Maintenance 12/11/2023</t>
  </si>
  <si>
    <t>QA Preventative Maintenance 12/10/2023</t>
  </si>
  <si>
    <t>QA Preventative Maintenance 12/08/2023</t>
  </si>
  <si>
    <t>QA Preventative Maintenance 12/07/2023</t>
  </si>
  <si>
    <t>QA Preventative Maintenance 12/06/2023</t>
  </si>
  <si>
    <t>QA Preventative Maintenance 12/05/2023</t>
  </si>
  <si>
    <t>QA Preventative Maintenance 12/04/2023</t>
  </si>
  <si>
    <t>QA Preventative Maintenance 12/03/2023</t>
  </si>
  <si>
    <t>QA Preventative Maintenance 12/02/2023</t>
  </si>
  <si>
    <t>QA Preventative Maintenance 11/30/2023</t>
  </si>
  <si>
    <t>QA AFS 02/21/2024</t>
  </si>
  <si>
    <t>QA AFS 12/15/2023</t>
  </si>
  <si>
    <t>QA AFS 12/24/2023</t>
  </si>
  <si>
    <t>QA AFS 12/23/2023</t>
  </si>
  <si>
    <t>QA AFS 12/22/2023</t>
  </si>
  <si>
    <t>QA AFS 12/20/2023</t>
  </si>
  <si>
    <t>QA AFS 12/21/2023</t>
  </si>
  <si>
    <t>QA AFS 12/19/2023</t>
  </si>
  <si>
    <t>QA AFS 12/05/2023</t>
  </si>
  <si>
    <t>QA AFS 12/18/2023</t>
  </si>
  <si>
    <t>QA AFS 12/17/2023</t>
  </si>
  <si>
    <t>QA AFS 12/16/2023</t>
  </si>
  <si>
    <t>QA AFS 12/12/2023</t>
  </si>
  <si>
    <t>QA AFS 12/14/2023</t>
  </si>
  <si>
    <t>QA AFS 12/13/2023</t>
  </si>
  <si>
    <t>QA AFS 12/11/2023</t>
  </si>
  <si>
    <t>QA AFS 12/10/2023</t>
  </si>
  <si>
    <t>QA AFS 12/09/2023</t>
  </si>
  <si>
    <t>QA AFS 12/08/2023</t>
  </si>
  <si>
    <t>QA AFS 12/07/2023</t>
  </si>
  <si>
    <t>QA AFS 12/02/2023</t>
  </si>
  <si>
    <t>QA AFS 12/06/2023</t>
  </si>
  <si>
    <t>QA AFS 12/04/2023</t>
  </si>
  <si>
    <t>QA AFS 12/03/2023</t>
  </si>
  <si>
    <t>QA AFS 12/01/2023</t>
  </si>
  <si>
    <t>QA AFS 11/30/2023</t>
  </si>
  <si>
    <t>QA VFC 02/21/2024</t>
  </si>
  <si>
    <t>QA VFC 12/22/2023</t>
  </si>
  <si>
    <t>QA VFC 12/11/2023</t>
  </si>
  <si>
    <t>QA VFC 12/23/2023</t>
  </si>
  <si>
    <t>QA VFC 12/21/2023</t>
  </si>
  <si>
    <t>QA VFC 12/20/2023</t>
  </si>
  <si>
    <t>QA VFC 12/19/2023</t>
  </si>
  <si>
    <t>QA VFC 12/18/2023</t>
  </si>
  <si>
    <t>QA VFC 12/17/2023</t>
  </si>
  <si>
    <t>QA VFC 12/16/2023</t>
  </si>
  <si>
    <t>QA VFC 12/15/2023</t>
  </si>
  <si>
    <t>QA VFC 12/14/2023</t>
  </si>
  <si>
    <t>QA VFC 12/04/2023</t>
  </si>
  <si>
    <t>QA VFC 12/13/2023</t>
  </si>
  <si>
    <t>QA VFC 12/12/2023</t>
  </si>
  <si>
    <t>QA VFC 12/10/2023</t>
  </si>
  <si>
    <t>QA VFC 12/09/2023</t>
  </si>
  <si>
    <t>QA VFC 12/08/2023</t>
  </si>
  <si>
    <t>QA VFC 12/07/2023</t>
  </si>
  <si>
    <t>QA VFC 11/26/2023</t>
  </si>
  <si>
    <t>QA VFC 11/29/2023</t>
  </si>
  <si>
    <t>QA VFC 12/06/2023</t>
  </si>
  <si>
    <t>QA VFC 12/05/2023</t>
  </si>
  <si>
    <t>QA VFC 11/27/2023</t>
  </si>
  <si>
    <t>QA VFC 11/28/2023</t>
  </si>
  <si>
    <t>QA VFC 12/02/2023</t>
  </si>
  <si>
    <t>QA VFC 12/03/2023</t>
  </si>
  <si>
    <t>QA Ungrounding 02/21/2024</t>
  </si>
  <si>
    <t>QA Ungrounding 12/17/2023</t>
  </si>
  <si>
    <t>QA Ungrounding 12/24/2023</t>
  </si>
  <si>
    <t>QA Ungrounding 12/23/2023</t>
  </si>
  <si>
    <t>QA Ungrounding 12/22/2023</t>
  </si>
  <si>
    <t>QA Ungrounding 12/21/2023</t>
  </si>
  <si>
    <t>QA Ungrounding 12/20/2023</t>
  </si>
  <si>
    <t>QA Ungrounding 12/19/2023</t>
  </si>
  <si>
    <t>QA Ungrounding 12/09/2023</t>
  </si>
  <si>
    <t>QA Ungrounding 12/18/2023</t>
  </si>
  <si>
    <t>QA Ungrounding 12/16/2023</t>
  </si>
  <si>
    <t>QA Ungrounding 12/15/2023</t>
  </si>
  <si>
    <t>QA Ungrounding 12/14/2023</t>
  </si>
  <si>
    <t>QA Ungrounding 12/13/2023</t>
  </si>
  <si>
    <t>QA Ungrounding 12/12/2023</t>
  </si>
  <si>
    <t>QA Ungrounding 12/11/2023</t>
  </si>
  <si>
    <t>QA Ungrounding 12/10/2023</t>
  </si>
  <si>
    <t>QA Ungrounding 12/08/2023</t>
  </si>
  <si>
    <t>QA Ungrounding 12/07/2023</t>
  </si>
  <si>
    <t>QA Ungrounding 12/06/2023</t>
  </si>
  <si>
    <t>QA Ungrounding 12/01/2023</t>
  </si>
  <si>
    <t>QA Ungrounding 12/05/2023</t>
  </si>
  <si>
    <t>QA Ungrounding 12/04/2023</t>
  </si>
  <si>
    <t>No Miss</t>
  </si>
  <si>
    <t>QA Ungrounding 12/03/2023</t>
  </si>
  <si>
    <t>QA Ungrounding 12/02/2023</t>
  </si>
  <si>
    <t>QA Ungrounding 11/30/2023</t>
  </si>
  <si>
    <t>fc867e19-0563-45cb-b71d-7e073e4c50f6</t>
  </si>
  <si>
    <t>224f7435-bef1-4ad9-8ede-51c40348405b</t>
  </si>
  <si>
    <t>54e9badf-eefc-4760-8f7c-8bdc6872a08b</t>
  </si>
  <si>
    <t>b7a51960-5aa2-4d58-b63d-9d7858759726</t>
  </si>
  <si>
    <t>a5e0b616-3fc3-46d2-a886-79267976d2d6</t>
  </si>
  <si>
    <t>Label Dictionary</t>
  </si>
  <si>
    <t>Process Folder Dictionary</t>
  </si>
  <si>
    <t>d06fe84f-811f-4282-84f4-42809ee488ef</t>
  </si>
  <si>
    <t>6da143d4-cb50-4010-ac86-ce3dab07c563</t>
  </si>
  <si>
    <t>b33a5db1-1fbb-4bfe-af7c-ec1250d5f4d1</t>
  </si>
  <si>
    <t>9c72aa31-4251-4e96-9ffc-9dca9bb6d559</t>
  </si>
  <si>
    <t>fe5a2498-ee57-4b5e-bd27-7d1fdc49054a</t>
  </si>
  <si>
    <t>QA AFS 02/22/2024</t>
  </si>
  <si>
    <t>QA Ungrounding 02/22/2024</t>
  </si>
  <si>
    <t>QA Preventative Maintenance 02/22/2024</t>
  </si>
  <si>
    <t>CF VFC 02/22/2024</t>
  </si>
  <si>
    <t>QA Reimbursement 02/21/2024</t>
  </si>
  <si>
    <t>is checked; if it's not an integer, it is removed. Should the [Title] ever not contain a space before the opening</t>
  </si>
  <si>
    <t>bracket, the logic will break. Assuming consistent practices, the code will remain robust.</t>
  </si>
  <si>
    <t>057288de-9b5f-4dcc-8db5-978c4b2cb696</t>
  </si>
  <si>
    <t>0e4b5ea6-c9b9-493c-9f7c-7716fe7575dd</t>
  </si>
  <si>
    <t>069ec67b-f917-4cba-9730-e62d091c6644</t>
  </si>
  <si>
    <t>b338c123-066c-4c6b-9670-fdb7f78d469d</t>
  </si>
  <si>
    <t>c2e989ed-2d68-4448-9fbe-cc1defa11571</t>
  </si>
  <si>
    <t>QA AFS 02/23/2024</t>
  </si>
  <si>
    <t>QA Ungrounding 02/23/2024</t>
  </si>
  <si>
    <t>QA Preventative Maintenance 02/23/2024</t>
  </si>
  <si>
    <t>QA Reimbursement 02/22/2024</t>
  </si>
  <si>
    <t>128bccc0-da59-45db-bb03-5a5faf91ab00</t>
  </si>
  <si>
    <t>1593462a-3404-4d91-8e58-b942efaf0e1e</t>
  </si>
  <si>
    <t>1e6ef3d1-aa40-4c1d-b2b1-412a6c015b7f</t>
  </si>
  <si>
    <t>f437c6d7-02c1-4f75-8ba1-967f57548b8a</t>
  </si>
  <si>
    <t>3a1c2c4f-5cfe-4cb6-9f19-ab08d3a595f9</t>
  </si>
  <si>
    <t>QA AFS 02/24/2024</t>
  </si>
  <si>
    <t>QA Ungrounding 02/24/2024</t>
  </si>
  <si>
    <t>QA Preventative Maintenance 02/24/2024</t>
  </si>
  <si>
    <t>CF VFC 02/23/2024</t>
  </si>
  <si>
    <t>QA Reimbursement 02/23/2024</t>
  </si>
  <si>
    <t>23fd46d6-5c73-4a00-9546-95156609621b</t>
  </si>
  <si>
    <t>cd0bb0bd-d133-46c5-a201-a83591708af7</t>
  </si>
  <si>
    <t>91d2a93e-b2dd-44ab-a42b-c97fd2534bad</t>
  </si>
  <si>
    <t>6bdae937-1f80-43de-822d-0960238f77e9</t>
  </si>
  <si>
    <t>ba2d71f1-361f-4eca-a7d4-b8992ddc6c8e</t>
  </si>
  <si>
    <t>QA AFS 02/25/2024</t>
  </si>
  <si>
    <t>QA Ungrounding 02/25/2024</t>
  </si>
  <si>
    <t>QA Preventative Maintenance 02/25/2024</t>
  </si>
  <si>
    <t>QA VFC 02/25/2024</t>
  </si>
  <si>
    <t>QA Reimbursement 02/24/2024</t>
  </si>
  <si>
    <t>1e354acd-0cc6-4941-8a0a-0773c226958f</t>
  </si>
  <si>
    <t>e2180728-be6a-465a-a5e6-c1944807a5ef</t>
  </si>
  <si>
    <t>4a2a2061-6768-4cd2-84fe-367bb8407199</t>
  </si>
  <si>
    <t>bfeeb952-5e4e-4069-b4fb-5f3d7e2cea39</t>
  </si>
  <si>
    <t>a6faeb0e-82ae-4da1-8e1a-a7cb8e811681</t>
  </si>
  <si>
    <t>QA AFS 02/26/2024</t>
  </si>
  <si>
    <t>QA Ungrounding 02/26/2024</t>
  </si>
  <si>
    <t>QA Preventative Maintenance 02/26/2024</t>
  </si>
  <si>
    <t>QA VFC 02/26/2024</t>
  </si>
  <si>
    <t>QA Reimbursement 02/25/2024</t>
  </si>
  <si>
    <t>dbecb9ed-f072-4a84-98cd-f8f6d394dac8</t>
  </si>
  <si>
    <t>9209fe19-c6c4-4a48-82f1-b54ae5e1ef2c</t>
  </si>
  <si>
    <t>4f216f7c-cd92-4f78-8c35-a378db70cc36</t>
  </si>
  <si>
    <t>82d2c17b-7fd6-4d3d-9de6-76b02df6e7c1</t>
  </si>
  <si>
    <t>c5fed3c4-09aa-4709-8400-8df7d2ad6a41</t>
  </si>
  <si>
    <t>QA AFS 02/27/2024</t>
  </si>
  <si>
    <t>QA Ungrounding 02/27/2024</t>
  </si>
  <si>
    <t>QA Preventative Maintenance 02/27/2024</t>
  </si>
  <si>
    <t>QA VFC 02/27/2024</t>
  </si>
  <si>
    <t>QA Reimbursement 02/26/2024</t>
  </si>
  <si>
    <t>793a6293-4d40-46b5-b776-8389c2bf0ae5</t>
  </si>
  <si>
    <t>ba5e101f-e2a5-4d43-a409-b91eece5a9b4</t>
  </si>
  <si>
    <t>da806550-5747-4783-a0a0-a1705d4aa3c1</t>
  </si>
  <si>
    <t>QA Ungrounding 02/28/2024</t>
  </si>
  <si>
    <t>QA Preventative Maintenance 02/28/2024</t>
  </si>
  <si>
    <t>CF VFC 02/27/2024</t>
  </si>
  <si>
    <t>85c4b4c1-7e1c-4156-b013-d564b4718ef0</t>
  </si>
  <si>
    <t>71eb85f2-f89d-4400-9449-a15f94201228</t>
  </si>
  <si>
    <t>1d4fd502-0f6c-48d3-a9ac-a9b69cbb84bd</t>
  </si>
  <si>
    <t>d668ab72-f3da-4813-a0b4-1559ef461313</t>
  </si>
  <si>
    <t>02e54462-1f63-4809-b4d1-cdb7a5f4ac4a</t>
  </si>
  <si>
    <t>QA AFS 02/28/2024</t>
  </si>
  <si>
    <t>QA Ungrounding 02/29/2024</t>
  </si>
  <si>
    <t>QA Preventative Maintenance 02/29/2024</t>
  </si>
  <si>
    <t>CF VFC 02/28/2024</t>
  </si>
  <si>
    <t>QA Reimbursement 02/28/2024</t>
  </si>
  <si>
    <t>f5f41e38-7c7c-45fe-a8f8-641db85be684</t>
  </si>
  <si>
    <t>5efda8ef-ebb8-453d-8b5b-037c0b9e1266</t>
  </si>
  <si>
    <t>f9cfff60-51b6-4769-91cf-59677dde1cca</t>
  </si>
  <si>
    <t>3272e1e0-9bac-449b-b7f5-d58473ea807b</t>
  </si>
  <si>
    <t>850f25c9-97b4-4df1-a2f4-084f4766d39e</t>
  </si>
  <si>
    <t>QA AFS 02/29/2024</t>
  </si>
  <si>
    <t>QA Ungrounding 03/01/2024</t>
  </si>
  <si>
    <t>QA Preventative Maintenance 03/01/2024</t>
  </si>
  <si>
    <t>CF VFC 02/29/2024</t>
  </si>
  <si>
    <t>QA Reimbursement 02/29/2024</t>
  </si>
  <si>
    <t>009fcc6d-a2b6-446e-9495-f7703f04c980</t>
  </si>
  <si>
    <t>QA AFS 03/01/2024</t>
  </si>
  <si>
    <t>Finally figured out how to automatically paste graphs into e-mail report!</t>
  </si>
  <si>
    <t>Run `FlashMe.exe`, and sit back! Full download should take about three minutes.</t>
  </si>
  <si>
    <t>Developer Notes (Jonathan Moss @jjonamos)</t>
  </si>
  <si>
    <t>Completed automation minimum viable product.</t>
  </si>
  <si>
    <t>`FlashMe.exe` reads from the `Process_Folder_Dictionary` table; to download more processes, ensure their</t>
  </si>
  <si>
    <t>Tab</t>
  </si>
  <si>
    <t>Table</t>
  </si>
  <si>
    <t>Graph</t>
  </si>
  <si>
    <t>Cell</t>
  </si>
  <si>
    <t>folder IDs and names are included in the table. Each process must have its own named tab, SIM table, two</t>
  </si>
  <si>
    <t>named graphs, and three named cells. The naming convention is as follows, and must be adhered to, or the</t>
  </si>
  <si>
    <t>code will break:</t>
  </si>
  <si>
    <t>{Process Name}</t>
  </si>
  <si>
    <t>{Process Name}_SIMs</t>
  </si>
  <si>
    <t>{Process Name}_Weekly</t>
  </si>
  <si>
    <t>{Process Name}_Daily</t>
  </si>
  <si>
    <t>{Process Name}_Weekly_Cell</t>
  </si>
  <si>
    <t>{Process Name}_Daily_Cell</t>
  </si>
  <si>
    <t>{Process Name}_Date</t>
  </si>
  <si>
    <t>cb59ce94-1894-404a-b76a-b3e2ade25b2e</t>
  </si>
  <si>
    <t>6bf85cae-6a43-4807-864b-02978b961592</t>
  </si>
  <si>
    <t>6bc3ee82-d875-44e4-9a90-7c89713d8ed8</t>
  </si>
  <si>
    <t>ed5c8e71-306e-4b87-972d-8e1e99dfa26f</t>
  </si>
  <si>
    <t>989b596f-ebae-4acd-9f84-1e89e15d10c5</t>
  </si>
  <si>
    <t>9fd754af-522d-4a78-9aa3-e3b4db9d84ac</t>
  </si>
  <si>
    <t>10d01c54-364f-4cc0-b209-1440df471e09</t>
  </si>
  <si>
    <t>7fa63bb5-4669-4823-9f0d-4348c44074e8</t>
  </si>
  <si>
    <t>1895f5e1-ba78-43a1-9620-6141efe2d9cf</t>
  </si>
  <si>
    <t>52db3803-2069-42de-9d29-6d8bd304d4ad</t>
  </si>
  <si>
    <t>479d0dee-6d80-4f2c-a4b4-4a74050d8c6c</t>
  </si>
  <si>
    <t>d8ece631-77ab-422b-a210-1be6694b5f86</t>
  </si>
  <si>
    <t>ee20c5c9-212a-4241-b6e6-da63eabe2280</t>
  </si>
  <si>
    <t>400e5d18-3e43-4297-bd23-61c33987fb03</t>
  </si>
  <si>
    <t>5f8b9cb0-a20b-4c0b-84e5-81e0cfcfe291</t>
  </si>
  <si>
    <t>c0881cfa-bf88-43b4-8609-395c1c4ee28b</t>
  </si>
  <si>
    <t>4cd8e65e-f06a-42e2-9a5d-b9246749af09</t>
  </si>
  <si>
    <t>7169baad-12b3-40c1-a296-860280f549fb</t>
  </si>
  <si>
    <t>cfed0c8f-ab69-4a20-b7a5-66cc28368721</t>
  </si>
  <si>
    <t>cf843cb9-f94d-467b-857e-6bff056d6a63</t>
  </si>
  <si>
    <t>4084715b-c85a-48e7-b28c-0f6e1632719e</t>
  </si>
  <si>
    <t>ac43ea03-85dc-403b-a4a5-083318aab579</t>
  </si>
  <si>
    <t>4e35f016-d99f-4a10-b8a2-352327b6bfb9</t>
  </si>
  <si>
    <t>7ac50f9c-790a-4aea-a045-3912cec5e25d</t>
  </si>
  <si>
    <t>3259b3d0-bcd7-49dc-aa3f-0ecd55566fb1</t>
  </si>
  <si>
    <t>042f9351-4261-40ee-b4e2-fe39b3342110</t>
  </si>
  <si>
    <t>edfee012-b8df-47d4-a5df-86b95a3e1ad9</t>
  </si>
  <si>
    <t>21802090-8fc8-473f-bfc9-37a1a05560b1</t>
  </si>
  <si>
    <t>QA AFS 03/06/2024</t>
  </si>
  <si>
    <t>QA AFS 03/05/2024</t>
  </si>
  <si>
    <t>QA AFS 03/02/2024</t>
  </si>
  <si>
    <t>QA AFS 03/03/2024</t>
  </si>
  <si>
    <t>QA AFS 03/04/2024</t>
  </si>
  <si>
    <t>QA Ungrounding 03/06/2024</t>
  </si>
  <si>
    <t>QA Ungrounding 03/04/2024</t>
  </si>
  <si>
    <t>QA Ungrounding 03/05/2024</t>
  </si>
  <si>
    <t>QA Ungrounding 03/03/2024</t>
  </si>
  <si>
    <t>QA Ungrounding 03/02/2024</t>
  </si>
  <si>
    <t>QA Preventative Maintenance 03/06/2024</t>
  </si>
  <si>
    <t>QA Preventative Maintenance 03/05/2024</t>
  </si>
  <si>
    <t>QA Preventative Maintenance 03/04/2024</t>
  </si>
  <si>
    <t>QA Preventative Maintenance 03/03/2024</t>
  </si>
  <si>
    <t>QA Preventative Maintenance 03/02/2024</t>
  </si>
  <si>
    <t>QA VFC 03/06/2024</t>
  </si>
  <si>
    <t>QA VFC 03/04/2024</t>
  </si>
  <si>
    <t>QA VFC 03/05/2024</t>
  </si>
  <si>
    <t>QA VFC 03/03/2024</t>
  </si>
  <si>
    <t>CF VFC 03/02/2024</t>
  </si>
  <si>
    <t>QA Reimbursement 03/05/2024</t>
  </si>
  <si>
    <t>QA Reimbursement 03/04/2024</t>
  </si>
  <si>
    <t>QA Reimbursement 03/02/2024</t>
  </si>
  <si>
    <t>QA Reimbursement 03/01/2024</t>
  </si>
  <si>
    <t>QA SWA Paragon Audits 03/05/2024</t>
  </si>
  <si>
    <t>SWA Paragon Miss</t>
  </si>
  <si>
    <t>Invalid</t>
  </si>
  <si>
    <t>[TEST] SWA Paragon Audits 2/29/2024</t>
  </si>
  <si>
    <t>75848733-b884-4f00-bd41-f88e04256d62</t>
  </si>
  <si>
    <t>QA SWA Paragon Audits 03/04/2024</t>
  </si>
  <si>
    <t>810f33eb-b5dd-4d77-876a-c2f4fe606d2a</t>
  </si>
  <si>
    <t>a6dc8831-e42f-45ef-b8ed-aaae898a6520</t>
  </si>
  <si>
    <t>a456a12a-a1a5-4029-9597-4fb85952b764</t>
  </si>
  <si>
    <t>8b5bd155-899c-466f-a340-837cc66a3d3d</t>
  </si>
  <si>
    <t>ca76ef77-279f-4338-a75e-97669912af26</t>
  </si>
  <si>
    <t>44685f10-8019-4051-a14a-00de0a5e1f84</t>
  </si>
  <si>
    <t>29f30b49-7270-4a82-852a-b3d722c5bba8</t>
  </si>
  <si>
    <t>56e61ef1-79c3-4e8c-b1a1-6105d0e096e1</t>
  </si>
  <si>
    <t>90f41e47-ed42-4ee9-b865-bb93f2b8a142</t>
  </si>
  <si>
    <t>4a0e1166-e80a-4b75-95da-21ba45ee71b4</t>
  </si>
  <si>
    <t>f8f527b5-1d37-4ba1-a356-83b5b37932e2</t>
  </si>
  <si>
    <t>6ad0b575-a128-483c-8fed-6da318ee016e</t>
  </si>
  <si>
    <t>c6b969f0-2c12-4c3e-b923-4eaa85d57c12</t>
  </si>
  <si>
    <t>b1c4cc7d-3f5b-4808-a69b-3894c4a09d69</t>
  </si>
  <si>
    <t>7967b3a9-c62d-433b-bb60-9868778f23ea</t>
  </si>
  <si>
    <t>0aa273e9-21ba-41c3-b6c2-873bd27a3e54</t>
  </si>
  <si>
    <t>81debec9-11c5-4e9b-a859-3d7cf0334cc0</t>
  </si>
  <si>
    <t>621324cf-2e04-444b-8e01-9c289ec439a4</t>
  </si>
  <si>
    <t>bf206c15-0089-430f-ae63-65454b8cff3e</t>
  </si>
  <si>
    <t>ec382210-14e1-4928-97e2-a2ae85815b3b</t>
  </si>
  <si>
    <t>2346270a-7bd1-4263-a0c5-741340556917</t>
  </si>
  <si>
    <t>44db2050-0bea-4520-b446-ee2608094b9b</t>
  </si>
  <si>
    <t>164fdac1-f99d-416e-9455-63fb0a47cab1</t>
  </si>
  <si>
    <t>aedf26b0-1477-4b37-bca1-c8caa4394b2b</t>
  </si>
  <si>
    <t>704657f0-beec-4cb3-889d-4e0812556e43</t>
  </si>
  <si>
    <t>3463b310-c1b6-4a5c-9425-e33013fb132c</t>
  </si>
  <si>
    <t>da79f0bc-1dc2-4542-8c9e-d70eb49d1587</t>
  </si>
  <si>
    <t>225606fd-94c4-404f-a9ad-ceec1ba0d463</t>
  </si>
  <si>
    <t>78b5b885-d88b-4d76-9dd7-461c04f64dff</t>
  </si>
  <si>
    <t>b589d51c-3e59-4e46-ad1d-4e475a025dc6</t>
  </si>
  <si>
    <t>5d424a9e-dbd5-475d-8cec-84a1ed9a9ebd</t>
  </si>
  <si>
    <t>059d3cfa-5759-4cd8-be9a-a0bebf02a461</t>
  </si>
  <si>
    <t>ae77322e-bfd4-475c-93fd-033c7ba025ec</t>
  </si>
  <si>
    <t>987a96fb-ff7c-4856-a7aa-379f73c4af72</t>
  </si>
  <si>
    <t>e82d4b2d-7636-43ff-895d-a4ea63ee3547</t>
  </si>
  <si>
    <t>3ab26cfb-5bf9-485e-949c-df844b5ab20a</t>
  </si>
  <si>
    <t>d05a6ffa-779c-4f2f-8e5b-16b0b28e4a7b</t>
  </si>
  <si>
    <t>1447c56f-8a58-49b4-8aa7-d7161bf3ba66</t>
  </si>
  <si>
    <t>896b9c28-3295-4311-a98b-37058327a0d0</t>
  </si>
  <si>
    <t>6679c749-519e-4954-9174-32aec20c9c35</t>
  </si>
  <si>
    <t>c13e544f-f8da-4328-9227-3fbbd6d453ab</t>
  </si>
  <si>
    <t>9fdc20b9-f842-49bc-8926-72869c00d7d6</t>
  </si>
  <si>
    <t>d56b1742-84a3-48ae-92c7-0e56a5e0f2ee</t>
  </si>
  <si>
    <t>3f71db83-a441-47a4-abb5-016d4b35b728</t>
  </si>
  <si>
    <t>44be26f5-05b5-4748-8462-166630b22610</t>
  </si>
  <si>
    <t>9ff2d929-4e13-4608-bd44-dba5236157b0</t>
  </si>
  <si>
    <t>d949a94f-55c3-4479-9346-2693483e386d</t>
  </si>
  <si>
    <t>709cb3d9-9061-468a-9051-0e341a64f97b</t>
  </si>
  <si>
    <t>7b10299b-eef6-4e1a-8a6e-f8196fe955fe</t>
  </si>
  <si>
    <t>e1418127-bb2e-422c-a82a-c205a189f5a2</t>
  </si>
  <si>
    <t>c9e4c77c-0692-4b1b-8c02-61fbc70a3c11</t>
  </si>
  <si>
    <t>37037a67-fc6d-4e8a-94fb-c78c5c24015d</t>
  </si>
  <si>
    <t>4b7824b5-1eac-4899-9cd3-f7c252887c17</t>
  </si>
  <si>
    <t>6181aec2-6992-4018-8a64-db6755655cf4</t>
  </si>
  <si>
    <t>da02d514-2755-4bcb-979b-74f7f471e14a</t>
  </si>
  <si>
    <t>909b8121-749d-4774-bf67-31613d0d83c4</t>
  </si>
  <si>
    <t>380781c3-646c-4504-86e8-90f8906a605a</t>
  </si>
  <si>
    <t>2af714c8-a6ae-43df-ad57-f1e5e03cf9c8</t>
  </si>
  <si>
    <t>1a7cb872-abb5-45aa-9832-42eea83e881a</t>
  </si>
  <si>
    <t>727918b7-fe1a-44fd-85b0-219f43fc373f</t>
  </si>
  <si>
    <t>3c618ddc-cc84-41fa-862f-a46f7d90b216</t>
  </si>
  <si>
    <t>38016a53-bf12-4e99-b19f-5ad05016293e</t>
  </si>
  <si>
    <t>8a4e49fa-d4a0-4d71-abaf-ec8b106288c2</t>
  </si>
  <si>
    <t>a5a6196a-5afc-4ee1-a9cb-d1eba91be8ba</t>
  </si>
  <si>
    <t>386d4101-70aa-4197-b8d1-4f5254a9c982</t>
  </si>
  <si>
    <t>81e6fae3-2fad-41fd-92e7-ab673d66f123</t>
  </si>
  <si>
    <t>0b5bc684-d3fd-411d-9ca2-247fd1374d59</t>
  </si>
  <si>
    <t>36c60e7b-553a-4427-b290-ce950a0effaa</t>
  </si>
  <si>
    <t>0728fe35-5119-4ebd-b0f4-a6e19afb38ad</t>
  </si>
  <si>
    <t>02ca3275-2526-4e9d-8967-394bfab8192a</t>
  </si>
  <si>
    <t>22798100-a797-4f38-82d5-aec662439d69</t>
  </si>
  <si>
    <t>dbed4748-f0b1-4e73-8679-6c6b34123d7f</t>
  </si>
  <si>
    <t>35ca74d0-d7b3-4bf7-90d1-6853958598a9</t>
  </si>
  <si>
    <t>46bb7c88-e9b2-492b-b209-482945bdfa06</t>
  </si>
  <si>
    <t>f609f7d9-5efc-4247-a7fa-72ed99f51e51</t>
  </si>
  <si>
    <t>a7698aac-15aa-4eec-aa6c-d335f9c37961</t>
  </si>
  <si>
    <t>d4fbc871-7708-4a8a-bb63-90bb3a2b058a</t>
  </si>
  <si>
    <t>bcf294db-d660-4ed5-9e63-05c49fb6d029</t>
  </si>
  <si>
    <t>dde8fef3-cc81-451f-bbd4-d8a208f22ea4</t>
  </si>
  <si>
    <t>028c0b79-1ca6-4fae-9d45-cc1a1f52c414</t>
  </si>
  <si>
    <t>b3a70a33-a122-4483-8506-895ad50dcbd0</t>
  </si>
  <si>
    <t>2070066c-b74e-47ce-8700-8ba551653057</t>
  </si>
  <si>
    <t>90931bf2-470f-42e3-9780-7d7679243c09</t>
  </si>
  <si>
    <t>3337594e-a6c3-4b57-8bfd-0480e3f6e621</t>
  </si>
  <si>
    <t>a9369d0c-601a-42b2-a49c-bece0c62ae9a</t>
  </si>
  <si>
    <t>62b785f2-b0d9-4560-afba-7a4a5eb12548</t>
  </si>
  <si>
    <t>a492cc21-1e1e-43ff-a289-f52d6d695926</t>
  </si>
  <si>
    <t>0fd780d4-9c68-42c7-933d-23deaef2967e</t>
  </si>
  <si>
    <t>3f547f3f-6bf1-41d6-8759-94bfa1bd5fb9</t>
  </si>
  <si>
    <t>0c81b3ca-2c41-4949-b1d1-3183177a993f</t>
  </si>
  <si>
    <t>e39f506a-2179-4ef5-b95e-0b5bf83073a5</t>
  </si>
  <si>
    <t>fdb18336-224c-41f4-9d4b-4a1a32bce282</t>
  </si>
  <si>
    <t>f10a51cc-2113-40fa-b104-f95da09a898e</t>
  </si>
  <si>
    <t>a06cd7d7-92f1-4b52-8930-bbaeaaab915b</t>
  </si>
  <si>
    <t>c1d32229-0d7b-4bb9-a49e-b098cef90bba</t>
  </si>
  <si>
    <t>2863d0ac-e26b-4447-8256-a304277f03aa</t>
  </si>
  <si>
    <t>a9dee158-33ac-4c87-9f48-a5be7d7be2fd</t>
  </si>
  <si>
    <t>71e7a7ec-7df0-485b-88f5-a9a4394fc3b8</t>
  </si>
  <si>
    <t>047c0e57-159c-47d9-a6c8-dafcf91d66dd</t>
  </si>
  <si>
    <t>7ef37b12-9900-4b3b-a8fb-12b3aefa9821</t>
  </si>
  <si>
    <t>7c578dac-775a-4c7c-b06e-36fa67711847</t>
  </si>
  <si>
    <t>8dbf0420-a98e-4d5d-ad16-413a990fc90e</t>
  </si>
  <si>
    <t>b00c9f53-3a0f-4ae0-bf18-aba43761ce91</t>
  </si>
  <si>
    <t>0e0b2788-bfb2-4ed5-a487-fb958b504809</t>
  </si>
  <si>
    <t>14210242-ba51-408d-b822-c51481296d92</t>
  </si>
  <si>
    <t>4d9dd688-3d2e-4896-a9d8-106464c946f3</t>
  </si>
  <si>
    <t>922651b5-5d18-40c3-8631-71f258b704a5</t>
  </si>
  <si>
    <t>8872215d-fb89-46d3-9530-382813804e7e</t>
  </si>
  <si>
    <t>ba305fc8-05b9-4a4e-acf6-f3aa1e1faabb</t>
  </si>
  <si>
    <t>ac437eb4-f600-49db-9374-d166c20d5129</t>
  </si>
  <si>
    <t>13f41b9b-0e2d-4a54-96c9-0c3f05b364d6</t>
  </si>
  <si>
    <t>141f4995-2a35-4ec4-b1f5-452ed9a3f8a3</t>
  </si>
  <si>
    <t>12acd28c-97c7-41ab-a44a-59de849cc7ce</t>
  </si>
  <si>
    <t>a1ad0d9d-4813-4468-b523-642a05522dac</t>
  </si>
  <si>
    <t>82d2e890-19c4-41f8-9121-978ba2073f4b</t>
  </si>
  <si>
    <t>5a22301b-5591-4e77-9279-ed07e0c8f9b6</t>
  </si>
  <si>
    <t>d2007be9-dd74-4579-91d0-0f8c94452ef8</t>
  </si>
  <si>
    <t>bf44087b-5f25-4580-9ab3-09be5da397d6</t>
  </si>
  <si>
    <t>6b7ba27f-e036-4e4d-bdac-06eaadbdfef7</t>
  </si>
  <si>
    <t>2f99f06c-d996-41f0-85a6-4284d4465267</t>
  </si>
  <si>
    <t>b6bddc09-8508-4a6c-b637-6ae0331d6911</t>
  </si>
  <si>
    <t>ff56ac51-0276-49e7-916b-c9bfcb948114</t>
  </si>
  <si>
    <t>b1ba1efe-b586-4a56-a4f4-f5e6fe213e87</t>
  </si>
  <si>
    <t>29891444-1e62-4c76-ad56-52761de19172</t>
  </si>
  <si>
    <t>40193732-d3c1-4b55-a3aa-5d81036a3cc0</t>
  </si>
  <si>
    <t>74ba81cd-8447-4118-9501-c3df63c204dd</t>
  </si>
  <si>
    <t>7514664e-7c92-4027-8483-e9c70498378f</t>
  </si>
  <si>
    <t>QA AFS 04/02/2024</t>
  </si>
  <si>
    <t>QA AFS 04/01/2024</t>
  </si>
  <si>
    <t>QA AFS 03/31/2024</t>
  </si>
  <si>
    <t>QA AFS 03/08/2024</t>
  </si>
  <si>
    <t>QA AFS 03/28/2024</t>
  </si>
  <si>
    <t>QA AFS 03/30/2024</t>
  </si>
  <si>
    <t>QA AFS 03/21/2024</t>
  </si>
  <si>
    <t>QA AFS 03/29/2024</t>
  </si>
  <si>
    <t>QA AFS 03/27/2024</t>
  </si>
  <si>
    <t>QA AFS 03/26/2024</t>
  </si>
  <si>
    <t>QA AFS 03/25/2024</t>
  </si>
  <si>
    <t>QA AFS 03/17/2024</t>
  </si>
  <si>
    <t>QA AFS 03/24/2024</t>
  </si>
  <si>
    <t>QA AFS 03/23/2024</t>
  </si>
  <si>
    <t>QA AFS 03/22/2024</t>
  </si>
  <si>
    <t>QA AFS 03/20/2024</t>
  </si>
  <si>
    <t>QA AFS 03/19/2024</t>
  </si>
  <si>
    <t>QA AFS 03/18/2024</t>
  </si>
  <si>
    <t>QA AFS 03/15/2024</t>
  </si>
  <si>
    <t>QA AFS 03/14/2024</t>
  </si>
  <si>
    <t>QA AFS 03/13/2024</t>
  </si>
  <si>
    <t>QA AFS 03/16/2024</t>
  </si>
  <si>
    <t>QA AFS 03/09/2024</t>
  </si>
  <si>
    <t>QA AFS 03/10/2024</t>
  </si>
  <si>
    <t>QA AFS 03/12/2024</t>
  </si>
  <si>
    <t>QA AFS 03/07/2024</t>
  </si>
  <si>
    <t>QA AFS 03/11/2024</t>
  </si>
  <si>
    <t>QA Ungrounding 04/02/2024</t>
  </si>
  <si>
    <t>QA Ungrounding 04/01/2024</t>
  </si>
  <si>
    <t>QA Ungrounding 03/31/2024</t>
  </si>
  <si>
    <t>QA Ungrounding 03/30/2024</t>
  </si>
  <si>
    <t>QA Ungrounding 03/29/2024</t>
  </si>
  <si>
    <t>QA Ungrounding 03/27/2024</t>
  </si>
  <si>
    <t>QA Ungrounding 03/28/2024</t>
  </si>
  <si>
    <t>QA Ungrounding 03/26/2024</t>
  </si>
  <si>
    <t>QA Ungrounding 03/18/2024</t>
  </si>
  <si>
    <t>QA Ungrounding 03/25/2024</t>
  </si>
  <si>
    <t>QA Ungrounding 03/24/2024</t>
  </si>
  <si>
    <t>QA Ungrounding 03/23/2024</t>
  </si>
  <si>
    <t>QA Ungrounding 03/22/2024</t>
  </si>
  <si>
    <t>QA Ungrounding 03/21/2024</t>
  </si>
  <si>
    <t>QA Ungrounding 03/20/2024</t>
  </si>
  <si>
    <t>QA Ungrounding 03/19/2024</t>
  </si>
  <si>
    <t>QA Ungrounding 03/14/2024</t>
  </si>
  <si>
    <t>QA Ungrounding 03/13/2024</t>
  </si>
  <si>
    <t>QA Ungrounding 03/17/2024</t>
  </si>
  <si>
    <t>QA Ungrounding 03/16/2024</t>
  </si>
  <si>
    <t>QA Ungrounding 03/15/2024</t>
  </si>
  <si>
    <t>QA Ungrounding 03/07/2024</t>
  </si>
  <si>
    <t>QA Ungrounding 03/12/2024</t>
  </si>
  <si>
    <t>QA Ungrounding 03/11/2024</t>
  </si>
  <si>
    <t>QA Ungrounding 03/10/2024</t>
  </si>
  <si>
    <t>QA Ungrounding 03/09/2024</t>
  </si>
  <si>
    <t>QA Ungrounding 03/08/2024</t>
  </si>
  <si>
    <t>QA Preventative Maintenance 04/02/2024</t>
  </si>
  <si>
    <t>QA Preventative Maintenance 04/01/2024</t>
  </si>
  <si>
    <t>QA Preventative Maintenance 03/31/2024</t>
  </si>
  <si>
    <t>QA Preventative Maintenance 03/30/2024</t>
  </si>
  <si>
    <t>QA Preventative Maintenance 03/29/2024</t>
  </si>
  <si>
    <t>QA Preventative Maintenance 03/27/2024</t>
  </si>
  <si>
    <t>QA Preventative Maintenance 03/28/2024</t>
  </si>
  <si>
    <t>QA Preventative Maintenance 03/26/2024</t>
  </si>
  <si>
    <t>QA Preventative Maintenance 03/25/2024</t>
  </si>
  <si>
    <t>QA Preventative Maintenance 03/24/2024</t>
  </si>
  <si>
    <t>QA Preventative Maintenance 03/23/2024</t>
  </si>
  <si>
    <t>QA Preventative Maintenance 03/22/2024</t>
  </si>
  <si>
    <t>QA Preventative Maintenance 03/21/2024</t>
  </si>
  <si>
    <t>QA Preventative Maintenance 03/20/2024</t>
  </si>
  <si>
    <t>QA Preventative Maintenance 03/19/2024</t>
  </si>
  <si>
    <t>QA Preventative Maintenance 03/18/2024</t>
  </si>
  <si>
    <t>QA Preventative Maintenance 03/16/2024</t>
  </si>
  <si>
    <t>QA Preventative Maintenance 03/15/2024</t>
  </si>
  <si>
    <t>QA Preventative Maintenance 03/14/2024</t>
  </si>
  <si>
    <t>QA Preventative Maintenance 03/13/2024</t>
  </si>
  <si>
    <t>QA Preventative Maintenance 03/12/2024</t>
  </si>
  <si>
    <t>QA Preventative Maintenance 03/11/2024</t>
  </si>
  <si>
    <t>QA Preventative Maintenance 03/10/2024</t>
  </si>
  <si>
    <t>QA Preventative Maintenance 03/09/2024</t>
  </si>
  <si>
    <t>QA Preventative Maintenance 03/08/2024</t>
  </si>
  <si>
    <t>QA Preventative Maintenance 03/07/2024</t>
  </si>
  <si>
    <t>QA VFC 04/02/2024</t>
  </si>
  <si>
    <t>QA VFC 04/01/2024</t>
  </si>
  <si>
    <t>QA VFC 03/31/2024</t>
  </si>
  <si>
    <t>CF VFC 03/30/2024</t>
  </si>
  <si>
    <t>CF VFC 03/29/2024</t>
  </si>
  <si>
    <t>CF VFC 03/28/2024</t>
  </si>
  <si>
    <t>CF VFC 03/27/2024</t>
  </si>
  <si>
    <t>QA VFC 03/26/2024</t>
  </si>
  <si>
    <t>QA VFC 03/25/2024</t>
  </si>
  <si>
    <t>QA VFC 03/24/2024</t>
  </si>
  <si>
    <t>CF VFC 03/23/2024</t>
  </si>
  <si>
    <t>CF VFC 03/22/2024</t>
  </si>
  <si>
    <t>CF VFC 03/21/2024</t>
  </si>
  <si>
    <t>QA VFC 03/20/2024</t>
  </si>
  <si>
    <t>QA VFC 03/18/2024</t>
  </si>
  <si>
    <t>QA VFC 03/17/2024</t>
  </si>
  <si>
    <t>CF VFC 03/16/2024</t>
  </si>
  <si>
    <t>CF VFC 03/15/2024</t>
  </si>
  <si>
    <t>CF VFC 03/14/2024</t>
  </si>
  <si>
    <t>CF VFC 03/13/2024</t>
  </si>
  <si>
    <t>QA VFC 03/12/2024</t>
  </si>
  <si>
    <t>QA VFC 03/11/2024</t>
  </si>
  <si>
    <t>CF VFC 03/09/2024</t>
  </si>
  <si>
    <t>CF VFC 03/08/2024</t>
  </si>
  <si>
    <t>CF VFC 03/07/2024</t>
  </si>
  <si>
    <t>QA Reimbursement 03/28/2024</t>
  </si>
  <si>
    <t>QA Reimbursement 04/02/2024</t>
  </si>
  <si>
    <t>QA Reimbursement 04/01/2024</t>
  </si>
  <si>
    <t>QA Reimbursement 03/30/2024</t>
  </si>
  <si>
    <t>QA Reimbursement 03/29/2024</t>
  </si>
  <si>
    <t>QA Reimbursement 03/27/2024</t>
  </si>
  <si>
    <t>QA Reimbursement 03/23/2024</t>
  </si>
  <si>
    <t>QA Reimbursement 03/25/2024</t>
  </si>
  <si>
    <t>QA Reimbursement 03/26/2024</t>
  </si>
  <si>
    <t>QA Reimbursement 03/24/2024</t>
  </si>
  <si>
    <t>QA Reimbursement 03/22/2024</t>
  </si>
  <si>
    <t>QA Reimbursement 03/20/2024</t>
  </si>
  <si>
    <t>QA Reimbursement 03/19/2024</t>
  </si>
  <si>
    <t>QA Reimbursement 03/17/2024</t>
  </si>
  <si>
    <t>QA Reimbursement 03/16/2024</t>
  </si>
  <si>
    <t>QA Reimbursement 03/15/2024</t>
  </si>
  <si>
    <t>QA Reimbursement 03/14/2024</t>
  </si>
  <si>
    <t>QA Reimbursement 03/13/2024</t>
  </si>
  <si>
    <t>QA Reimbursement 03/12/2024</t>
  </si>
  <si>
    <t>QA Reimbursement 03/11/2024</t>
  </si>
  <si>
    <t>8bfb6923-ace1-4fe4-8e1e-03aa7f5bacd9</t>
  </si>
  <si>
    <t>d89ae1ac-4c4b-4e33-b913-82e679511987</t>
  </si>
  <si>
    <t>f5c5c26e-2e96-492a-9389-687d03232968</t>
  </si>
  <si>
    <t>3eb44fec-e1d5-4acc-9ae4-9bfc64552855</t>
  </si>
  <si>
    <t>66f8182d-c476-482b-ab16-44a147dba4c6</t>
  </si>
  <si>
    <t>48b48492-7cc5-46d1-8803-cd89500d54fa</t>
  </si>
  <si>
    <t>40ecdc74-acd0-4336-b44d-10d2b643ae21</t>
  </si>
  <si>
    <t>21db20bd-8d25-4031-9850-9e15d42f9f0c</t>
  </si>
  <si>
    <t>ebdb43b3-61ed-4baf-8312-d2de4580dcae</t>
  </si>
  <si>
    <t>6f43000b-8634-4767-b905-b4e3a8ee9198</t>
  </si>
  <si>
    <t>9edcf363-c05c-4492-b045-212d885e98a5</t>
  </si>
  <si>
    <t>104460c5-733d-46cb-a4f4-00cb4af72dbc</t>
  </si>
  <si>
    <t>dd2b9a86-62d7-4417-9b47-f1b33befaeba</t>
  </si>
  <si>
    <t>554b3556-aa4f-427d-9edc-010b83daa0de</t>
  </si>
  <si>
    <t>3831e056-461a-4147-a885-37c978e02c70</t>
  </si>
  <si>
    <t>3d28d585-1665-47fb-bdb2-f530a5a059f2</t>
  </si>
  <si>
    <t>7b3a4da9-63ad-43e0-8539-c08e34fa9363</t>
  </si>
  <si>
    <t>321d8b5f-06f0-4e3d-bde1-f4e1b7f7ea45</t>
  </si>
  <si>
    <t>f00cc6d4-a053-46d9-b147-cdc517df90ab</t>
  </si>
  <si>
    <t>088b2c67-7198-4084-ad37-3f25229e1edb</t>
  </si>
  <si>
    <t>9b546cc5-a636-4152-a2a5-0ca31596670e</t>
  </si>
  <si>
    <t>d40a6dab-838d-4991-9cc2-4ba493faa325</t>
  </si>
  <si>
    <t>763eca53-7f18-455c-960e-fb86e6743b71</t>
  </si>
  <si>
    <t>92374f1b-789f-4740-8a6a-247174280f12</t>
  </si>
  <si>
    <t>ae201981-3381-4742-b3b0-ac7ff71cc559</t>
  </si>
  <si>
    <t>b5572af7-5c85-428a-bc1e-8c77035f1b3c</t>
  </si>
  <si>
    <t>84b4d72e-11d1-4687-8d5f-74d647e15780</t>
  </si>
  <si>
    <t>d6f096b0-c625-4e6c-b9dc-05c7302a1830</t>
  </si>
  <si>
    <t>069a0e77-8993-4cc0-a69f-52be318ef54e</t>
  </si>
  <si>
    <t>7d8b7a5c-361c-42d2-a68e-9434e6c999db</t>
  </si>
  <si>
    <t>1848e3f9-741d-4190-95c8-56d1d292f067</t>
  </si>
  <si>
    <t>9d1c3372-7c91-4e20-bfaa-470d3235fa4b</t>
  </si>
  <si>
    <t>fc226a1c-caec-4f0e-a46e-1dc2e80fb916</t>
  </si>
  <si>
    <t>eb618000-0d60-4824-aebe-5d325557c53b</t>
  </si>
  <si>
    <t>46892e7f-1874-4d51-a19e-5e97c3e5dbcd</t>
  </si>
  <si>
    <t>0c3bb02b-18cf-4ab5-9763-13ccf52199e2</t>
  </si>
  <si>
    <t>dbb8a09b-52cb-4b03-b2cc-d107b8a910e7</t>
  </si>
  <si>
    <t>7fcfd44c-f574-459f-a27b-b5f7a6cfe24a</t>
  </si>
  <si>
    <t>01b8706e-7764-45dd-855b-b1747b67a916</t>
  </si>
  <si>
    <t>a8cce774-fa59-48b3-a8e3-3dd7bb19ad34</t>
  </si>
  <si>
    <t>ec9a99a2-2ae9-4048-be99-458abae592a0</t>
  </si>
  <si>
    <t>92b0e92b-0147-42e9-ae53-5b43d6b304e2</t>
  </si>
  <si>
    <t>d08b1565-c73f-4460-a68c-e5d512a75db0</t>
  </si>
  <si>
    <t>b3a18518-d41b-45d2-9dde-69a122539416</t>
  </si>
  <si>
    <t>10556bf7-1f59-4c2f-acd8-d0fa00760043</t>
  </si>
  <si>
    <t>cfcd2e31-e3aa-4cc7-9137-a91d7b0365d6</t>
  </si>
  <si>
    <t>82f7fa27-8062-4f6a-8f95-876424d75dac</t>
  </si>
  <si>
    <t>e2033c6d-6fe5-4503-ae27-244cbae44a4f</t>
  </si>
  <si>
    <t>6ba5260c-1a01-4732-90a1-fdef65485c33</t>
  </si>
  <si>
    <t>7c9976df-d173-4f5d-9d7e-df3ef3bc4091</t>
  </si>
  <si>
    <t>770118c0-61bc-480b-9e96-60f2418a228f</t>
  </si>
  <si>
    <t>5d7bc683-881b-45b0-91eb-a08e0ba4cf56</t>
  </si>
  <si>
    <t>0f690b2b-6c91-4889-b65e-19896091fb64</t>
  </si>
  <si>
    <t>21b290c6-a065-44cc-afda-07e8ae619c46</t>
  </si>
  <si>
    <t>fe93eaf9-8016-41e7-b123-554643934dec</t>
  </si>
  <si>
    <t>4f06d666-fd3e-427f-982a-e2409d12c182</t>
  </si>
  <si>
    <t>a46bd21d-8eb8-4d54-a0ae-5dca1eaeb401</t>
  </si>
  <si>
    <t>7dd2bbf6-40a3-4048-865d-db1c78756710</t>
  </si>
  <si>
    <t>ab607cc1-5d93-4f31-aafd-eb738a56701c</t>
  </si>
  <si>
    <t>824d9959-9a75-4682-a551-fc59fac8ce46</t>
  </si>
  <si>
    <t>2f989029-0233-49ac-bf81-8c86348d6864</t>
  </si>
  <si>
    <t>683ad189-e895-4ccd-b610-07a6c3cd7bb3</t>
  </si>
  <si>
    <t>e135884d-5411-461a-9be9-5e1fed5503f6</t>
  </si>
  <si>
    <t>ceadf6ce-00f2-4034-91e2-b6b84870ffbf</t>
  </si>
  <si>
    <t>1023e9cb-f200-484a-88b5-8bf78c3dae13</t>
  </si>
  <si>
    <t>1afcb96b-66a2-4cc5-b15a-59dc2eb0ef25</t>
  </si>
  <si>
    <t>60b9fcf2-4f45-466a-8e6b-7d6a228ebc40</t>
  </si>
  <si>
    <t>91da7c4c-d945-4ed7-8df0-ab84433c2e33</t>
  </si>
  <si>
    <t>6660c61e-5e94-4973-a408-9f86828d0c35</t>
  </si>
  <si>
    <t>38424ff0-9a77-48b3-81a0-e1352ea15f82</t>
  </si>
  <si>
    <t>8f812c64-14ed-4642-a67b-3b1e77f27afd</t>
  </si>
  <si>
    <t>23938714-ea46-4702-bde6-a4c0bda71722</t>
  </si>
  <si>
    <t>d5211e49-3fc5-40e2-a703-257e787073d6</t>
  </si>
  <si>
    <t>8f0622a6-d4c0-4516-8cfd-707f55d5e13c</t>
  </si>
  <si>
    <t>2cad3c6f-3e26-44af-b3a6-308156b6814c</t>
  </si>
  <si>
    <t>239f27bd-d627-4847-a320-b92f6a153d1f</t>
  </si>
  <si>
    <t>fa6f3e2e-fb11-49d5-82b8-738fbea8585f</t>
  </si>
  <si>
    <t>e1143f4f-abf2-4e73-ae14-7a2853bd290d</t>
  </si>
  <si>
    <t>dc10636d-ca96-49ba-a796-6bdeb90a6f9d</t>
  </si>
  <si>
    <t>QA AFS 04/19/2024</t>
  </si>
  <si>
    <t>QA AFS 04/14/2024</t>
  </si>
  <si>
    <t>QA AFS 04/18/2024</t>
  </si>
  <si>
    <t>QA AFS 04/17/2024</t>
  </si>
  <si>
    <t>QA AFS 04/15/2024</t>
  </si>
  <si>
    <t>QA AFS 04/11/2024</t>
  </si>
  <si>
    <t>QA AFS 04/16/2024</t>
  </si>
  <si>
    <t>QA AFS 04/13/2024</t>
  </si>
  <si>
    <t>QA AFS 04/12/2024</t>
  </si>
  <si>
    <t>QA AFS 04/10/2024</t>
  </si>
  <si>
    <t>QA AFS 04/09/2024</t>
  </si>
  <si>
    <t>QA AFS 04/08/2024</t>
  </si>
  <si>
    <t>QA AFS 04/04/2024</t>
  </si>
  <si>
    <t>QA AFS 04/07/2024</t>
  </si>
  <si>
    <t>QA AFS 04/06/2024</t>
  </si>
  <si>
    <t>QA AFS 04/03/2024</t>
  </si>
  <si>
    <t>QA AFS 04/05/2024</t>
  </si>
  <si>
    <t>QA Ungrounding 04/19/2024</t>
  </si>
  <si>
    <t>QA Ungrounding 04/18/2024</t>
  </si>
  <si>
    <t>QA Ungrounding 04/17/2024</t>
  </si>
  <si>
    <t>QA Ungrounding 04/15/2024</t>
  </si>
  <si>
    <t>QA Ungrounding 04/14/2024</t>
  </si>
  <si>
    <t>QA Ungrounding 04/13/2024</t>
  </si>
  <si>
    <t>QA Ungrounding 04/12/2024</t>
  </si>
  <si>
    <t>QA Ungrounding 04/11/2024</t>
  </si>
  <si>
    <t>QA Ungrounding 04/10/2024</t>
  </si>
  <si>
    <t>QA Ungrounding 04/09/2024</t>
  </si>
  <si>
    <t>QA Ungrounding 04/08/2024</t>
  </si>
  <si>
    <t>QA Ungrounding 04/07/2024</t>
  </si>
  <si>
    <t>QA Ungrounding 04/06/2024</t>
  </si>
  <si>
    <t>QA Ungrounding 04/05/2024</t>
  </si>
  <si>
    <t>QA Ungrounding 04/04/2024</t>
  </si>
  <si>
    <t>QA Ungrounding 04/03/2024</t>
  </si>
  <si>
    <t>QA Preventative Maintenance 04/19/2024</t>
  </si>
  <si>
    <t>QA Preventative Maintenance 04/18/2024</t>
  </si>
  <si>
    <t>QA Preventative Maintenance 04/14/2024</t>
  </si>
  <si>
    <t>QA Preventative Maintenance 04/17/2024</t>
  </si>
  <si>
    <t>QA Preventative Maintenance 04/12/2024</t>
  </si>
  <si>
    <t>QA Preventative Maintenance 04/16/2024</t>
  </si>
  <si>
    <t>QA Preventative Maintenance 04/15/2024</t>
  </si>
  <si>
    <t>QA Preventative Maintenance 04/13/2024</t>
  </si>
  <si>
    <t>QA Preventative Maintenance 04/11/2024</t>
  </si>
  <si>
    <t>QA Preventative Maintenance 04/10/2024</t>
  </si>
  <si>
    <t>QA Preventative Maintenance 04/08/2024</t>
  </si>
  <si>
    <t>QA Preventative Maintenance 04/09/2024</t>
  </si>
  <si>
    <t>QA Preventative Maintenance 04/07/2024</t>
  </si>
  <si>
    <t>QA Preventative Maintenance 04/06/2024</t>
  </si>
  <si>
    <t>QA Preventative Maintenance 04/05/2024</t>
  </si>
  <si>
    <t>QA Preventative Maintenance 04/04/2024</t>
  </si>
  <si>
    <t>QA Preventative Maintenance 04/03/2024</t>
  </si>
  <si>
    <t>CF VFC 04/19/2024</t>
  </si>
  <si>
    <t>QA VFC 04/17/2024</t>
  </si>
  <si>
    <t>QA VFC 04/15/2024</t>
  </si>
  <si>
    <t>QA VFC 04/14/2024</t>
  </si>
  <si>
    <t>CF VFC 04/13/2024</t>
  </si>
  <si>
    <t>CF VFC 04/12/2024</t>
  </si>
  <si>
    <t>CF VFC 04/11/2024</t>
  </si>
  <si>
    <t>QA VFC 04/09/2024</t>
  </si>
  <si>
    <t>CF VFC 04/10/2024</t>
  </si>
  <si>
    <t>QA VFC 04/08/2024</t>
  </si>
  <si>
    <t>QA VFC 04/07/2024</t>
  </si>
  <si>
    <t>CF VFC 04/06/2024</t>
  </si>
  <si>
    <t>QA VFC 04/05/2024</t>
  </si>
  <si>
    <t>QA VFC 04/04/2024</t>
  </si>
  <si>
    <t>QA VFC 04/03/2024</t>
  </si>
  <si>
    <t>QA Reimbursement 04/19/2024</t>
  </si>
  <si>
    <t>QA Reimbursement 04/18/2024</t>
  </si>
  <si>
    <t>QA Reimbursement 04/17/2024</t>
  </si>
  <si>
    <t>QA Reimbursement 04/16/2024</t>
  </si>
  <si>
    <t>QA Reimbursement 04/11/2024</t>
  </si>
  <si>
    <t>QA Reimbursement 04/14/2024</t>
  </si>
  <si>
    <t>QA Reimbursement 04/13/2024</t>
  </si>
  <si>
    <t>QA Reimbursement 04/12/2024</t>
  </si>
  <si>
    <t>QA Reimbursement 04/10/2024</t>
  </si>
  <si>
    <t>QA Reimbursement 04/09/2024</t>
  </si>
  <si>
    <t>QA Reimbursement 04/04/2024</t>
  </si>
  <si>
    <t>QA Reimbursement 04/03/2024</t>
  </si>
  <si>
    <t>Note: Tab color must be Standard Color Green.</t>
  </si>
  <si>
    <t>data_status</t>
  </si>
  <si>
    <t>4915ef04-f78a-4e02-8113-3000ea5a9e5b</t>
  </si>
  <si>
    <t>c7a42e0e-fb9b-40a3-943f-3f5eca9bd907</t>
  </si>
  <si>
    <t>7929f05a-382c-4aa9-b057-7cd699cd4230</t>
  </si>
  <si>
    <t>8c90ffe4-798c-4f00-804d-454d3abd6572</t>
  </si>
  <si>
    <t>9c586433-fdcc-4b62-9f0e-4b4a86e499b4</t>
  </si>
  <si>
    <t>65d35197-ce0b-4887-a739-9fd174c417d7</t>
  </si>
  <si>
    <t>c466aeec-4388-4494-93b4-13fe4a524aef</t>
  </si>
  <si>
    <t>4da68c23-7522-4a79-83c3-c3c1327c1afb</t>
  </si>
  <si>
    <t>78ddfd51-c634-45fa-9a20-4cefb5707808</t>
  </si>
  <si>
    <t>4f31522c-e386-4990-aaa9-95fe424d41c6</t>
  </si>
  <si>
    <t>52b8a66c-595e-4710-ae83-f973f7f5eb67</t>
  </si>
  <si>
    <t>e80cedc4-8346-4027-a815-c0404374132f</t>
  </si>
  <si>
    <t>c605f29f-e84d-4871-adf4-a97ba0cacdd1</t>
  </si>
  <si>
    <t>b240d8cd-95cf-4e2f-b6a2-1ea15c230401</t>
  </si>
  <si>
    <t>0912726d-9fb2-411b-8302-776be3dec897</t>
  </si>
  <si>
    <t>7376728b-b3bc-47d3-8f21-5b8b2c2f67b6</t>
  </si>
  <si>
    <t>3db7416a-4796-48c3-8248-a4674ba415a9</t>
  </si>
  <si>
    <t>30736ab9-436c-45e4-bd30-217b07f7d56b</t>
  </si>
  <si>
    <t>14558562-a139-4a08-939f-246a685359c4</t>
  </si>
  <si>
    <t>04f39ed2-2632-4eb5-ab94-9870ad97d591</t>
  </si>
  <si>
    <t>614a2617-2737-48e1-8b89-d350a08398bf</t>
  </si>
  <si>
    <t>589276c1-6e74-4164-8ba1-279377afd52e</t>
  </si>
  <si>
    <t>afb56add-4555-4a3d-bae6-41e6c17e59ba</t>
  </si>
  <si>
    <t>5b17488d-8949-4a58-8f50-48c19887b92f</t>
  </si>
  <si>
    <t>eb202e8a-504a-4cb5-af4a-7ad857875a65</t>
  </si>
  <si>
    <t>72d57fef-e57b-40cb-b22e-9cb9f5c6dd55</t>
  </si>
  <si>
    <t>7f4c1261-b21b-4c58-b024-59432f2fddd9</t>
  </si>
  <si>
    <t>cdbcd35c-9acc-40e0-93e8-e8762972f3c7</t>
  </si>
  <si>
    <t>17e43e6b-d401-4390-ae75-863efbe211ca</t>
  </si>
  <si>
    <t>f77f3444-fa9f-4a83-a7a9-a00624a0d4c7</t>
  </si>
  <si>
    <t>30fd4475-6b53-4961-9f35-236dcb655c6b</t>
  </si>
  <si>
    <t>967ed7c3-c3f3-482b-b45b-e475bda025e3</t>
  </si>
  <si>
    <t>d7f10f1f-524a-47df-95fd-7e10f2878aae</t>
  </si>
  <si>
    <t>f0e25a82-b42d-4cc6-83da-1189726ad3e5</t>
  </si>
  <si>
    <t>7c626f1b-560f-4140-9570-804de75a6b0c</t>
  </si>
  <si>
    <t>b5980f94-14ac-4aa5-b622-a03e54337273</t>
  </si>
  <si>
    <t>e880bac8-bb60-4920-8c65-b98544613372</t>
  </si>
  <si>
    <t>0fd870e3-3c36-4339-a76b-cf4094fbd71a</t>
  </si>
  <si>
    <t>b25efbe6-3673-41a1-9b2c-2640ff2f8272</t>
  </si>
  <si>
    <t>8fa3c602-9dbc-4af3-bafd-d847a48453bf</t>
  </si>
  <si>
    <t>e17df759-2ab7-4387-a0af-717ed638df1f</t>
  </si>
  <si>
    <t>92816080-cd18-436a-99d3-191f2facfa92</t>
  </si>
  <si>
    <t>828b71b1-70cd-43d0-83da-faeb7715985e</t>
  </si>
  <si>
    <t>3f30cdcc-7adc-4074-8706-ace201f2203e</t>
  </si>
  <si>
    <t>b594dd4b-3387-41e0-a7db-e61931bed817</t>
  </si>
  <si>
    <t>35ad54d7-6ce5-481b-9bac-337fe7137a59</t>
  </si>
  <si>
    <t>d5f32849-1546-43c0-9676-fee22f1d8870</t>
  </si>
  <si>
    <t>fff5b26d-490c-4576-8517-e5479865da3f</t>
  </si>
  <si>
    <t>422ab401-0efc-4324-abd1-b621c4432698</t>
  </si>
  <si>
    <t>3827b03c-28c9-4c6c-b7e4-7c67a5f99b4c</t>
  </si>
  <si>
    <t>7ccdce38-d28b-4737-afdf-6cf6682a8d37</t>
  </si>
  <si>
    <t>08e16d76-4b9c-4fd3-b6b4-c7d512c6caff</t>
  </si>
  <si>
    <t>5fbe31db-8eb7-4597-b8a6-86faf998ff9e</t>
  </si>
  <si>
    <t>3890fc2d-3996-4d1e-90e5-21cc2e64290d</t>
  </si>
  <si>
    <t>68ca8713-28a6-499e-b5df-741b8598a72e</t>
  </si>
  <si>
    <t>1ec150c6-0f9a-4a2c-996e-1113f36e7e7d</t>
  </si>
  <si>
    <t>c05d04b9-e46d-41a1-9b3d-4b4532b3df0f</t>
  </si>
  <si>
    <t>ecf60a2f-3ec8-4f44-8cc1-5787388d0039</t>
  </si>
  <si>
    <t>8a2e5c9b-7775-45f4-9a50-7097dbd4e1d1</t>
  </si>
  <si>
    <t>ce21e6f8-72fa-4608-80c2-4991f95a6bfe</t>
  </si>
  <si>
    <t>7de53793-3ed3-4933-9895-328a25e8e91a</t>
  </si>
  <si>
    <t>a6a0e890-59cf-4acf-9ede-df6748d0e3a4</t>
  </si>
  <si>
    <t>80b7e2b9-97ce-4b24-94ff-a2c4d4c3377d</t>
  </si>
  <si>
    <t>b355cab4-6c5a-4df3-a86c-c0e9be5a8c60</t>
  </si>
  <si>
    <t>34ace81d-a3c7-498b-8927-9cca9d3cc25f</t>
  </si>
  <si>
    <t>458284e2-394d-4755-974f-6e4ff74bbe7b</t>
  </si>
  <si>
    <t>cdf51bc8-4156-4f24-a19f-71c0e7eae35d</t>
  </si>
  <si>
    <t>d5c04d2a-52d6-4218-be8d-c98c85fd2c5d</t>
  </si>
  <si>
    <t>23a80966-6d0b-424b-8ebc-53004c1803b7</t>
  </si>
  <si>
    <t>dcb0abc6-949b-4bce-a212-5eeef253e463</t>
  </si>
  <si>
    <t>5c5bcc6b-c41f-4992-a15c-50274d0147e1</t>
  </si>
  <si>
    <t>6c9e3d24-cb55-4edf-a5df-21fea0274640</t>
  </si>
  <si>
    <t>009558bc-b905-483a-ad5f-990a5cc83acb</t>
  </si>
  <si>
    <t>dcb90f17-2372-4c71-bab9-994971d92dc8</t>
  </si>
  <si>
    <t>87fb36dc-d39f-43b5-bd7b-957ed205c99c</t>
  </si>
  <si>
    <t>bd7bde6e-3679-48e2-bd1b-dbad27d06a55</t>
  </si>
  <si>
    <t>97119441-b7d6-4fd3-bcb0-df42e45d9b61</t>
  </si>
  <si>
    <t>a4b0a3db-37f3-41f4-a2c7-9de55c694185</t>
  </si>
  <si>
    <t>aa16da61-431f-445c-9c21-ef6dc68ffdbb</t>
  </si>
  <si>
    <t>e33f5c48-a152-44a4-a9e5-fabb7b13beed</t>
  </si>
  <si>
    <t>ae514094-a77b-4ea0-a06d-ea04b5808442</t>
  </si>
  <si>
    <t>b60f0dae-d63a-4dc8-87e8-622dc7fdafe2</t>
  </si>
  <si>
    <t>ac97db9a-ff26-4090-bb50-839af1ca55f8</t>
  </si>
  <si>
    <t>9910296b-e954-46ff-8527-34e658d40da4</t>
  </si>
  <si>
    <t>03425067-2b82-4c66-9323-23b12a5dbb77</t>
  </si>
  <si>
    <t>9a7acca7-38b0-4143-8974-ec0125224801</t>
  </si>
  <si>
    <t>a0ac861a-a562-4960-b017-f00328994ed9</t>
  </si>
  <si>
    <t>d8643ad0-c9b9-44eb-b126-19a7f6a28d78</t>
  </si>
  <si>
    <t>cfafa52b-3372-4c1d-814b-705607ef0f93</t>
  </si>
  <si>
    <t>5ef56152-e894-4ce1-9b55-addbaefa6724</t>
  </si>
  <si>
    <t>234d5d1a-ae28-4c86-9f5e-ee706deb94af</t>
  </si>
  <si>
    <t>2638873b-e8d8-4b60-acfc-f61bdbca7f92</t>
  </si>
  <si>
    <t>89fe40f8-68fb-4837-a78f-98b9ce6209b1</t>
  </si>
  <si>
    <t>7f029739-4114-41e1-9421-22a42948fe32</t>
  </si>
  <si>
    <t>ab30b5f4-494a-4a97-af22-ed4c613b7011</t>
  </si>
  <si>
    <t>85ccac20-66c1-4a01-bf15-4718c84bf237</t>
  </si>
  <si>
    <t>f031cab1-5209-4daa-89a1-ee1542f52f2a</t>
  </si>
  <si>
    <t>023fad5a-79b3-447e-9ffa-3f365efa573f</t>
  </si>
  <si>
    <t>791398e3-3b98-4d11-921b-f620c3ff6c2b</t>
  </si>
  <si>
    <t>10799a1d-6474-4f15-a786-ddb65a92c828</t>
  </si>
  <si>
    <t>74b3be03-b2c0-4c2b-9058-b0bf096d317e</t>
  </si>
  <si>
    <t>29ca9222-dae2-470b-8aa2-8792363599f6</t>
  </si>
  <si>
    <t>ffc74307-8e19-4ddb-a7a2-3f41c254187a</t>
  </si>
  <si>
    <t>b80964ca-37aa-492d-adad-c267fc96c350</t>
  </si>
  <si>
    <t>2a086484-4ea8-4757-9390-094908dde9a0</t>
  </si>
  <si>
    <t>c23d6cd6-b49c-4d27-8172-2c44fb3b6d29</t>
  </si>
  <si>
    <t>0f09a04e-2d93-4bf0-92ca-77cf75cbccef</t>
  </si>
  <si>
    <t>1cdfb5f6-7149-40d4-b158-2ceb39545ce9</t>
  </si>
  <si>
    <t>706da99b-12f8-4fdc-a9a3-03f3f5f6265b</t>
  </si>
  <si>
    <t>e76ce18b-7921-4f6c-b0cd-6e6bc94e757a</t>
  </si>
  <si>
    <t>a2a8674a-dfb5-4deb-ae5e-57491501c824</t>
  </si>
  <si>
    <t>484d4daf-1a1f-4435-ad6d-caeaaf433b05</t>
  </si>
  <si>
    <t>995a783d-414d-4cae-83f8-b070d8724715</t>
  </si>
  <si>
    <t>541e3c99-4762-46ae-90d3-a7453527631e</t>
  </si>
  <si>
    <t>50f9a5fb-acca-493b-8fd7-06d15ca458de</t>
  </si>
  <si>
    <t>ad8d2632-e82e-45eb-a19e-cd69d28dd4a6</t>
  </si>
  <si>
    <t>314f6f88-8cc3-4e2d-bd46-794969fb3aab</t>
  </si>
  <si>
    <t>dc31beb9-258d-49eb-8041-e9a6bfe4c6e9</t>
  </si>
  <si>
    <t>c30a7ade-3805-41bf-9cb9-91550af48233</t>
  </si>
  <si>
    <t>5615fec5-6054-4923-8fa0-571f59eb9327</t>
  </si>
  <si>
    <t>0665b488-5217-4f06-a313-60fbc62ffde2</t>
  </si>
  <si>
    <t>113bfe3e-ac8b-47e6-b678-6f08d8690cd4</t>
  </si>
  <si>
    <t>584e6b89-8bd0-4673-850a-990ae4dc9915</t>
  </si>
  <si>
    <t>b180bd45-f926-4757-9ee5-590db463100b</t>
  </si>
  <si>
    <t>ac881d8c-b418-4619-ad32-f195c3acb3d2</t>
  </si>
  <si>
    <t>0f48f902-c525-4394-8e74-3713992a55a6</t>
  </si>
  <si>
    <t>fba48170-9ef5-44a8-90b9-c45556f4e365</t>
  </si>
  <si>
    <t>bb81f87d-3ce3-4fc4-be3c-39bb37e7c5ce</t>
  </si>
  <si>
    <t>d419c683-815c-409f-8a10-6350e5e6ca78</t>
  </si>
  <si>
    <t>49ecba9b-eab6-415a-9d44-26d1fc3cd0c7</t>
  </si>
  <si>
    <t>QA AFS 08/01/2024</t>
  </si>
  <si>
    <t>QA AFS 07/31/2024</t>
  </si>
  <si>
    <t>QA AFS 07/30/2024</t>
  </si>
  <si>
    <t>QA AFS 07/29/2024</t>
  </si>
  <si>
    <t>QA AFS 07/21/2024</t>
  </si>
  <si>
    <t>QA AFS 07/20/2024</t>
  </si>
  <si>
    <t>QA AFS 07/24/2024</t>
  </si>
  <si>
    <t>QA AFS 07/28/2024</t>
  </si>
  <si>
    <t>QA AFS 07/27/2024</t>
  </si>
  <si>
    <t>QA AFS 07/25/2024</t>
  </si>
  <si>
    <t>QA AFS 07/26/2024</t>
  </si>
  <si>
    <t>QA AFS 07/23/2024</t>
  </si>
  <si>
    <t>QA AFS 07/22/2024</t>
  </si>
  <si>
    <t>QA AFS 07/19/2024</t>
  </si>
  <si>
    <t>QA AFS 07/18/2024</t>
  </si>
  <si>
    <t>QA AFS 07/12/2024</t>
  </si>
  <si>
    <t>AM Validated</t>
  </si>
  <si>
    <t>QA AFS 07/17/2024</t>
  </si>
  <si>
    <t>QA AFS 07/16/2024</t>
  </si>
  <si>
    <t>QA AFS 07/15/2024</t>
  </si>
  <si>
    <t>QA AFS 07/13/2024</t>
  </si>
  <si>
    <t>QA AFS 07/11/2024</t>
  </si>
  <si>
    <t>QA AFS 07/14/2024</t>
  </si>
  <si>
    <t>QA AFS 07/10/2024</t>
  </si>
  <si>
    <t>QA AFS 07/09/2024</t>
  </si>
  <si>
    <t>QA AFS 07/08/2024</t>
  </si>
  <si>
    <t>QA AFS 07/07/2024</t>
  </si>
  <si>
    <t>QA AFS 06/29/2024</t>
  </si>
  <si>
    <t>QA AFS 07/06/2024</t>
  </si>
  <si>
    <t>QA AFS 07/04/2024</t>
  </si>
  <si>
    <t>QA Ungrounding 08/01/2024</t>
  </si>
  <si>
    <t>QA Ungrounding 07/24/2024</t>
  </si>
  <si>
    <t>QA Ungrounding 07/31/2024</t>
  </si>
  <si>
    <t>QA Ungrounding 07/25/2024</t>
  </si>
  <si>
    <t>QA Ungrounding 07/30/2024</t>
  </si>
  <si>
    <t>QA Ungrounding 07/16/2024</t>
  </si>
  <si>
    <t>QA Ungrounding 07/29/2024</t>
  </si>
  <si>
    <t>QA Ungrounding 07/28/2024</t>
  </si>
  <si>
    <t>QA Ungrounding 07/23/2024</t>
  </si>
  <si>
    <t>QA Ungrounding 07/27/2024</t>
  </si>
  <si>
    <t>QA Ungrounding 07/26/2024</t>
  </si>
  <si>
    <t>QA Ungrounding 07/10/2024</t>
  </si>
  <si>
    <t>QA Ungrounding 07/17/2024</t>
  </si>
  <si>
    <t>QA Ungrounding 07/22/2024</t>
  </si>
  <si>
    <t>QA Ungrounding 07/21/2024</t>
  </si>
  <si>
    <t>QA Ungrounding 07/19/2024</t>
  </si>
  <si>
    <t>QA Ungrounding 07/20/2024</t>
  </si>
  <si>
    <t>QA Ungrounding 07/18/2024</t>
  </si>
  <si>
    <t>QA Ungrounding 07/14/2024</t>
  </si>
  <si>
    <t>QA Ungrounding 07/15/2024</t>
  </si>
  <si>
    <t>QA Ungrounding 07/09/2024</t>
  </si>
  <si>
    <t>QA Ungrounding 07/13/2024</t>
  </si>
  <si>
    <t>QA Ungrounding 07/12/2024</t>
  </si>
  <si>
    <t>QA Ungrounding 07/11/2024</t>
  </si>
  <si>
    <t>QA Ungrounding 07/08/2024</t>
  </si>
  <si>
    <t>QA Ungrounding 07/07/2024</t>
  </si>
  <si>
    <t>QA Ungrounding 07/06/2024</t>
  </si>
  <si>
    <t>QA Ungrounding 07/05/2024</t>
  </si>
  <si>
    <t>QA Preventative Maintenance 08/01/2024</t>
  </si>
  <si>
    <t>QA Preventative Maintenance 07/31/2024</t>
  </si>
  <si>
    <t>QA Preventative Maintenance 07/25/2024</t>
  </si>
  <si>
    <t>QA Preventative Maintenance 07/30/2024</t>
  </si>
  <si>
    <t>QA Preventative Maintenance 07/29/2024</t>
  </si>
  <si>
    <t>QA Preventative Maintenance 07/28/2024</t>
  </si>
  <si>
    <t>QA Preventative Maintenance 07/26/2024</t>
  </si>
  <si>
    <t>QA Preventative Maintenance 07/27/2024</t>
  </si>
  <si>
    <t>QA Preventative Maintenance 07/23/2024</t>
  </si>
  <si>
    <t>QA Preventative Maintenance 07/24/2024</t>
  </si>
  <si>
    <t>QA Preventative Maintenance 07/22/2024</t>
  </si>
  <si>
    <t>QA Preventative Maintenance 07/21/2024</t>
  </si>
  <si>
    <t>QA Preventative Maintenance 07/17/2024</t>
  </si>
  <si>
    <t>QA Preventative Maintenance 07/20/2024</t>
  </si>
  <si>
    <t>QA Preventative Maintenance 07/19/2024</t>
  </si>
  <si>
    <t>QA Preventative Maintenance 07/18/2024</t>
  </si>
  <si>
    <t>QA Preventative Maintenance 07/16/2024</t>
  </si>
  <si>
    <t>QA Preventative Maintenance 07/14/2024</t>
  </si>
  <si>
    <t>QA Preventative Maintenance 07/15/2024</t>
  </si>
  <si>
    <t>QA Preventative Maintenance 07/09/2024</t>
  </si>
  <si>
    <t>QA Preventative Maintenance 07/13/2024</t>
  </si>
  <si>
    <t>QA Preventative Maintenance 07/12/2024</t>
  </si>
  <si>
    <t>QA Preventative Maintenance 07/11/2024</t>
  </si>
  <si>
    <t>QA Preventative Maintenance 07/10/2024</t>
  </si>
  <si>
    <t>QA Preventative Maintenance 07/08/2024</t>
  </si>
  <si>
    <t>QA Preventative Maintenance 07/06/2024</t>
  </si>
  <si>
    <t>QA Preventative Maintenance 07/07/2024</t>
  </si>
  <si>
    <t>QA Preventative Maintenance 07/05/2024</t>
  </si>
  <si>
    <t>CF VFC 08/01/2024</t>
  </si>
  <si>
    <t>CF VFC 07/29/2024</t>
  </si>
  <si>
    <t>CF VFC 07/28/2024</t>
  </si>
  <si>
    <t>CF VFC 07/26/2024</t>
  </si>
  <si>
    <t>CF VFC 07/27/2024</t>
  </si>
  <si>
    <t>CF VFC 07/23/2024</t>
  </si>
  <si>
    <t>CF VFC 07/22/2024</t>
  </si>
  <si>
    <t>CF VFC 07/25/2024</t>
  </si>
  <si>
    <t>CF VFC 07/24/2024</t>
  </si>
  <si>
    <t>CF VFC 07/19/2024</t>
  </si>
  <si>
    <t>CF VFC 07/18/2024</t>
  </si>
  <si>
    <t>CF VFC 07/17/2024</t>
  </si>
  <si>
    <t>CF VFC 07/16/2024</t>
  </si>
  <si>
    <t>CF VFC 07/15/2024</t>
  </si>
  <si>
    <t>CF VFC 07/12/2024</t>
  </si>
  <si>
    <t>CF VFC 07/11/2024</t>
  </si>
  <si>
    <t>CF VFC 07/08/2024</t>
  </si>
  <si>
    <t>CF VFC 07/10/2024</t>
  </si>
  <si>
    <t>CF VFC 07/09/2024</t>
  </si>
  <si>
    <t>CF VFC 07/07/2024</t>
  </si>
  <si>
    <t>CF VFC 07/06/2024</t>
  </si>
  <si>
    <t>CF VFC 07/05/2024</t>
  </si>
  <si>
    <t>QA Reimbursement 08/01/2024</t>
  </si>
  <si>
    <t>QA Reimbursement 07/31/2024</t>
  </si>
  <si>
    <t>QA Reimbursement 07/29/2024</t>
  </si>
  <si>
    <t>QA Reimbursement 07/30/2024</t>
  </si>
  <si>
    <t>QA Reimbursement 07/28/2024</t>
  </si>
  <si>
    <t>QA Reimbursement 07/24/2024</t>
  </si>
  <si>
    <t>QA Reimbursement 07/27/2024</t>
  </si>
  <si>
    <t>QA Reimbursement 07/26/2024</t>
  </si>
  <si>
    <t>QA Reimbursement 07/23/2024</t>
  </si>
  <si>
    <t>QA Reimbursement 07/25/2024</t>
  </si>
  <si>
    <t>QA Reimbursement 07/21/2024</t>
  </si>
  <si>
    <t>QA Reimbursement 07/19/2024</t>
  </si>
  <si>
    <t>QA Reimbursement 07/18/2024</t>
  </si>
  <si>
    <t>QA Reimbursement 07/12/2024</t>
  </si>
  <si>
    <t>QA Reimbursement 07/16/2024</t>
  </si>
  <si>
    <t>QA Reimbursement 07/17/2024</t>
  </si>
  <si>
    <t>QA Reimbursement 07/08/2024</t>
  </si>
  <si>
    <t>QA Reimbursement 07/14/2024</t>
  </si>
  <si>
    <t>QA Reimbursement 07/13/2024</t>
  </si>
  <si>
    <t>QA Reimbursement 07/11/2024</t>
  </si>
  <si>
    <t>QA Reimbursement 07/10/2024</t>
  </si>
  <si>
    <t>QA Reimbursement 07/09/2024</t>
  </si>
  <si>
    <t>4d0a2fec-716a-4c43-9ddd-bb54b484dd03</t>
  </si>
  <si>
    <t>74d58b01-8f8d-41d9-920e-5bef172499eb</t>
  </si>
  <si>
    <t>70dd459f-52af-4c2e-97be-5cb677077d6f</t>
  </si>
  <si>
    <t>329aff3b-c430-4b28-9434-037678b26f26</t>
  </si>
  <si>
    <t>b85782f0-7e12-4824-8a5b-fca8f5add023</t>
  </si>
  <si>
    <t>AFS - Central Flow Audit Dashboard  [ 2024 ]</t>
  </si>
  <si>
    <t>QA Ungrounding 08/02/2024</t>
  </si>
  <si>
    <t>QA Preventative Maintenance 08/02/2024</t>
  </si>
  <si>
    <t>CF VFC 08/02/2024</t>
  </si>
  <si>
    <t>QA Reimbursement 08/02/2024</t>
  </si>
  <si>
    <t>FIF</t>
  </si>
  <si>
    <t>87de8727-daca-4d98-b363-20d0aa87e038</t>
  </si>
  <si>
    <t>ee9d4136-19f7-4dfc-8caf-12eeba93424f</t>
  </si>
  <si>
    <t>510d768b-118b-4d68-9a15-dab28358e4d4</t>
  </si>
  <si>
    <t>e2428dbc-aaa7-4648-8f45-ccd573211045</t>
  </si>
  <si>
    <t>eab720b4-45a2-49c4-a0c4-e97fb1c07817</t>
  </si>
  <si>
    <t>defea7fa-0db5-4efa-b5f5-ddcee8a60bbc</t>
  </si>
  <si>
    <t>2d8cb43e-4b55-4067-b443-6e214c88b1a0</t>
  </si>
  <si>
    <t>FIF Audits WK30</t>
  </si>
  <si>
    <t>FIF Claim Unavailable in Fleet</t>
  </si>
  <si>
    <t>FIF QA Miss</t>
  </si>
  <si>
    <t>FIF Audits WK29</t>
  </si>
  <si>
    <t>FIF Aduits WK28</t>
  </si>
  <si>
    <t>FIF Aduits WK27</t>
  </si>
  <si>
    <t>FIF Weekly Misses</t>
  </si>
  <si>
    <t>62cc57df-387c-4573-9d76-3b5314d9bed5</t>
  </si>
  <si>
    <t>f529d2da-949c-453b-b175-f20d1e5944c1</t>
  </si>
  <si>
    <t>https://issues.amazon.com/issues/V1472542603</t>
  </si>
  <si>
    <t>[ RSR ] Severe Weather [HEAT INDEX Minute Reductions Tier 1 Email Weather Alert][8/2/2024]</t>
  </si>
  <si>
    <t>CRC - Severe Weather - QA Audit Dashboard [ 2024 ],</t>
  </si>
  <si>
    <t>https://issues.amazon.com/issues/V1472542593</t>
  </si>
  <si>
    <t>[ RSR ] Severe Weather [RAINFALL Minute Reductions Tier 2 Email Weather Alert][8/2/2024]</t>
  </si>
  <si>
    <t>https://issues.amazon.com/issues/V1472542584</t>
  </si>
  <si>
    <t>[ RSR ] Severe Weather [HEAT INDEX Minute Reductions Tier 3 Email Weather Alert][8/2/2024]</t>
  </si>
  <si>
    <t>https://issues.amazon.com/issues/V1472542578</t>
  </si>
  <si>
    <t>[ RSR ] Severe Weather [HEAT INDEX Minute Reductions Tier 2 Email Weather Alert][8/2/2024]</t>
  </si>
  <si>
    <t>https://issues.amazon.com/issues/V1472542568</t>
  </si>
  <si>
    <t>[ RSR ] Severe Weather [HEAT INDEX Minute Reductions Tier 4 Email Weather Alert][8/2/2024]</t>
  </si>
  <si>
    <t>https://issues.amazon.com/issues/V1472542539</t>
  </si>
  <si>
    <t>[ AMXL ]Severe Weather [Heat Index Minute Reductions Tier 4 Email Weather Alert][8/2/2024]</t>
  </si>
  <si>
    <t>https://issues.amazon.com/issues/V1472542529</t>
  </si>
  <si>
    <t>[ AMXL ]Severe Weather [Rainfall Minute Reductions Tier 3 Email Weather Alert][8/2/2024]</t>
  </si>
  <si>
    <t>https://issues.amazon.com/issues/V1472542531</t>
  </si>
  <si>
    <t>[ AMXL ]Severe Weather [Heat Index + State Minute Reductions Tier 4 Email Weather Alert][8/2/2024]</t>
  </si>
  <si>
    <t>CRC - Severe Weather - QA Audit Dashboard [ 2024 ],CRC QA Miss,</t>
  </si>
  <si>
    <t>Email: AA didn't send the correct number of emails based on triggers and tiers,</t>
  </si>
  <si>
    <t>https://issues.amazon.com/issues/V1472542507</t>
  </si>
  <si>
    <t>[ AMXL ]Severe Weather [Heat Index Minute Reductions Tier 3 Email Weather Alert][8/2/2024]</t>
  </si>
  <si>
    <t>https://issues.amazon.com/issues/V1472542515</t>
  </si>
  <si>
    <t>[ AMXL ]Severe Weather [Rainfall Minute Reductions Tier 1 Email Weather Alert][8/2/2024]</t>
  </si>
  <si>
    <t>https://issues.amazon.com/issues/V1472542499</t>
  </si>
  <si>
    <t>[ AMXL ]Severe Weather [Heat Index Minute Reductions Tier 2 Email Weather Alert][8/2/2024]</t>
  </si>
  <si>
    <t>https://issues.amazon.com/issues/V1472542490</t>
  </si>
  <si>
    <t>[ AMZL ]Severe Weather [Rainfall Minute Reductions Tier 3 Email Weather Alert][8/2/2024]</t>
  </si>
  <si>
    <t>https://issues.amazon.com/issues/V1472542459</t>
  </si>
  <si>
    <t>[ AMZL ]Severe Weather [Heat Index Minute Reductions Tier 3 Email Weather Alert][8/2/2024]</t>
  </si>
  <si>
    <t>https://issues.amazon.com/issues/V1472542451</t>
  </si>
  <si>
    <t>[ AMZL ]Severe Weather [Rainfall Minute Reductions Tier 1 Email Weather Alert][8/2/2024]</t>
  </si>
  <si>
    <t>https://issues.amazon.com/issues/V1472542441</t>
  </si>
  <si>
    <t>[ AMZL ]Severe Weather [Heat Index Minute Reductions Tier 2 Email Weather Alert][8/2/2024]</t>
  </si>
  <si>
    <t>https://issues.amazon.com/issues/V1472542438</t>
  </si>
  <si>
    <t>[ AMZL ]Severe Weather [Heat Index Minute Reductions Tier 1 Email Weather Alert][8/2/2024]</t>
  </si>
  <si>
    <t>https://issues.amazon.com/issues/V1471301131</t>
  </si>
  <si>
    <t>[ RSR ] Severe Weather [HEAT INDEX Minute Reductions Tier 1 Email Weather Alert][8/1/2024]</t>
  </si>
  <si>
    <t>CRC Severe Weather Audits 08/01/2024,CRC QA Miss,</t>
  </si>
  <si>
    <t>https://issues.amazon.com/issues/V1471301166</t>
  </si>
  <si>
    <t>[ RSR ] Severe Weather [RAINFALL Minute Reductions Tier 3 Email Weather Alert][8/1/2024]</t>
  </si>
  <si>
    <t>https://issues.amazon.com/issues/V1471301159</t>
  </si>
  <si>
    <t>[ RSR ] Severe Weather [RAINFALL Minute Reductions Tier 2 Email Weather Alert][8/1/2024]</t>
  </si>
  <si>
    <t>https://issues.amazon.com/issues/V1471301147</t>
  </si>
  <si>
    <t>[ RSR ] Severe Weather [HEAT INDEX Minute Reductions Tier 3 Email Weather Alert][8/1/2024]</t>
  </si>
  <si>
    <t>https://issues.amazon.com/issues/V1471301140</t>
  </si>
  <si>
    <t>[ RSR ] Severe Weather [HEAT INDEX Minute Reductions Tier 2 Email Weather Alert][8/1/2024]</t>
  </si>
  <si>
    <t>https://issues.amazon.com/issues/V1471301124</t>
  </si>
  <si>
    <t>[ RSR ] Severe Weather [HEAT INDEX Minute Reductions Tier 4 Email Weather Alert][8/1/2024]</t>
  </si>
  <si>
    <t>https://issues.amazon.com/issues/V1471301107</t>
  </si>
  <si>
    <t>[ AMXL ]Severe Weather [Heat Index Minute Reductions Tier 3 Email Weather Alert][8/1/2024]</t>
  </si>
  <si>
    <t>CRC Severe Weather Audits 08/01/2024,</t>
  </si>
  <si>
    <t>https://issues.amazon.com/issues/V1471301103</t>
  </si>
  <si>
    <t>[ AMXL ]Severe Weather [Heat Index + State Minute Reductions Tier 4 Email Weather Alert][8/1/2024]</t>
  </si>
  <si>
    <t>https://issues.amazon.com/issues/V1471301073</t>
  </si>
  <si>
    <t>[ AMXL ]Severe Weather [Rainfall Minute Reductions Tier 1 Email Weather Alert][8/1/2024]</t>
  </si>
  <si>
    <t>https://issues.amazon.com/issues/V1471301072</t>
  </si>
  <si>
    <t>[ AMXL ]Severe Weather [Heat Index Minute Reductions Tier 2 Email Weather Alert][8/1/2024]</t>
  </si>
  <si>
    <t>https://issues.amazon.com/issues/V1471301067</t>
  </si>
  <si>
    <t>[ AMZL ]Severe Weather [Heat Index + State Minute Reductions Tier 4 Email Weather Alert][8/1/2024]</t>
  </si>
  <si>
    <t>https://issues.amazon.com/issues/V1471301051</t>
  </si>
  <si>
    <t>[ AMZL ]Severe Weather [Rainfall Minute Reductions Tier 3 Email Weather Alert][8/1/2024]</t>
  </si>
  <si>
    <t>https://issues.amazon.com/issues/V1471301039</t>
  </si>
  <si>
    <t>[ AMZL ]Severe Weather [Heat Index Minute Reductions Tier 4 Email Weather Alert][8/1/2024]</t>
  </si>
  <si>
    <t>https://issues.amazon.com/issues/V1471301022</t>
  </si>
  <si>
    <t>[ AMZL ]Severe Weather [Rainfall Minute Reductions Tier 1 Email Weather Alert][8/1/2024]</t>
  </si>
  <si>
    <t>https://issues.amazon.com/issues/V1471301015</t>
  </si>
  <si>
    <t>[ AMZL ]Severe Weather [Heat Index Minute Reductions Tier 2 Email Weather Alert][8/1/2024]</t>
  </si>
  <si>
    <t>https://issues.amazon.com/issues/V1471301011</t>
  </si>
  <si>
    <t>[ AMZL ]Severe Weather [Heat Index Minute Reductions Tier 3 Email Weather Alert][8/1/2024]</t>
  </si>
  <si>
    <t>https://issues.amazon.com/issues/V1471301000</t>
  </si>
  <si>
    <t>[ AMZL ]Severe Weather [Heat Index Minute Reductions Tier 1 Email Weather Alert][8/1/2024]</t>
  </si>
  <si>
    <t>https://issues.amazon.com/issues/V1470131780</t>
  </si>
  <si>
    <t>[ AMXL ]Severe Weather [Heat Index Minute Reductions Tier 3 Email Weather Alert][7/31/2024]</t>
  </si>
  <si>
    <t>CRC Severe Weather Audits 07/31/2024,</t>
  </si>
  <si>
    <t>https://issues.amazon.com/issues/V1470131969</t>
  </si>
  <si>
    <t>[ RSR ] Severe Weather [RAINFALL Minute Reductions Tier 3 Email Weather Alert][7/31/2024]</t>
  </si>
  <si>
    <t>https://issues.amazon.com/issues/V1470131961</t>
  </si>
  <si>
    <t>[ RSR ] Severe Weather [HEAT INDEX Minute Reductions Tier 4 Email Weather Alert][7/31/2024]</t>
  </si>
  <si>
    <t>https://issues.amazon.com/issues/V1470131952</t>
  </si>
  <si>
    <t>[ RSR ] Severe Weather [HEAT INDEX Minute Reductions Tier 1 Email Weather Alert][7/31/2024]</t>
  </si>
  <si>
    <t>https://issues.amazon.com/issues/V1470131949</t>
  </si>
  <si>
    <t>[ RSR ] Severe Weather [HEAT INDEX Minute Reductions Tier 2 Email Weather Alert][7/31/2024]</t>
  </si>
  <si>
    <t>https://issues.amazon.com/issues/V1470131933</t>
  </si>
  <si>
    <t>[ RSR ] Severe Weather [HEAT INDEX Minute Reductions Tier 3 Email Weather Alert][7/31/2024]</t>
  </si>
  <si>
    <t>https://issues.amazon.com/issues/V1470131788</t>
  </si>
  <si>
    <t>[ AMXL ]Severe Weather [Heat Index Minute Reductions Tier 4 Email Weather Alert][7/31/2024]</t>
  </si>
  <si>
    <t>https://issues.amazon.com/issues/V1470131762</t>
  </si>
  <si>
    <t>https://issues.amazon.com/issues/V1470131756</t>
  </si>
  <si>
    <t>[ AMXL ]Severe Weather [Heat Index Minute Reductions Tier 2 Email Weather Alert][7/31/2024]</t>
  </si>
  <si>
    <t>https://issues.amazon.com/issues/V1470131742</t>
  </si>
  <si>
    <t>https://issues.amazon.com/issues/V1470131735</t>
  </si>
  <si>
    <t>[ AMXL ]Severe Weather [Heat Index Minute Reductions Tier 1 Email Weather Alert][7/31/2024]</t>
  </si>
  <si>
    <t>https://issues.amazon.com/issues/V1470131729</t>
  </si>
  <si>
    <t>[ AMXL ]Severe Weather [Rainfall Minute Reductions Tier 3 Email Weather Alert][7/31/2024]</t>
  </si>
  <si>
    <t>https://issues.amazon.com/issues/V1470131720</t>
  </si>
  <si>
    <t>[ AMXL ]Severe Weather [Rainfall Minute Reductions Tier 1 Email Weather Alert][7/31/2024]</t>
  </si>
  <si>
    <t>https://issues.amazon.com/issues/V1470131546</t>
  </si>
  <si>
    <t>[ AMZL ]Severe Weather [Heat Index Minute Reductions Tier 4 Email Weather Alert][7/31/2024]</t>
  </si>
  <si>
    <t>https://issues.amazon.com/issues/V1470131527</t>
  </si>
  <si>
    <t>[ AMZL ]Severe Weather [Rainfall Minute Reductions Tier 1 Email Weather Alert][7/31/2024]</t>
  </si>
  <si>
    <t>https://issues.amazon.com/issues/V1470131540</t>
  </si>
  <si>
    <t>[ AMZL ]Severe Weather [Heat Index Minute Reductions Tier 3 Email Weather Alert][7/31/2024]</t>
  </si>
  <si>
    <t>https://issues.amazon.com/issues/V1470131519</t>
  </si>
  <si>
    <t>[ AMZL ]Severe Weather [Heat Index Minute Reductions Tier 2 Email Weather Alert][7/31/2024]</t>
  </si>
  <si>
    <t>https://issues.amazon.com/issues/V1470131510</t>
  </si>
  <si>
    <t>[ AMZL ]Severe Weather [Heat Index Minute Reductions Tier 1 Email Weather Alert][7/31/2024]</t>
  </si>
  <si>
    <t>https://issues.amazon.com/issues/V1470131495</t>
  </si>
  <si>
    <t>[ AMZL ]Severe Weather [Rainfall Minute Reductions Tier 3 Email Weather Alert][7/31/2024]</t>
  </si>
  <si>
    <t>https://issues.amazon.com/issues/V1468792910</t>
  </si>
  <si>
    <t>[ RSR ] Severe Weather [RAINFALL Minute Reductions Tier 1 Email Weather Alert][7/30/2024]</t>
  </si>
  <si>
    <t>CRC Severe Weather Audits 07/30/2024,</t>
  </si>
  <si>
    <t>https://issues.amazon.com/issues/V1468792903</t>
  </si>
  <si>
    <t>[ RSR ] Severe Weather [HEAT INDEX Minute Reductions Tier 4 Email Weather Alert][7/30/2024]</t>
  </si>
  <si>
    <t>https://issues.amazon.com/issues/V1468792891</t>
  </si>
  <si>
    <t>[ RSR ] Severe Weather [HEAT INDEX Minute Reductions Tier 2 Email Weather Alert][7/30/2024]</t>
  </si>
  <si>
    <t>https://issues.amazon.com/issues/V1468792883</t>
  </si>
  <si>
    <t>[ RSR ] Severe Weather [RAINFALL Minute Reductions Tier 2 Email Weather Alert][7/30/2024]</t>
  </si>
  <si>
    <t>https://issues.amazon.com/issues/V1468792874</t>
  </si>
  <si>
    <t>[ RSR ] Severe Weather [HEAT INDEX Minute Reductions Tier 1 Email Weather Alert][7/30/2024]</t>
  </si>
  <si>
    <t>https://issues.amazon.com/issues/V1468792864</t>
  </si>
  <si>
    <t>[ RSR ] Severe Weather [HEAT INDEX Minute Reductions Tier 3 Email Weather Alert][7/30/2024]</t>
  </si>
  <si>
    <t>https://issues.amazon.com/issues/V1468792677</t>
  </si>
  <si>
    <t>[ AMXL ]Severe Weather [Rainfall Minute Reductions Tier 1 Email Weather Alert][7/30/2024]</t>
  </si>
  <si>
    <t>https://issues.amazon.com/issues/V1468792667</t>
  </si>
  <si>
    <t>[ AMXL ]Severe Weather [Heat Index Minute Reductions Tier 4 Email Weather Alert][7/30/2024]</t>
  </si>
  <si>
    <t>https://issues.amazon.com/issues/V1468792658</t>
  </si>
  <si>
    <t>[ AMXL ]Severe Weather [Heat Index Minute Reductions Tier 3 Email Weather Alert][7/30/2024]</t>
  </si>
  <si>
    <t>https://issues.amazon.com/issues/V1468792647</t>
  </si>
  <si>
    <t>[ AMXL ]Severe Weather [Heat Index Minute Reductions Tier 2 Email Weather Alert][7/30/2024]</t>
  </si>
  <si>
    <t>https://issues.amazon.com/issues/V1468792446</t>
  </si>
  <si>
    <t>[ AMZL ]Severe Weather [Heat Index Minute Reductions Tier 4 Email Weather Alert][7/30/2024]</t>
  </si>
  <si>
    <t>https://issues.amazon.com/issues/V1468792428</t>
  </si>
  <si>
    <t>[ AMZL ]Severe Weather [Heat Index Minute Reductions Tier 2 Email Weather Alert][7/30/2024]</t>
  </si>
  <si>
    <t>https://issues.amazon.com/issues/V1468792434</t>
  </si>
  <si>
    <t>[ AMZL ]Severe Weather [Heat Index Minute Reductions Tier 3 Email Weather Alert][7/30/2024]</t>
  </si>
  <si>
    <t>https://issues.amazon.com/issues/V1468792412</t>
  </si>
  <si>
    <t>[ AMZL ]Severe Weather [Rainfall Minute Reductions Tier 1 Email Weather Alert][7/30/2024]</t>
  </si>
  <si>
    <t>https://issues.amazon.com/issues/V1468792397</t>
  </si>
  <si>
    <t>[ AMZL ]Severe Weather [Heat Index Minute Reductions Tier 1 Email Weather Alert][7/30/2024]</t>
  </si>
  <si>
    <t>https://issues.amazon.com/issues/V1467673357</t>
  </si>
  <si>
    <t>[ AMXL ]Severe Weather [Heat Index Minute Reductions Tier 3 Email Weather Alert][7/29/2024]</t>
  </si>
  <si>
    <t>CRC Severe Weather Audits 07/29/2024,</t>
  </si>
  <si>
    <t>https://issues.amazon.com/issues/V1467673364</t>
  </si>
  <si>
    <t>[ AMXL ]Severe Weather [Rainfall Minute Reductions Tier 3 Email Weather Alert][7/29/2024]</t>
  </si>
  <si>
    <t>https://issues.amazon.com/issues/V1467673349</t>
  </si>
  <si>
    <t>[ AMXL ]Severe Weather [Rainfall Minute Reductions Tier 1 Email Weather Alert][7/29/2024]</t>
  </si>
  <si>
    <t>https://issues.amazon.com/issues/V1467673341</t>
  </si>
  <si>
    <t>[ AMXL ]Severe Weather [Heat Index Minute Reductions Tier 2 Email Weather Alert][7/29/2024]</t>
  </si>
  <si>
    <t>https://issues.amazon.com/issues/V1467673144</t>
  </si>
  <si>
    <t>[ AMZL ]Severe Weather [Heat Index Minute Reductions Tier 3 Email Weather Alert][7/29/2024]</t>
  </si>
  <si>
    <t>https://issues.amazon.com/issues/V1467673132</t>
  </si>
  <si>
    <t>[ AMZL ]Severe Weather [Rainfall Minute Reductions Tier 3 Email Weather Alert][7/29/2024]</t>
  </si>
  <si>
    <t>https://issues.amazon.com/issues/V1467673110</t>
  </si>
  <si>
    <t>[ AMZL ]Severe Weather [Heat Index Minute Reductions Tier 1 Email Weather Alert][7/29/2024]</t>
  </si>
  <si>
    <t>https://issues.amazon.com/issues/V1467673124</t>
  </si>
  <si>
    <t>[ AMZL ]Severe Weather [Rainfall Minute Reductions Tier 1 Email Weather Alert][7/29/2024]</t>
  </si>
  <si>
    <t>https://issues.amazon.com/issues/V1467673116</t>
  </si>
  <si>
    <t>[ AMZL ]Severe Weather [Heat Index Minute Reductions Tier 2 Email Weather Alert][7/29/2024]</t>
  </si>
  <si>
    <t>https://issues.amazon.com/issues/V1463806443</t>
  </si>
  <si>
    <t>[ RSR ] Severe Weather [HEAT INDEX Minute Reductions Tier 2 Email Weather Alert][7/25/2024]</t>
  </si>
  <si>
    <t>CRC Severe Weather Audits 07/25/2024,CRC QA Miss,Validated,</t>
  </si>
  <si>
    <t>https://issues.amazon.com/issues/V1463806451</t>
  </si>
  <si>
    <t>[ RSR ] Severe Weather [HEAT INDEX Minute Reductions Tier 1 Email Weather Alert][7/25/2024]</t>
  </si>
  <si>
    <t>https://issues.amazon.com/issues/V1463806464</t>
  </si>
  <si>
    <t>[ RSR ] Severe Weather [RAINFALL Minute Reductions Tier 2 Email Weather Alert][7/25/2024]</t>
  </si>
  <si>
    <t>https://issues.amazon.com/issues/V1466700317</t>
  </si>
  <si>
    <t>[ RSR ] Severe Weather [HEAT INDEX Minute Reductions Tier 3 Email Weather Alert][7/28/2024]</t>
  </si>
  <si>
    <t>CRC Severe Weather Audits 07/28/2024,</t>
  </si>
  <si>
    <t>https://issues.amazon.com/issues/V1466700309</t>
  </si>
  <si>
    <t>[ RSR ] Severe Weather [RAINFALL Minute Reductions Tier 2 Email Weather Alert][7/28/2024]</t>
  </si>
  <si>
    <t>https://issues.amazon.com/issues/V1466700296</t>
  </si>
  <si>
    <t>[ RSR ] Severe Weather [HEAT INDEX Minute Reductions Tier 1 Email Weather Alert][7/28/2024]</t>
  </si>
  <si>
    <t>https://issues.amazon.com/issues/V1466700291</t>
  </si>
  <si>
    <t>[ RSR ] Severe Weather [HEAT INDEX Minute Reductions Tier 2 Email Weather Alert][7/28/2024]</t>
  </si>
  <si>
    <t>https://issues.amazon.com/issues/V1466700188</t>
  </si>
  <si>
    <t>[ AMXL ]Severe Weather [Heat Index Minute Reductions Tier 3 Email Weather Alert][7/28/2024]</t>
  </si>
  <si>
    <t>https://issues.amazon.com/issues/V1466700180</t>
  </si>
  <si>
    <t>[ AMXL ]Severe Weather [Rainfall Minute Reductions Tier 3 Email Weather Alert][7/28/2024]</t>
  </si>
  <si>
    <t>https://issues.amazon.com/issues/V1466700176</t>
  </si>
  <si>
    <t>[ AMXL ]Severe Weather [Rainfall Minute Reductions Tier 1 Email Weather Alert][7/28/2024]</t>
  </si>
  <si>
    <t>https://issues.amazon.com/issues/V1466700172</t>
  </si>
  <si>
    <t>[ AMXL ]Severe Weather [Heat Index Minute Reductions Tier 2 Email Weather Alert][7/28/2024]</t>
  </si>
  <si>
    <t>https://issues.amazon.com/issues/V1466700051</t>
  </si>
  <si>
    <t>[ AMZL ]Severe Weather [Heat Index Minute Reductions Tier 3 Email Weather Alert][7/28/2024]</t>
  </si>
  <si>
    <t>https://issues.amazon.com/issues/V1466700045</t>
  </si>
  <si>
    <t>[ AMZL ]Severe Weather [Rainfall Minute Reductions Tier 3 Email Weather Alert][7/28/2024]</t>
  </si>
  <si>
    <t>https://issues.amazon.com/issues/V1466700033</t>
  </si>
  <si>
    <t>[ AMZL ]Severe Weather [Heat Index Minute Reductions Tier 2 Email Weather Alert][7/28/2024]</t>
  </si>
  <si>
    <t>https://issues.amazon.com/issues/V1466700040</t>
  </si>
  <si>
    <t>[ AMZL ]Severe Weather [Rainfall Minute Reductions Tier 1 Email Weather Alert][7/28/2024]</t>
  </si>
  <si>
    <t>https://issues.amazon.com/issues/V1466700027</t>
  </si>
  <si>
    <t>[ AMZL ]Severe Weather [Heat Index Minute Reductions Tier 1 Email Weather Alert][7/28/2024]</t>
  </si>
  <si>
    <t>https://issues.amazon.com/issues/V1465985435</t>
  </si>
  <si>
    <t>[ RSR ] Severe Weather [RAINFALL Minute Reductions Tier 2 Email Weather Alert][7/27/2024]</t>
  </si>
  <si>
    <t>CRC Severe Weather Audits 07/27/2024,</t>
  </si>
  <si>
    <t>https://issues.amazon.com/issues/V1465985422</t>
  </si>
  <si>
    <t>[ RSR ] Severe Weather [HEAT INDEX Minute Reductions Tier 1 Email Weather Alert][7/27/2024]</t>
  </si>
  <si>
    <t>https://issues.amazon.com/issues/V1465985414</t>
  </si>
  <si>
    <t>[ RSR ] Severe Weather [HEAT INDEX Minute Reductions Tier 2 Email Weather Alert][7/27/2024]</t>
  </si>
  <si>
    <t>https://issues.amazon.com/issues/V1465985335</t>
  </si>
  <si>
    <t>[ AMXL ]Severe Weather [Heat Index Minute Reductions Tier 2 Email Weather Alert][7/27/2024]</t>
  </si>
  <si>
    <t>https://issues.amazon.com/issues/V1465985332</t>
  </si>
  <si>
    <t>[ AMXL ]Severe Weather [Heat Index Minute Reductions Tier 3 Email Weather Alert][7/27/2024]</t>
  </si>
  <si>
    <t>https://issues.amazon.com/issues/V1465985326</t>
  </si>
  <si>
    <t>[ AMXL ]Severe Weather [Rainfall Minute Reductions Tier 1 Email Weather Alert][7/27/2024]</t>
  </si>
  <si>
    <t>https://issues.amazon.com/issues/V1465985234</t>
  </si>
  <si>
    <t>[ AMZL ]Severe Weather [Rainfall Minute Reductions Tier 1 Email Weather Alert][7/27/2024]</t>
  </si>
  <si>
    <t>https://issues.amazon.com/issues/V1465985231</t>
  </si>
  <si>
    <t>[ AMZL ]Severe Weather [Heat Index Minute Reductions Tier 2 Email Weather Alert][7/27/2024]</t>
  </si>
  <si>
    <t>https://issues.amazon.com/issues/V1465985221</t>
  </si>
  <si>
    <t>[ AMZL ]Severe Weather [Heat Index Minute Reductions Tier 3 Email Weather Alert][7/27/2024]</t>
  </si>
  <si>
    <t>https://issues.amazon.com/issues/V1465985218</t>
  </si>
  <si>
    <t>[ AMZL ]Severe Weather [Heat Index Minute Reductions Tier 1 Email Weather Alert][7/27/2024]</t>
  </si>
  <si>
    <t>https://issues.amazon.com/issues/V1465029691</t>
  </si>
  <si>
    <t>[ RSR ] Severe Weather [RAINFALL Minute Reductions Tier 2 Email Weather Alert][7/26/2024]</t>
  </si>
  <si>
    <t>CRC Severe Weather Audits 07/26/2024,</t>
  </si>
  <si>
    <t>https://issues.amazon.com/issues/V1465029687</t>
  </si>
  <si>
    <t>[ RSR ] Severe Weather [HEAT INDEX Minute Reductions Tier 2 Email Weather Alert][7/26/2024]</t>
  </si>
  <si>
    <t>https://issues.amazon.com/issues/V1465029681</t>
  </si>
  <si>
    <t>[ RSR ] Severe Weather [HEAT INDEX Minute Reductions Tier 1 Email Weather Alert][7/26/2024]</t>
  </si>
  <si>
    <t>https://issues.amazon.com/issues/V1465029644</t>
  </si>
  <si>
    <t>[ AMXL ]Severe Weather [Rainfall Minute Reductions Tier 3 Email Weather Alert][7/26/2024]</t>
  </si>
  <si>
    <t>https://issues.amazon.com/issues/V1465029634</t>
  </si>
  <si>
    <t>[ AMXL ]Severe Weather [Heat Index Minute Reductions Tier 4 Email Weather Alert][7/26/2024]</t>
  </si>
  <si>
    <t>https://issues.amazon.com/issues/V1465029630</t>
  </si>
  <si>
    <t>[ AMXL ]Severe Weather [Heat Index Minute Reductions Tier 3 Email Weather Alert][7/26/2024]</t>
  </si>
  <si>
    <t>https://issues.amazon.com/issues/V1465029626</t>
  </si>
  <si>
    <t>[ AMXL ]Severe Weather [Heat Index Minute Reductions Tier 2 Email Weather Alert][7/26/2024]</t>
  </si>
  <si>
    <t>https://issues.amazon.com/issues/V1465029620</t>
  </si>
  <si>
    <t>[ AMXL ]Severe Weather [Rainfall Minute Reductions Tier 1 Email Weather Alert][7/26/2024]</t>
  </si>
  <si>
    <t>https://issues.amazon.com/issues/V1465029591</t>
  </si>
  <si>
    <t>[ AMZL ]Severe Weather [Heat Index Minute Reductions Tier 4 Email Weather Alert][7/26/2024]</t>
  </si>
  <si>
    <t>https://issues.amazon.com/issues/V1465029574</t>
  </si>
  <si>
    <t>[ AMZL ]Severe Weather [Rainfall Minute Reductions Tier 3 Email Weather Alert][7/26/2024]</t>
  </si>
  <si>
    <t>https://issues.amazon.com/issues/V1465029546</t>
  </si>
  <si>
    <t>[ AMZL ]Severe Weather [Rainfall Minute Reductions Tier 1 Email Weather Alert][7/26/2024]</t>
  </si>
  <si>
    <t>https://issues.amazon.com/issues/V1465029556</t>
  </si>
  <si>
    <t>[ AMZL ]Severe Weather [Heat Index Minute Reductions Tier 2 Email Weather Alert][7/26/2024]</t>
  </si>
  <si>
    <t>https://issues.amazon.com/issues/V1465029538</t>
  </si>
  <si>
    <t>[ AMZL ]Severe Weather [Heat Index Minute Reductions Tier 3 Email Weather Alert][7/26/2024]</t>
  </si>
  <si>
    <t>https://issues.amazon.com/issues/V1465029531</t>
  </si>
  <si>
    <t>[ AMZL ]Severe Weather [Heat Index Minute Reductions Tier 1 Email Weather Alert][7/26/2024]</t>
  </si>
  <si>
    <t>https://issues.amazon.com/issues/V1463806408</t>
  </si>
  <si>
    <t>[ AMXL ]Severe Weather [Heat Index Minute Reductions Tier 4 Email Weather Alert][7/25/2024]</t>
  </si>
  <si>
    <t>CRC Severe Weather Audits 07/25/2024,</t>
  </si>
  <si>
    <t>https://issues.amazon.com/issues/V1463806401</t>
  </si>
  <si>
    <t>[ AMXL ]Severe Weather [Heat Index Minute Reductions Tier 2 Email Weather Alert][7/25/2024]</t>
  </si>
  <si>
    <t>https://issues.amazon.com/issues/V1463806396</t>
  </si>
  <si>
    <t>[ AMXL ]Severe Weather [Heat Index Minute Reductions Tier 3 Email Weather Alert][7/25/2024]</t>
  </si>
  <si>
    <t>https://issues.amazon.com/issues/V1463806388</t>
  </si>
  <si>
    <t>[ AMXL ]Severe Weather [Rainfall Minute Reductions Tier 3 Email Weather Alert][7/25/2024]</t>
  </si>
  <si>
    <t>https://issues.amazon.com/issues/V1463806383</t>
  </si>
  <si>
    <t>[ AMXL ]Severe Weather [Rainfall Minute Reductions Tier 1 Email Weather Alert][7/25/2024]</t>
  </si>
  <si>
    <t>https://issues.amazon.com/issues/V1463806337</t>
  </si>
  <si>
    <t>[ AMZL ]Severe Weather [Rainfall Minute Reductions Tier 3 Email Weather Alert][7/25/2024]</t>
  </si>
  <si>
    <t>https://issues.amazon.com/issues/V1463806353</t>
  </si>
  <si>
    <t>[ AMZL ]Severe Weather [Heat Index Minute Reductions Tier 3 Email Weather Alert][7/25/2024]</t>
  </si>
  <si>
    <t>https://issues.amazon.com/issues/V1463806324</t>
  </si>
  <si>
    <t>[ AMZL ]Severe Weather [Heat Index Minute Reductions Tier 4 Email Weather Alert][7/25/2024]</t>
  </si>
  <si>
    <t>https://issues.amazon.com/issues/V1463806313</t>
  </si>
  <si>
    <t>[ AMZL ]Severe Weather [Heat Index Minute Reductions Tier 2 Email Weather Alert][7/25/2024]</t>
  </si>
  <si>
    <t>https://issues.amazon.com/issues/V1463806309</t>
  </si>
  <si>
    <t>[ AMZL ]Severe Weather [Heat Index Minute Reductions Tier 1 Email Weather Alert][7/25/2024]</t>
  </si>
  <si>
    <t>https://issues.amazon.com/issues/V1463806328</t>
  </si>
  <si>
    <t>[ AMZL ]Severe Weather [Rainfall Minute Reductions Tier 1 Email Weather Alert][7/25/2024]</t>
  </si>
  <si>
    <t>https://issues.amazon.com/issues/V1462815036</t>
  </si>
  <si>
    <t>[ RSR ] Severe Weather [RAINFALL Minute Reductions Tier 1 Email Weather Alert][7/24/2024]</t>
  </si>
  <si>
    <t>CRC Severe Weather Audits 07/24/2024,</t>
  </si>
  <si>
    <t>https://issues.amazon.com/issues/V1462815044</t>
  </si>
  <si>
    <t>[ RSR ] Severe Weather [RAINFALL Minute Reductions Tier 3 Email Weather Alert][7/24/2024]</t>
  </si>
  <si>
    <t>https://issues.amazon.com/issues/V1462815027</t>
  </si>
  <si>
    <t>[ RSR ] Severe Weather [HEAT INDEX Minute Reductions Tier 3 Email Weather Alert][7/24/2024]</t>
  </si>
  <si>
    <t>https://issues.amazon.com/issues/V1462815021</t>
  </si>
  <si>
    <t>[ RSR ] Severe Weather [RAINFALL Minute Reductions Tier 2 Email Weather Alert][7/24/2024]</t>
  </si>
  <si>
    <t>https://issues.amazon.com/issues/V1462815008</t>
  </si>
  <si>
    <t>[ RSR ] Severe Weather [HEAT INDEX Minute Reductions Tier 1 Email Weather Alert][7/24/2024]</t>
  </si>
  <si>
    <t>https://issues.amazon.com/issues/V1462815003</t>
  </si>
  <si>
    <t>[ RSR ] Severe Weather [HEAT INDEX Minute Reductions Tier 2 Email Weather Alert][7/24/2024]</t>
  </si>
  <si>
    <t>https://issues.amazon.com/issues/V1462814964</t>
  </si>
  <si>
    <t>[ AMXL ]Severe Weather [Heat Index Minute Reductions Tier 4 Email Weather Alert][7/24/2024]</t>
  </si>
  <si>
    <t>https://issues.amazon.com/issues/V1462814948</t>
  </si>
  <si>
    <t>[ AMXL ]Severe Weather [Rainfall Minute Reductions Tier 3 Email Weather Alert][7/24/2024]</t>
  </si>
  <si>
    <t>https://issues.amazon.com/issues/V1462814943</t>
  </si>
  <si>
    <t>[ AMXL ]Severe Weather [Heat Index Minute Reductions Tier 3 Email Weather Alert][7/24/2024]</t>
  </si>
  <si>
    <t>https://issues.amazon.com/issues/V1462814936</t>
  </si>
  <si>
    <t>[ AMXL ]Severe Weather [Heat Index Minute Reductions Tier 2 Email Weather Alert][7/24/2024]</t>
  </si>
  <si>
    <t>https://issues.amazon.com/issues/V1462814928</t>
  </si>
  <si>
    <t>[ AMXL ]Severe Weather [Rainfall Minute Reductions Tier 1 Email Weather Alert][7/24/2024]</t>
  </si>
  <si>
    <t>https://issues.amazon.com/issues/V1462814900</t>
  </si>
  <si>
    <t>[ AMZL ]Severe Weather [Heat Index Minute Reductions Tier 4 Email Weather Alert][7/24/2024]</t>
  </si>
  <si>
    <t>https://issues.amazon.com/issues/V1462814879</t>
  </si>
  <si>
    <t>[ AMZL ]Severe Weather [Rainfall Minute Reductions Tier 3 Email Weather Alert][7/24/2024]</t>
  </si>
  <si>
    <t>https://issues.amazon.com/issues/V1462814868</t>
  </si>
  <si>
    <t>[ AMZL ]Severe Weather [Heat Index Minute Reductions Tier 3 Email Weather Alert][7/24/2024]</t>
  </si>
  <si>
    <t>https://issues.amazon.com/issues/V1462814855</t>
  </si>
  <si>
    <t>[ AMZL ]Severe Weather [Heat Index Minute Reductions Tier 2 Email Weather Alert][7/24/2024]</t>
  </si>
  <si>
    <t>https://issues.amazon.com/issues/V1462814850</t>
  </si>
  <si>
    <t>[ AMZL ]Severe Weather [Heat Index Minute Reductions Tier 1 Email Weather Alert][7/24/2024]</t>
  </si>
  <si>
    <t>https://issues.amazon.com/issues/V1462814841</t>
  </si>
  <si>
    <t>[ AMZL ]Severe Weather [Rainfall Minute Reductions Tier 1 Email Weather Alert][7/24/2024]</t>
  </si>
  <si>
    <t>https://issues.amazon.com/issues/V1461439713</t>
  </si>
  <si>
    <t>[ AMZL ]Severe Weather [Rainfall Minute Reductions Tier 1 Email Weather Alert][7/23/2024]</t>
  </si>
  <si>
    <t>CRC Severe Weather Audits 07/23/2024,</t>
  </si>
  <si>
    <t>https://issues.amazon.com/issues/V1461441504</t>
  </si>
  <si>
    <t>[ RSR ] Severe Weather [RAINFALL Minute Reductions Tier 2 Email Weather Alert][7/23/2024]</t>
  </si>
  <si>
    <t>https://issues.amazon.com/issues/V1461441497</t>
  </si>
  <si>
    <t>[ RSR ] Severe Weather [HEAT INDEX Minute Reductions Tier 2 Email Weather Alert][7/23/2024]</t>
  </si>
  <si>
    <t>https://issues.amazon.com/issues/V1461441489</t>
  </si>
  <si>
    <t>[ RSR ] Severe Weather [HEAT INDEX Minute Reductions Tier 1 Email Weather Alert][7/23/2024]</t>
  </si>
  <si>
    <t>https://issues.amazon.com/issues/V1461440549</t>
  </si>
  <si>
    <t>[ AMXL ]Severe Weather [Heat Index Minute Reductions Tier 3 Email Weather Alert][7/23/2024]</t>
  </si>
  <si>
    <t>https://issues.amazon.com/issues/V1461440542</t>
  </si>
  <si>
    <t>[ AMXL ]Severe Weather [Heat Index Minute Reductions Tier 4 Email Weather Alert][7/23/2024]</t>
  </si>
  <si>
    <t>https://issues.amazon.com/issues/V1461440536</t>
  </si>
  <si>
    <t>[ AMXL ]Severe Weather [Heat Index Minute Reductions Tier 2 Email Weather Alert][7/23/2024]</t>
  </si>
  <si>
    <t>https://issues.amazon.com/issues/V1461440524</t>
  </si>
  <si>
    <t>[ AMXL ]Severe Weather [Rainfall Minute Reductions Tier 1 Email Weather Alert][7/23/2024]</t>
  </si>
  <si>
    <t>https://issues.amazon.com/issues/V1461439731</t>
  </si>
  <si>
    <t>[ AMZL ]Severe Weather [Rainfall Minute Reductions Tier 3 Email Weather Alert][7/23/2024]</t>
  </si>
  <si>
    <t>https://issues.amazon.com/issues/V1461439724</t>
  </si>
  <si>
    <t>[ AMZL ]Severe Weather [Heat Index Minute Reductions Tier 4 Email Weather Alert][7/23/2024]</t>
  </si>
  <si>
    <t>https://issues.amazon.com/issues/V1461439719</t>
  </si>
  <si>
    <t>[ AMZL ]Severe Weather [Heat Index Minute Reductions Tier 2 Email Weather Alert][7/23/2024]</t>
  </si>
  <si>
    <t>https://issues.amazon.com/issues/V1461439717</t>
  </si>
  <si>
    <t>[ AMZL ]Severe Weather [Heat Index Minute Reductions Tier 3 Email Weather Alert][7/23/2024]</t>
  </si>
  <si>
    <t>https://issues.amazon.com/issues/V1461439704</t>
  </si>
  <si>
    <t>[ AMZL ]Severe Weather [Heat Index Minute Reductions Tier 1 Email Weather Alert][7/23/2024]</t>
  </si>
  <si>
    <t>https://issues.amazon.com/issues/V1460259756</t>
  </si>
  <si>
    <t>[ AMZL ]Severe Weather [Rainfall Minute Reductions Tier 1 Email Weather Alert][7/22/2024]</t>
  </si>
  <si>
    <t>CRC Severe Weather Audits 07/22/2024,</t>
  </si>
  <si>
    <t>https://issues.amazon.com/issues/V1460260193</t>
  </si>
  <si>
    <t>[ RSR ] Severe Weather [HEAT INDEX Minute Reductions Tier 2 Email Weather Alert][7/22/2024]</t>
  </si>
  <si>
    <t>https://issues.amazon.com/issues/V1460260187</t>
  </si>
  <si>
    <t>[ RSR ] Severe Weather [HEAT INDEX Minute Reductions Tier 1 Email Weather Alert][7/22/2024]</t>
  </si>
  <si>
    <t>https://issues.amazon.com/issues/V1460260179</t>
  </si>
  <si>
    <t>[ RSR ] Severe Weather [RAINFALL Minute Reductions Tier 2 Email Weather Alert][7/22/2024]</t>
  </si>
  <si>
    <t>https://issues.amazon.com/issues/V1460260041</t>
  </si>
  <si>
    <t>[ AMXL ]Severe Weather [Heat Index Minute Reductions Tier 3 Email Weather Alert][7/22/2024]</t>
  </si>
  <si>
    <t>https://issues.amazon.com/issues/V1460260037</t>
  </si>
  <si>
    <t>[ AMXL ]Severe Weather [Heat Index + State Minute Reductions Tier 4 Email Weather Alert][7/22/2024]</t>
  </si>
  <si>
    <t>https://issues.amazon.com/issues/V1460260029</t>
  </si>
  <si>
    <t>[ AMXL ]Severe Weather [Heat Index Minute Reductions Tier 2 Email Weather Alert][7/22/2024]</t>
  </si>
  <si>
    <t>https://issues.amazon.com/issues/V1460260020</t>
  </si>
  <si>
    <t>[ AMXL ]Severe Weather [Rainfall Minute Reductions Tier 3 Email Weather Alert][7/22/2024]</t>
  </si>
  <si>
    <t>https://issues.amazon.com/issues/V1460260016</t>
  </si>
  <si>
    <t>[ AMXL ]Severe Weather [Rainfall Minute Reductions Tier 1 Email Weather Alert][7/22/2024]</t>
  </si>
  <si>
    <t>https://issues.amazon.com/issues/V1460259785</t>
  </si>
  <si>
    <t>[ AMZL ]Severe Weather [Rainfall Minute Reductions Tier 3 Email Weather Alert][7/22/2024]</t>
  </si>
  <si>
    <t>https://issues.amazon.com/issues/V1460259779</t>
  </si>
  <si>
    <t>[ AMZL ]Severe Weather [Heat Index Minute Reductions Tier 3 Email Weather Alert][7/22/2024]</t>
  </si>
  <si>
    <t>https://issues.amazon.com/issues/V1460259770</t>
  </si>
  <si>
    <t>[ AMZL ]Severe Weather [Heat Index Minute Reductions Tier 2 Email Weather Alert][7/22/2024]</t>
  </si>
  <si>
    <t>https://issues.amazon.com/issues/V1460259762</t>
  </si>
  <si>
    <t>[ AMZL ]Severe Weather [Heat Index Minute Reductions Tier 1 Email Weather Alert][7/22/2024]</t>
  </si>
  <si>
    <t>https://issues.amazon.com/issues/V1459283008</t>
  </si>
  <si>
    <t>[ AMZL ]Severe Weather [Heat Index Minute Reductions Tier 1 Email Weather Alert][7/21/2024]</t>
  </si>
  <si>
    <t>CRC Severe Weather Audits 07/21/2024,CRC QA Miss,</t>
  </si>
  <si>
    <t>QUIP: AA didn't make an entry in the Driver Safety Quip,</t>
  </si>
  <si>
    <t>https://issues.amazon.com/issues/V1457734715</t>
  </si>
  <si>
    <t>[ RSR ] Severe Weather [HEAT INDEX Minute Reductions Tier 1 Email Weather Alert][7/18/2024]</t>
  </si>
  <si>
    <t>CRC Severe Weather Audits 07/18/2024,CRC QA Miss,Validated,</t>
  </si>
  <si>
    <t>https://issues.amazon.com/issues/V1457734701</t>
  </si>
  <si>
    <t>[ RSR ] Severe Weather [HEAT INDEX Minute Reductions Tier 2 Email Weather Alert][7/18/2024]</t>
  </si>
  <si>
    <t>https://issues.amazon.com/issues/V1457734709</t>
  </si>
  <si>
    <t>[ RSR ] Severe Weather [RAINFALL Minute Reductions Tier 2 Email Weather Alert][7/18/2024]</t>
  </si>
  <si>
    <t>https://issues.amazon.com/issues/V1456335632</t>
  </si>
  <si>
    <t>Severe Weather - AMXL - [Heat Index + State Minute Reductions Tier 4 Email Weather Alert][7/18/2024]</t>
  </si>
  <si>
    <t>https://issues.amazon.com/issues/V1456335322</t>
  </si>
  <si>
    <t>Severe Weather [Rainfall Minute Reductions Tier 1 Email Weather Alert][7/18/2024]</t>
  </si>
  <si>
    <t>FlexComm: AA didn't log the entry(ies) in the driver Safety Quip,</t>
  </si>
  <si>
    <t>https://issues.amazon.com/issues/V1458489219</t>
  </si>
  <si>
    <t>[ AMXL ]Severe Weather [Heat Index + State Minute Reductions Tier 4 Email Weather Alert][7/20/2024]</t>
  </si>
  <si>
    <t>CRC Severe Weather Audits 07/20/2024,CRC QA Miss,Validated,</t>
  </si>
  <si>
    <t>https://issues.amazon.com/issues/V1459283296</t>
  </si>
  <si>
    <t>[ RSR ] Severe Weather [HEAT INDEX Minute Reductions Tier 1 Email Weather Alert][7/21/2024]</t>
  </si>
  <si>
    <t>CRC Severe Weather Audits 07/21/2024,</t>
  </si>
  <si>
    <t>https://issues.amazon.com/issues/V1459283311</t>
  </si>
  <si>
    <t>[ RSR ] Severe Weather [HEAT INDEX Minute Reductions Tier 2 Email Weather Alert][7/21/2024]</t>
  </si>
  <si>
    <t>https://issues.amazon.com/issues/V1459283306</t>
  </si>
  <si>
    <t>[ RSR ] Severe Weather [RAINFALL Minute Reductions Tier 2 Email Weather Alert][7/21/2024]</t>
  </si>
  <si>
    <t>https://issues.amazon.com/issues/V1459283302</t>
  </si>
  <si>
    <t>[ RSR ] Severe Weather [RAINFALL Minute Reductions Tier 1 Email Weather Alert][7/21/2024]</t>
  </si>
  <si>
    <t>https://issues.amazon.com/issues/V1459283200</t>
  </si>
  <si>
    <t>[ AMXL ]Severe Weather [Rainfall Minute Reductions Tier 3 Email Weather Alert][7/21/2024]</t>
  </si>
  <si>
    <t>https://issues.amazon.com/issues/V1459283195</t>
  </si>
  <si>
    <t>[ AMXL ]Severe Weather [Heat Index Minute Reductions Tier 3 Email Weather Alert][7/21/2024]</t>
  </si>
  <si>
    <t>https://issues.amazon.com/issues/V1459283189</t>
  </si>
  <si>
    <t>[ AMXL ]Severe Weather [Rainfall Minute Reductions Tier 1 Email Weather Alert][7/21/2024]</t>
  </si>
  <si>
    <t>https://issues.amazon.com/issues/V1459283182</t>
  </si>
  <si>
    <t>[ AMXL ]Severe Weather [Heat Index Minute Reductions Tier 2 Email Weather Alert][7/21/2024]</t>
  </si>
  <si>
    <t>https://issues.amazon.com/issues/V1459283022</t>
  </si>
  <si>
    <t>[ AMZL ]Severe Weather [Rainfall Minute Reductions Tier 1 Email Weather Alert][7/21/2024]</t>
  </si>
  <si>
    <t>https://issues.amazon.com/issues/V1459283018</t>
  </si>
  <si>
    <t>[ AMZL ]Severe Weather [Heat Index Minute Reductions Tier 2 Email Weather Alert][7/21/2024]</t>
  </si>
  <si>
    <t>https://issues.amazon.com/issues/V1459283014</t>
  </si>
  <si>
    <t>[ AMZL ]Severe Weather [Heat Index Minute Reductions Tier 3 Email Weather Alert][7/21/2024]</t>
  </si>
  <si>
    <t>https://issues.amazon.com/issues/V1458489275</t>
  </si>
  <si>
    <t>[ RSR ] Severe Weather [HEAT INDEX Minute Reductions Tier 2 Email Weather Alert][7/20/2024]</t>
  </si>
  <si>
    <t>CRC Severe Weather Audits 07/20/2024,</t>
  </si>
  <si>
    <t>https://issues.amazon.com/issues/V1458489268</t>
  </si>
  <si>
    <t>[ RSR ] Severe Weather [RAINFALL Minute Reductions Tier 2 Email Weather Alert][7/20/2024]</t>
  </si>
  <si>
    <t>https://issues.amazon.com/issues/V1458489263</t>
  </si>
  <si>
    <t>[ RSR ] Severe Weather [HEAT INDEX Minute Reductions Tier 1 Email Weather Alert][7/20/2024]</t>
  </si>
  <si>
    <t>https://issues.amazon.com/issues/V1458489229</t>
  </si>
  <si>
    <t>[ AMXL ]Severe Weather [Heat Index Minute Reductions Tier 3 Email Weather Alert][7/20/2024]</t>
  </si>
  <si>
    <t>https://issues.amazon.com/issues/V1458489214</t>
  </si>
  <si>
    <t>[ AMXL ]Severe Weather [Rainfall Minute Reductions Tier 3 Email Weather Alert][7/20/2024]</t>
  </si>
  <si>
    <t>https://issues.amazon.com/issues/V1458489208</t>
  </si>
  <si>
    <t>[ AMXL ]Severe Weather [Heat Index Minute Reductions Tier 2 Email Weather Alert][7/20/2024]</t>
  </si>
  <si>
    <t>https://issues.amazon.com/issues/V1458489203</t>
  </si>
  <si>
    <t>[ AMXL ]Severe Weather [Rainfall Minute Reductions Tier 1 Email Weather Alert][7/20/2024]</t>
  </si>
  <si>
    <t>https://issues.amazon.com/issues/V1458489162</t>
  </si>
  <si>
    <t>[ AMZL ]Severe Weather [Heat Index Minute Reductions Tier 3 Email Weather Alert][7/20/2024]</t>
  </si>
  <si>
    <t>https://issues.amazon.com/issues/V1458489156</t>
  </si>
  <si>
    <t>[ AMZL ]Severe Weather [Heat Index Minute Reductions Tier 2 Email Weather Alert][7/20/2024]</t>
  </si>
  <si>
    <t>https://issues.amazon.com/issues/V1458489152</t>
  </si>
  <si>
    <t>[ AMZL ]Severe Weather [Heat Index Minute Reductions Tier 1 Email Weather Alert][7/20/2024]</t>
  </si>
  <si>
    <t>https://issues.amazon.com/issues/V1458489146</t>
  </si>
  <si>
    <t>[ AMZL ]Severe Weather [Rainfall Minute Reductions Tier 3 Email Weather Alert][7/20/2024]</t>
  </si>
  <si>
    <t>https://issues.amazon.com/issues/V1458489138</t>
  </si>
  <si>
    <t>[ AMZL ]Severe Weather [Rainfall Minute Reductions Tier 1 Email Weather Alert][7/20/2024]</t>
  </si>
  <si>
    <t>https://issues.amazon.com/issues/V1457709738</t>
  </si>
  <si>
    <t>[ RSR ] Severe Weather [RAINFALL Minute Reductions Tier 2 Email Weather Alert][7/19/2024]</t>
  </si>
  <si>
    <t>CRC Severe Weather Audits 07/19/2024,</t>
  </si>
  <si>
    <t>https://issues.amazon.com/issues/V1457709730</t>
  </si>
  <si>
    <t>[ RSR ] Severe Weather [HEAT INDEX Minute Reductions Tier 2 Email Weather Alert][7/19/2024]</t>
  </si>
  <si>
    <t>https://issues.amazon.com/issues/V1457709724</t>
  </si>
  <si>
    <t>[ RSR ] Severe Weather [HEAT INDEX Minute Reductions Tier 1 Email Weather Alert][7/19/2024]</t>
  </si>
  <si>
    <t>https://issues.amazon.com/issues/V1455148154</t>
  </si>
  <si>
    <t>Severe Weather [HEAT INDEX Minute Reductions Tier 2 Email Weather Alert][7/17/2024]</t>
  </si>
  <si>
    <t>CRC QA Miss,Validated,CRC Severe Weather Audits 07/17/2024,</t>
  </si>
  <si>
    <t>Email: AA didn't list the sites in the "Impacted Areas" field when there were less than 10 sites,</t>
  </si>
  <si>
    <t>https://issues.amazon.com/issues/V1455148163</t>
  </si>
  <si>
    <t>Severe Weather [HEAT INDEX Minute Reductions Tier 1 Email Weather Alert][7/17/2024]</t>
  </si>
  <si>
    <t>https://issues.amazon.com/issues/V1455148171</t>
  </si>
  <si>
    <t>Severe Weather [RAINFALL Minute Reductions Tier 2 Email Weather Alert][7/17/2024]</t>
  </si>
  <si>
    <t>https://issues.amazon.com/issues/V1455148182</t>
  </si>
  <si>
    <t>Severe Weather [RAINFALL Minute Reductions Tier 3 Email Weather Alert][7/17/2024]</t>
  </si>
  <si>
    <t>https://issues.amazon.com/issues/V1455148186</t>
  </si>
  <si>
    <t>Severe Weather [RAINFALL Minute Reductions Tier 1 Email Weather Alert][7/17/2024]</t>
  </si>
  <si>
    <t>https://issues.amazon.com/issues/V1457709624</t>
  </si>
  <si>
    <t>[ AMZL ]Severe Weather [Heat Index Minute Reductions Tier 4 Email Weather Alert][7/19/2024]</t>
  </si>
  <si>
    <t>https://issues.amazon.com/issues/V1457709617</t>
  </si>
  <si>
    <t>[ AMZL ]Severe Weather [Heat Index Minute Reductions Tier 3 Email Weather Alert][7/19/2024]</t>
  </si>
  <si>
    <t>https://issues.amazon.com/issues/V1457709605</t>
  </si>
  <si>
    <t>[ AMZL ]Severe Weather [Heat Index Minute Reductions Tier 2 Email Weather Alert][7/19/2024]</t>
  </si>
  <si>
    <t>https://issues.amazon.com/issues/V1457709597</t>
  </si>
  <si>
    <t>[ AMZL ]Severe Weather [Heat Index Minute Reductions Tier 1 Email Weather Alert][7/19/2024]</t>
  </si>
  <si>
    <t>https://issues.amazon.com/issues/V1457709588</t>
  </si>
  <si>
    <t>[ AMZL ]Severe Weather [Rainfall Minute Reductions Tier 1 Email Weather Alert][7/19/2024]</t>
  </si>
  <si>
    <t>https://issues.amazon.com/issues/V1457709365</t>
  </si>
  <si>
    <t>[ AMXL ]Severe Weather [Heat Index Minute Reductions Tier 3 Email Weather Alert][7/19/2024]</t>
  </si>
  <si>
    <t>https://issues.amazon.com/issues/V1457709361</t>
  </si>
  <si>
    <t>[ AMXL ]Severe Weather [Heat Index Minute Reductions Tier 4 Email Weather Alert][7/19/2024]</t>
  </si>
  <si>
    <t>https://issues.amazon.com/issues/V1457709349</t>
  </si>
  <si>
    <t>[ AMXL ]Severe Weather [Rainfall Minute Reductions Tier 1 Email Weather Alert][7/19/2024]</t>
  </si>
  <si>
    <t>https://issues.amazon.com/issues/V1457709353</t>
  </si>
  <si>
    <t>[ AMXL ]Severe Weather [Heat Index Minute Reductions Tier 2 Email Weather Alert][7/19/2024]</t>
  </si>
  <si>
    <t>https://issues.amazon.com/issues/V1456335652</t>
  </si>
  <si>
    <t>Severe Weather - AMXL - [Heat Index Minute Reductions Tier 2 Email Weather Alert][7/18/2024]</t>
  </si>
  <si>
    <t>CRC Severe Weather Audits 07/18/2024,</t>
  </si>
  <si>
    <t>https://issues.amazon.com/issues/V1456335640</t>
  </si>
  <si>
    <t>Severe Weather - AMXL - [Heat Index Minute Reductions Tier 3 Email Weather Alert][7/18/2024]</t>
  </si>
  <si>
    <t>https://issues.amazon.com/issues/V1456335622</t>
  </si>
  <si>
    <t>Severe Weather - AMXL -  [Rainfall Minute Reductions Tier 1 Email Weather Alert][7/18/2024]</t>
  </si>
  <si>
    <t>https://issues.amazon.com/issues/V1456335612</t>
  </si>
  <si>
    <t>Severe Weather  - AMXL - [Rainfall Minute Reductions Tier 3 Email Weather Alert][7/18/2024]</t>
  </si>
  <si>
    <t>https://issues.amazon.com/issues/V1456335334</t>
  </si>
  <si>
    <t>Severe Weather [Rainfall Minute Reductions Tier 3 Email Weather Alert][7/18/2024]</t>
  </si>
  <si>
    <t>https://issues.amazon.com/issues/V1456335307</t>
  </si>
  <si>
    <t>Severe Weather [Heat Index Minute Reductions Tier 2 Email Weather Alert][7/18/2024]</t>
  </si>
  <si>
    <t>https://issues.amazon.com/issues/V1456335295</t>
  </si>
  <si>
    <t>Severe Weather [Heat Index Minute Reductions Tier 3 Email Weather Alert][7/18/2024]</t>
  </si>
  <si>
    <t>https://issues.amazon.com/issues/V1456335284</t>
  </si>
  <si>
    <t>Severe Weather [Heat Index Minute Reductions Tier 1 Email Weather Alert][7/18/2024]</t>
  </si>
  <si>
    <t>https://issues.amazon.com/issues/V1455148135</t>
  </si>
  <si>
    <t>Severe Weather [Heat Index + State Minute Reductions Tier 4 Email Weather Alert][7/17/2024]</t>
  </si>
  <si>
    <t>CRC Severe Weather Audits 07/17/2024,CRC QA Miss,Validated,</t>
  </si>
  <si>
    <t>https://issues.amazon.com/issues/V1455148112</t>
  </si>
  <si>
    <t>Severe Weather [Rainfall Minute Reductions Tier 3 Email Weather Alert][7/17/2024]</t>
  </si>
  <si>
    <t>CRC Severe Weather Audits 07/17/2024,CRC QA Miss,Validated,Excluded - SW/Process Discrepancy,</t>
  </si>
  <si>
    <t>https://issues.amazon.com/issues/V1455148119</t>
  </si>
  <si>
    <t>Severe Weather [Heat Index Minute Reductions Tier 2 Email Weather Alert][7/17/2024]</t>
  </si>
  <si>
    <t>https://issues.amazon.com/issues/V1455148131</t>
  </si>
  <si>
    <t>Severe Weather [Rainfall Minute Reductions Tier 1 Email Weather Alert][7/17/2024]</t>
  </si>
  <si>
    <t>https://issues.amazon.com/issues/V1455148145</t>
  </si>
  <si>
    <t>Severe Weather [Heat Index Minute Reductions Tier 3 Email Weather Alert][7/17/2024]</t>
  </si>
  <si>
    <t>https://issues.amazon.com/issues/V1455148103</t>
  </si>
  <si>
    <t>CRC Severe Weather Audits 07/17/2024,</t>
  </si>
  <si>
    <t>https://issues.amazon.com/issues/V1455148092</t>
  </si>
  <si>
    <t>Severe Weather [Heat Index Minute Reductions Tier 1 Email Weather Alert][7/17/2024]</t>
  </si>
  <si>
    <t>https://issues.amazon.com/issues/V1455148079</t>
  </si>
  <si>
    <t>https://issues.amazon.com/issues/V1455148078</t>
  </si>
  <si>
    <t>https://issues.amazon.com/issues/V1455148060</t>
  </si>
  <si>
    <t>https://issues.amazon.com/issues/V1453937746</t>
  </si>
  <si>
    <t>Severe Weather [HEAT INDEX Minute Reductions Tier 2 Email Weather Alert][7/16/2024]</t>
  </si>
  <si>
    <t>CRC Severe Weather Audits 07/16/2024,</t>
  </si>
  <si>
    <t>https://issues.amazon.com/issues/V1453937750</t>
  </si>
  <si>
    <t>Severe Weather [RAINFALL Minute Reductions Tier 2 Email Weather Alert][7/16/2024]</t>
  </si>
  <si>
    <t>https://issues.amazon.com/issues/V1453937754</t>
  </si>
  <si>
    <t>Severe Weather [HEAT INDEX Minute Reductions Tier 1 Email Weather Alert][7/16/2024]</t>
  </si>
  <si>
    <t>https://issues.amazon.com/issues/V1453937769</t>
  </si>
  <si>
    <t>Severe Weather [RAINFALL Minute Reductions Tier 3 Email Weather Alert][7/16/2024]</t>
  </si>
  <si>
    <t>https://issues.amazon.com/issues/V1453937780</t>
  </si>
  <si>
    <t>Severe Weather [RAINFALL Minute Reductions Tier 1 Email Weather Alert][7/16/2024]</t>
  </si>
  <si>
    <t>https://issues.amazon.com/issues/V1453937788</t>
  </si>
  <si>
    <t>Severe Weather [HEAT INDEX Minute Reductions Tier 3 Email Weather Alert][7/16/2024]</t>
  </si>
  <si>
    <t>https://issues.amazon.com/issues/V1452798078</t>
  </si>
  <si>
    <t>Severe Weather [Heat Index Minute Reductions Tier 2 Email Weather Alert][7/15/2024]</t>
  </si>
  <si>
    <t>CRC Severe Weather Audits 07/15/2024,CRC QA Miss,Validated,</t>
  </si>
  <si>
    <t>https://issues.amazon.com/issues/V1453918614</t>
  </si>
  <si>
    <t>Severe Weather [Rainfall Minute Reductions Tier 1 Email Weather Alert][7/16/2024]</t>
  </si>
  <si>
    <t>https://issues.amazon.com/issues/V1453918626</t>
  </si>
  <si>
    <t>Severe Weather [Heat Index Minute Reductions Tier 3 Email Weather Alert][7/16/2024]</t>
  </si>
  <si>
    <t>https://issues.amazon.com/issues/V1453918612</t>
  </si>
  <si>
    <t>Severe Weather [Rainfall Minute Reductions Tier 3 Email Weather Alert][7/16/2024]</t>
  </si>
  <si>
    <t>https://issues.amazon.com/issues/V1453918620</t>
  </si>
  <si>
    <t>Severe Weather [Heat Index + State Minute Reductions Tier 4 Email Weather Alert][7/16/2024]</t>
  </si>
  <si>
    <t>https://issues.amazon.com/issues/V1453918603</t>
  </si>
  <si>
    <t>Severe Weather [Heat Index Minute Reductions Tier 2 Email Weather Alert][7/16/2024]</t>
  </si>
  <si>
    <t>https://issues.amazon.com/issues/V1453918596</t>
  </si>
  <si>
    <t>https://issues.amazon.com/issues/V1453918590</t>
  </si>
  <si>
    <t>https://issues.amazon.com/issues/V1453918583</t>
  </si>
  <si>
    <t>https://issues.amazon.com/issues/V1453918564</t>
  </si>
  <si>
    <t>Severe Weather [Heat Index Minute Reductions Tier 1 Email Weather Alert][7/16/2024]</t>
  </si>
  <si>
    <t>https://issues.amazon.com/issues/V1453918570</t>
  </si>
  <si>
    <t>https://issues.amazon.com/issues/V1452798111</t>
  </si>
  <si>
    <t>Severe Weather [Heat Index Minute Reductions Tier 3 Email Weather Alert][7/15/2024]</t>
  </si>
  <si>
    <t>CRC Severe Weather Audits 07/15/2024,</t>
  </si>
  <si>
    <t>https://issues.amazon.com/issues/V1452798105</t>
  </si>
  <si>
    <t>Severe Weather [Rainfall Minute Reductions Tier 1 Email Weather Alert][7/15/2024]</t>
  </si>
  <si>
    <t>https://issues.amazon.com/issues/V1452798100</t>
  </si>
  <si>
    <t>https://issues.amazon.com/issues/V1452798068</t>
  </si>
  <si>
    <t>Severe Weather [Heat Index Minute Reductions Tier 1 Email Weather Alert][7/15/2024]</t>
  </si>
  <si>
    <t>https://issues.amazon.com/issues/V1452798089</t>
  </si>
  <si>
    <t>https://issues.amazon.com/issues/V1452798094</t>
  </si>
  <si>
    <t>https://issues.amazon.com/issues/V1451839681</t>
  </si>
  <si>
    <t>Severe Weather [Heat Index Minute Reductions Tier 1 Email Weather Alert][7/14/2024]</t>
  </si>
  <si>
    <t>CRC Severe Weather Audits 07/14/2024,</t>
  </si>
  <si>
    <t>https://issues.amazon.com/issues/V1451839688</t>
  </si>
  <si>
    <t>Severe Weather [Rainfall Minute Reductions Tier 1 Email Weather Alert][7/14/2024]</t>
  </si>
  <si>
    <t>https://issues.amazon.com/issues/V1451839690</t>
  </si>
  <si>
    <t>Severe Weather [Heat Index Minute Reductions Tier 3 Email Weather Alert][7/14/2024]</t>
  </si>
  <si>
    <t>https://issues.amazon.com/issues/V1451839682</t>
  </si>
  <si>
    <t>Severe Weather [Heat Index Minute Reductions Tier 2 Email Weather Alert][7/14/2024]</t>
  </si>
  <si>
    <t>https://issues.amazon.com/issues/V1450948030</t>
  </si>
  <si>
    <t>Severe Weather [Heat Index Minute Reductions Tier 2 Email Weather Alert][7/13/2024]</t>
  </si>
  <si>
    <t>CRC Severe Weather Audits 07/13/2024,</t>
  </si>
  <si>
    <t>https://issues.amazon.com/issues/V1450948035</t>
  </si>
  <si>
    <t>Severe Weather [Heat Index Minute Reductions Tier 3 Email Weather Alert][7/13/2024]</t>
  </si>
  <si>
    <t>https://issues.amazon.com/issues/V1450948023</t>
  </si>
  <si>
    <t>Severe Weather [Rainfall Minute Reductions Tier 3 Email Weather Alert][7/13/2024]</t>
  </si>
  <si>
    <t>https://issues.amazon.com/issues/V1450948018</t>
  </si>
  <si>
    <t>Severe Weather [Rainfall Minute Reductions Tier 1 Email Weather Alert][7/13/2024]</t>
  </si>
  <si>
    <t>https://issues.amazon.com/issues/V1450948002</t>
  </si>
  <si>
    <t>Severe Weather [Heat Index Minute Reductions Tier 1 Email Weather Alert][7/13/2024]</t>
  </si>
  <si>
    <t>https://issues.amazon.com/issues/V1450077723</t>
  </si>
  <si>
    <t>Severe Weather [Heat Index Minute Reductions Tier 3 Email Weather Alert][7/12/2024]</t>
  </si>
  <si>
    <t>CRC Severe Weather Audits 07/12/2024,</t>
  </si>
  <si>
    <t>https://issues.amazon.com/issues/V1450077715</t>
  </si>
  <si>
    <t>Severe Weather [Rainfall Minute Reductions Tier 3 Email Weather Alert][7/12/2024]</t>
  </si>
  <si>
    <t>https://issues.amazon.com/issues/V1450077711</t>
  </si>
  <si>
    <t>Severe Weather [Heat Index Minute Reductions Tier 2 Email Weather Alert][7/12/2024]</t>
  </si>
  <si>
    <t>https://issues.amazon.com/issues/V1450077706</t>
  </si>
  <si>
    <t>Severe Weather [Heat Index Minute Reductions Tier 1 Email Weather Alert][7/12/2024]</t>
  </si>
  <si>
    <t>https://issues.amazon.com/issues/V1450077701</t>
  </si>
  <si>
    <t>Severe Weather [Rainfall Minute Reductions Tier 1 Email Weather Alert][7/12/2024]</t>
  </si>
  <si>
    <t>https://issues.amazon.com/issues/V1446383567</t>
  </si>
  <si>
    <t>Severe Weather [Heat Index + State Minute Reductions Tier 4 Email Weather Alert][7/9/2024]</t>
  </si>
  <si>
    <t>CRC Severe Weather Audits 07/09/2024,</t>
  </si>
  <si>
    <t>https://issues.amazon.com/issues/V1448887419</t>
  </si>
  <si>
    <t>Severe Weather [Rainfall Minute Reductions Tier 1 Email Weather Alert][7/11/2024]</t>
  </si>
  <si>
    <t>CRC Severe Weather Audits 07/11/2024,</t>
  </si>
  <si>
    <t>https://issues.amazon.com/issues/V1448887392</t>
  </si>
  <si>
    <t>Severe Weather [Heat Index Minute Reductions Tier 2 Email Weather Alert][7/11/2024]</t>
  </si>
  <si>
    <t>https://issues.amazon.com/issues/V1448887412</t>
  </si>
  <si>
    <t>Severe Weather [Rainfall Minute Reductions Tier 3 Email Weather Alert][7/11/2024]</t>
  </si>
  <si>
    <t>https://issues.amazon.com/issues/V1448887399</t>
  </si>
  <si>
    <t>Severe Weather [Heat Index Minute Reductions Tier 3 Email Weather Alert][7/11/2024]</t>
  </si>
  <si>
    <t>https://issues.amazon.com/issues/V1448887385</t>
  </si>
  <si>
    <t>Severe Weather [Heat Index Minute Reductions Tier 1 Email Weather Alert][7/11/2024]</t>
  </si>
  <si>
    <t>https://issues.amazon.com/issues/V1447568954</t>
  </si>
  <si>
    <t>Severe Weather [Rainfall Minute Reductions Tier 1 Email Weather Alert][7/10/2024]</t>
  </si>
  <si>
    <t>CRC Severe Weather Audits 07/10/2024,CRC QA Miss,Excluded - SW/Process Discrepancy,Validated,</t>
  </si>
  <si>
    <t>https://issues.amazon.com/issues/V1447568960</t>
  </si>
  <si>
    <t>Severe Weather [Heat Index Minute Reductions Tier 3 Email Weather Alert][7/10/2024]</t>
  </si>
  <si>
    <t>CRC Severe Weather Audits 07/10/2024,</t>
  </si>
  <si>
    <t>https://issues.amazon.com/issues/V1447568925</t>
  </si>
  <si>
    <t>Severe Weather [Heat Index Minute Reductions Tier 1 Email Weather Alert][7/10/2024]</t>
  </si>
  <si>
    <t>https://issues.amazon.com/issues/V1447568942</t>
  </si>
  <si>
    <t>Severe Weather [Heat Index Minute Reductions Tier 2 Email Weather Alert][7/10/2024]</t>
  </si>
  <si>
    <t>https://issues.amazon.com/issues/V1447568899</t>
  </si>
  <si>
    <t>Severe Weather [Rainfall Minute Reductions Tier 3 Email Weather Alert][7/10/2024]</t>
  </si>
  <si>
    <t>https://issues.amazon.com/issues/V1446383561</t>
  </si>
  <si>
    <t>Severe Weather [Rainfall Minute Reductions Tier 3 Email Weather Alert][7/9/2024]</t>
  </si>
  <si>
    <t>https://issues.amazon.com/issues/V1446383543</t>
  </si>
  <si>
    <t>Severe Weather [Heat Index Minute Reductions Tier 3 Email Weather Alert][7/9/2024]</t>
  </si>
  <si>
    <t>https://issues.amazon.com/issues/V1446383537</t>
  </si>
  <si>
    <t>Severe Weather [Rainfall Minute Reductions Tier 1 Email Weather Alert][7/9/2024]</t>
  </si>
  <si>
    <t>https://issues.amazon.com/issues/V1446383525</t>
  </si>
  <si>
    <t>Severe Weather [Heat Index Minute Reductions Tier 2 Email Weather Alert][7/9/2024]</t>
  </si>
  <si>
    <t>https://issues.amazon.com/issues/V1446383519</t>
  </si>
  <si>
    <t>Severe Weather [Heat Index Minute Reductions Tier 1 Email Weather Alert][7/9/2024]</t>
  </si>
  <si>
    <t>https://issues.amazon.com/issues/V1445195222</t>
  </si>
  <si>
    <t>Severe Weather [Heat Index Minute Reductions Tier 3 Email Weather Alert][7/8/2024]</t>
  </si>
  <si>
    <t>CRC Severe Weather Audits 07/08/2024,</t>
  </si>
  <si>
    <t>https://issues.amazon.com/issues/V1445195217</t>
  </si>
  <si>
    <t>Severe Weather [Heat Index Minute Reductions Tier 4 Email Weather Alert][7/8/2024]</t>
  </si>
  <si>
    <t>https://issues.amazon.com/issues/V1445195210</t>
  </si>
  <si>
    <t>Severe Weather [Rainfall Minute Reductions Tier 3 Email Weather Alert][7/8/2024]</t>
  </si>
  <si>
    <t>https://issues.amazon.com/issues/V1445195202</t>
  </si>
  <si>
    <t>Severe Weather [Rainfall Minute Reductions Tier 1 Email Weather Alert][7/8/2024]</t>
  </si>
  <si>
    <t>https://issues.amazon.com/issues/V1445195193</t>
  </si>
  <si>
    <t>Severe Weather [Heat Index Minute Reductions Tier 2 Email Weather Alert][7/8/2024]</t>
  </si>
  <si>
    <t>https://issues.amazon.com/issues/V1445195187</t>
  </si>
  <si>
    <t>Severe Weather [Heat Index Minute Reductions Tier 1 Email Weather Alert][7/8/2024]</t>
  </si>
  <si>
    <t>https://issues.amazon.com/issues/V1444116169</t>
  </si>
  <si>
    <t>Severe Weather [Heat Index Minute Reductions Tier 1 Email Weather Alert][7/7/2024]</t>
  </si>
  <si>
    <t>CRC Severe Weather Audits 07/07/2024,</t>
  </si>
  <si>
    <t>https://issues.amazon.com/issues/V1444116191</t>
  </si>
  <si>
    <t>Severe Weather [Heat Index Minute Reductions Tier 3 Email Weather Alert][7/7/2024]</t>
  </si>
  <si>
    <t>https://issues.amazon.com/issues/V1444116187</t>
  </si>
  <si>
    <t>Severe Weather [Heat Index Minute Reductions Tier 4 Email Weather Alert][7/7/2024]</t>
  </si>
  <si>
    <t>https://issues.amazon.com/issues/V1444116178</t>
  </si>
  <si>
    <t>Severe Weather [Rainfall Minute Reductions Tier 1 Email Weather Alert][7/7/2024]</t>
  </si>
  <si>
    <t>https://issues.amazon.com/issues/V1444116176</t>
  </si>
  <si>
    <t>Severe Weather [Heat Index Minute Reductions Tier 2 Email Weather Alert][7/7/2024]</t>
  </si>
  <si>
    <t>https://issues.amazon.com/issues/V1443561210</t>
  </si>
  <si>
    <t>Severe Weather [Rainfall Minute Reductions Tier 1 Email Weather Alert][7/5/2024]</t>
  </si>
  <si>
    <t>CRC Severe Weather Audits 07/05/2024,</t>
  </si>
  <si>
    <t>https://issues.amazon.com/issues/V1443561202</t>
  </si>
  <si>
    <t>Severe Weather [Heat Index Minute Reductions Tier 3 Email Weather Alert][7/5/2024]</t>
  </si>
  <si>
    <t>https://issues.amazon.com/issues/V1443561192</t>
  </si>
  <si>
    <t>Severe Weather [Heat Index Minute Reductions Tier 2 Email Weather Alert][7/5/2024]</t>
  </si>
  <si>
    <t>https://issues.amazon.com/issues/V1443561188</t>
  </si>
  <si>
    <t>Severe Weather [Heat Index Minute Reductions Tier 1 Email Weather Alert][7/5/2024]</t>
  </si>
  <si>
    <t>https://issues.amazon.com/issues/V1443242357</t>
  </si>
  <si>
    <t>Severe Weather [Heat Index Minute Reductions Tier 3 Email Weather Alert][7/6/2024]</t>
  </si>
  <si>
    <t>CRC Severe Weather Audits 07/06/2024,</t>
  </si>
  <si>
    <t>https://issues.amazon.com/issues/V1443242349</t>
  </si>
  <si>
    <t>Severe Weather [Rainfall Minute Reductions Tier 3 Email Weather Alert][7/6/2024]</t>
  </si>
  <si>
    <t>https://issues.amazon.com/issues/V1443242343</t>
  </si>
  <si>
    <t>Severe Weather [Heat Index Minute Reductions Tier 1 Email Weather Alert][7/6/2024]</t>
  </si>
  <si>
    <t>https://issues.amazon.com/issues/V1443242339</t>
  </si>
  <si>
    <t>Severe Weather [Heat Index Minute Reductions Tier 2 Email Weather Alert][7/6/2024]</t>
  </si>
  <si>
    <t>https://issues.amazon.com/issues/V1443242333</t>
  </si>
  <si>
    <t>Severe Weather [Rainfall Minute Reductions Tier 1 Email Weather Alert][7/6/2024]</t>
  </si>
  <si>
    <t>CRC_War_Room</t>
  </si>
  <si>
    <t>CRC_Severe_Weather</t>
  </si>
  <si>
    <t>400384ff-ef0c-4d0f-812a-75fdea049782</t>
  </si>
  <si>
    <t>0c49dbab-4655-4264-ab47-3a0fb543d26b</t>
  </si>
  <si>
    <t>48286f82-48dd-4a51-a010-d00ea56d716b</t>
  </si>
  <si>
    <t>7c6c4a9e-f69d-4160-8dff-c5616f6c528f</t>
  </si>
  <si>
    <t>f5a641be-d396-473d-892c-048f08529354</t>
  </si>
  <si>
    <t>189e7e4a-2df4-4595-9351-2e7ad35fcfcc</t>
  </si>
  <si>
    <t>589de0f1-0b8d-45ad-8f4b-ae8cda31940c</t>
  </si>
  <si>
    <t>438c66f1-5f1f-4717-9e79-fe17ed80403c</t>
  </si>
  <si>
    <t>54a5c69e-e75f-4fb9-bfac-d08778cea52c</t>
  </si>
  <si>
    <t>9f352b15-354a-4b64-8e60-108bc1cda3d0</t>
  </si>
  <si>
    <t>870fd1a3-9eef-4593-8f2c-43105d295293</t>
  </si>
  <si>
    <t>dcd5f962-f036-43be-8e73-49a45a4ce85a</t>
  </si>
  <si>
    <t>9e945bd6-eee2-4ec2-9484-603934c9a709</t>
  </si>
  <si>
    <t>6a6b16dd-f7eb-48d1-b14d-4d13053897ba</t>
  </si>
  <si>
    <t>eae2e7bc-7b0a-488f-a757-dfab49cfa393</t>
  </si>
  <si>
    <t>966e14ff-da99-463e-9e9f-854a4ca0cccf</t>
  </si>
  <si>
    <t>2dc57c49-b257-4e30-8722-5c939b779f3c</t>
  </si>
  <si>
    <t>8c714b28-cf91-4b16-b6db-5e6be51a8f69</t>
  </si>
  <si>
    <t>7e6f5199-6eba-45e8-a1e2-31d702607be7</t>
  </si>
  <si>
    <t>dd49776b-3895-4143-88b9-299879a9bd3f</t>
  </si>
  <si>
    <t>f867cd9c-3b27-4c3b-8934-fb74291ee950</t>
  </si>
  <si>
    <t>fa86237d-fe52-496a-b161-2d0ca1c47317</t>
  </si>
  <si>
    <t>d281de05-e00c-4543-8794-b51e71311b32</t>
  </si>
  <si>
    <t>6d07eeda-1ad3-43c9-9432-31a372844f2b</t>
  </si>
  <si>
    <t>21a31339-07b6-4ed5-b82e-700ec5444797</t>
  </si>
  <si>
    <t>dff88155-3733-4b1d-9b51-9413be2b2254</t>
  </si>
  <si>
    <t>a5db15e6-ce51-48c0-8784-f67c021e2461</t>
  </si>
  <si>
    <t>6ea8e85d-5427-43c2-94e1-ea2a16a5aa6a</t>
  </si>
  <si>
    <t>c92afb11-9437-45bc-9a63-9fe742faa3a6</t>
  </si>
  <si>
    <t>4fc35649-0bba-41b4-b35f-3a167c2f7de0</t>
  </si>
  <si>
    <t>CRC - Severe Weather - QA Audit Dashboard [ 2024 ]</t>
  </si>
  <si>
    <t>CRC QA Miss</t>
  </si>
  <si>
    <t>CRC Severe Weather Audits 08/01/2024</t>
  </si>
  <si>
    <t>CRC Severe Weather Audits 07/31/2024</t>
  </si>
  <si>
    <t>CRC Severe Weather Audits 07/30/2024</t>
  </si>
  <si>
    <t>CRC Severe Weather Audits 07/29/2024</t>
  </si>
  <si>
    <t>CRC Severe Weather Audits 07/25/2024</t>
  </si>
  <si>
    <t>CRC Severe Weather Audits 07/28/2024</t>
  </si>
  <si>
    <t>CRC Severe Weather Audits 07/27/2024</t>
  </si>
  <si>
    <t>CRC Severe Weather Audits 07/26/2024</t>
  </si>
  <si>
    <t>CRC Severe Weather Audits 07/24/2024</t>
  </si>
  <si>
    <t>CRC Severe Weather Audits 07/23/2024</t>
  </si>
  <si>
    <t>CRC Severe Weather Audits 07/22/2024</t>
  </si>
  <si>
    <t>CRC Severe Weather Audits 07/21/2024</t>
  </si>
  <si>
    <t>CRC Severe Weather Audits 07/18/2024</t>
  </si>
  <si>
    <t>CRC Severe Weather Audits 07/20/2024</t>
  </si>
  <si>
    <t>CRC Severe Weather Audits 07/19/2024</t>
  </si>
  <si>
    <t>CRC Severe Weather Audits 07/17/2024</t>
  </si>
  <si>
    <t>CRC Severe Weather Audits 07/16/2024</t>
  </si>
  <si>
    <t>CRC Severe Weather Audits 07/15/2024</t>
  </si>
  <si>
    <t>CRC Severe Weather Audits 07/14/2024</t>
  </si>
  <si>
    <t>CRC Severe Weather Audits 07/13/2024</t>
  </si>
  <si>
    <t>CRC Severe Weather Audits 07/12/2024</t>
  </si>
  <si>
    <t>CRC Severe Weather Audits 07/09/2024</t>
  </si>
  <si>
    <t>CRC Severe Weather Audits 07/11/2024</t>
  </si>
  <si>
    <t>CRC Severe Weather Audits 07/10/2024</t>
  </si>
  <si>
    <t>CRC Severe Weather Audits 07/08/2024</t>
  </si>
  <si>
    <t>CRC Severe Weather Audits 07/07/2024</t>
  </si>
  <si>
    <t>CRC Severe Weather Audits 07/05/2024</t>
  </si>
  <si>
    <t>CRC Severe Weather Audits 07/06/2024</t>
  </si>
  <si>
    <t>https://issues.amazon.com/issues/V1472547631</t>
  </si>
  <si>
    <t>Mission Control [Text Em All] [08/01/2024]</t>
  </si>
  <si>
    <t>CRC - LSE / War Room  - QA Audit Dashboard [ 2024 ],</t>
  </si>
  <si>
    <t>https://issues.amazon.com/issues/V1472547569</t>
  </si>
  <si>
    <t>LSE War Room [Text Em All] [08/01/2024]</t>
  </si>
  <si>
    <t>https://issues.amazon.com/issues/V1472549586</t>
  </si>
  <si>
    <t>Mission Control [AMZL DA FlexComm] [08/01/2024]</t>
  </si>
  <si>
    <t>https://issues.amazon.com/issues/V1472549475</t>
  </si>
  <si>
    <t>LSE War Room [AMZL DA FlexComm] [08/01/2024]</t>
  </si>
  <si>
    <t>https://issues.amazon.com/issues/V1472549354</t>
  </si>
  <si>
    <t>https://issues.amazon.com/issues/V1472549240</t>
  </si>
  <si>
    <t>https://issues.amazon.com/issues/V1472549118</t>
  </si>
  <si>
    <t>CRC - LSE / War Room  - QA Audit Dashboard [ 2024 ],CRC QA Miss,</t>
  </si>
  <si>
    <t>QUIP: Snip was not added,</t>
  </si>
  <si>
    <t>https://issues.amazon.com/issues/V1472548953</t>
  </si>
  <si>
    <t>https://issues.amazon.com/issues/V1472548642</t>
  </si>
  <si>
    <t>https://issues.amazon.com/issues/V1472548788</t>
  </si>
  <si>
    <t>https://issues.amazon.com/issues/V1472548529</t>
  </si>
  <si>
    <t>https://issues.amazon.com/issues/V1472548499</t>
  </si>
  <si>
    <t>Mission Control [AMFlex DPs FlexComm] [08/01/2024]</t>
  </si>
  <si>
    <t>https://issues.amazon.com/issues/V1472548396</t>
  </si>
  <si>
    <t>https://issues.amazon.com/issues/V1472548381</t>
  </si>
  <si>
    <t>https://issues.amazon.com/issues/V1472548327</t>
  </si>
  <si>
    <t>Total Count Number of DP Transporter IDs does not match,</t>
  </si>
  <si>
    <t>https://issues.amazon.com/issues/V1472548242</t>
  </si>
  <si>
    <t>LSE War Room [AMFlex DPs FlexComm] [08/01/2024]</t>
  </si>
  <si>
    <t>https://issues.amazon.com/issues/V1472548243</t>
  </si>
  <si>
    <t>https://issues.amazon.com/issues/V1472548152</t>
  </si>
  <si>
    <t>https://issues.amazon.com/issues/V1472548077</t>
  </si>
  <si>
    <t>https://issues.amazon.com/issues/V1472548090</t>
  </si>
  <si>
    <t>https://issues.amazon.com/issues/V1472548078</t>
  </si>
  <si>
    <t>Mission Control [Email] [8/1/2024]</t>
  </si>
  <si>
    <t>https://issues.amazon.com/issues/V1472547993</t>
  </si>
  <si>
    <t>https://issues.amazon.com/issues/V1472548007</t>
  </si>
  <si>
    <t>https://issues.amazon.com/issues/V1472547883</t>
  </si>
  <si>
    <t>https://issues.amazon.com/issues/V1472547879</t>
  </si>
  <si>
    <t>https://issues.amazon.com/issues/V1472547882</t>
  </si>
  <si>
    <t>https://issues.amazon.com/issues/V1472547874</t>
  </si>
  <si>
    <t>https://issues.amazon.com/issues/V1472547766</t>
  </si>
  <si>
    <t>CRC - LSE / War Room  - QA Audit Dashboard [ 2024 ],Validated,</t>
  </si>
  <si>
    <t>Total Count Number of DA Transporter IDs does not match,</t>
  </si>
  <si>
    <t>https://issues.amazon.com/issues/V1472547846</t>
  </si>
  <si>
    <t>https://issues.amazon.com/issues/V1472547811</t>
  </si>
  <si>
    <t>https://issues.amazon.com/issues/V1472547708</t>
  </si>
  <si>
    <t>https://issues.amazon.com/issues/V1472547757</t>
  </si>
  <si>
    <t>https://issues.amazon.com/issues/V1472549720</t>
  </si>
  <si>
    <t>QUIP: Snip was not added,QUIP: CSV was not added,</t>
  </si>
  <si>
    <t>https://issues.amazon.com/issues/V1472547743</t>
  </si>
  <si>
    <t>https://issues.amazon.com/issues/V1472547721</t>
  </si>
  <si>
    <t>https://issues.amazon.com/issues/V1472547715</t>
  </si>
  <si>
    <t>https://issues.amazon.com/issues/V1472547623</t>
  </si>
  <si>
    <t>https://issues.amazon.com/issues/V1472547706</t>
  </si>
  <si>
    <t>https://issues.amazon.com/issues/V1472547700</t>
  </si>
  <si>
    <t>https://issues.amazon.com/issues/V1472547691</t>
  </si>
  <si>
    <t>LSE War Room [Email] [8/1/2024]</t>
  </si>
  <si>
    <t>https://issues.amazon.com/issues/V1472547685</t>
  </si>
  <si>
    <t>https://issues.amazon.com/issues/V1472547684</t>
  </si>
  <si>
    <t>https://issues.amazon.com/issues/V1472547678</t>
  </si>
  <si>
    <t>https://issues.amazon.com/issues/V1472547671</t>
  </si>
  <si>
    <t>https://issues.amazon.com/issues/V1472547659</t>
  </si>
  <si>
    <t>https://issues.amazon.com/issues/V1472547668</t>
  </si>
  <si>
    <t>https://issues.amazon.com/issues/V1472547655</t>
  </si>
  <si>
    <t>https://issues.amazon.com/issues/V1472547641</t>
  </si>
  <si>
    <t>https://issues.amazon.com/issues/V1472547607</t>
  </si>
  <si>
    <t>Text was not sent,</t>
  </si>
  <si>
    <t>https://issues.amazon.com/issues/V1472547597</t>
  </si>
  <si>
    <t>https://issues.amazon.com/issues/V1472547613</t>
  </si>
  <si>
    <t>https://issues.amazon.com/issues/V1472547590</t>
  </si>
  <si>
    <t>https://issues.amazon.com/issues/V1472547577</t>
  </si>
  <si>
    <t>https://issues.amazon.com/issues/V1471270039</t>
  </si>
  <si>
    <t>Mission Control [AMFlex DPs FlexComm] [07/31/2024]</t>
  </si>
  <si>
    <t>CRC LSE/War Room Audits 08/01/2024,</t>
  </si>
  <si>
    <t>https://issues.amazon.com/issues/V1471269955</t>
  </si>
  <si>
    <t>LSE War Room [AMFlex DPs FlexComm] [07/31/2024]</t>
  </si>
  <si>
    <t>CRC LSE/War Room Audits 08/01/2024,CRC QA Miss,</t>
  </si>
  <si>
    <t>https://issues.amazon.com/issues/V1471270907</t>
  </si>
  <si>
    <t>LSE War Room [AMZL DA FlexComm] [07/31/2024]</t>
  </si>
  <si>
    <t>https://issues.amazon.com/issues/V1471271130</t>
  </si>
  <si>
    <t>Mission Control [AMZL DA FlexComm] [07/31/2024]</t>
  </si>
  <si>
    <t>https://issues.amazon.com/issues/V1471270676</t>
  </si>
  <si>
    <t>https://issues.amazon.com/issues/V1471270663</t>
  </si>
  <si>
    <t>https://issues.amazon.com/issues/V1471270557</t>
  </si>
  <si>
    <t>https://issues.amazon.com/issues/V1471270433</t>
  </si>
  <si>
    <t>https://issues.amazon.com/issues/V1471270409</t>
  </si>
  <si>
    <t>https://issues.amazon.com/issues/V1471270308</t>
  </si>
  <si>
    <t>https://issues.amazon.com/issues/V1471270118</t>
  </si>
  <si>
    <t>https://issues.amazon.com/issues/V1471270010</t>
  </si>
  <si>
    <t>https://issues.amazon.com/issues/V1471269950</t>
  </si>
  <si>
    <t>https://issues.amazon.com/issues/V1471269946</t>
  </si>
  <si>
    <t>https://issues.amazon.com/issues/V1471269896</t>
  </si>
  <si>
    <t>https://issues.amazon.com/issues/V1471269888</t>
  </si>
  <si>
    <t>https://issues.amazon.com/issues/V1471269882</t>
  </si>
  <si>
    <t>https://issues.amazon.com/issues/V1471269854</t>
  </si>
  <si>
    <t>https://issues.amazon.com/issues/V1471269862</t>
  </si>
  <si>
    <t>https://issues.amazon.com/issues/V1471269837</t>
  </si>
  <si>
    <t>https://issues.amazon.com/issues/V1471269843</t>
  </si>
  <si>
    <t>https://issues.amazon.com/issues/V1471269782</t>
  </si>
  <si>
    <t>Mission Control [Email] [7/31/2024]</t>
  </si>
  <si>
    <t>Email was not sent,</t>
  </si>
  <si>
    <t>https://issues.amazon.com/issues/V1471269771</t>
  </si>
  <si>
    <t>https://issues.amazon.com/issues/V1471269749</t>
  </si>
  <si>
    <t>https://issues.amazon.com/issues/V1471269765</t>
  </si>
  <si>
    <t>https://issues.amazon.com/issues/V1471269759</t>
  </si>
  <si>
    <t>https://issues.amazon.com/issues/V1471269714</t>
  </si>
  <si>
    <t>LSE War Room [Email] [7/31/2024]</t>
  </si>
  <si>
    <t>https://issues.amazon.com/issues/V1471269745</t>
  </si>
  <si>
    <t>https://issues.amazon.com/issues/V1471269733</t>
  </si>
  <si>
    <t>https://issues.amazon.com/issues/V1471269720</t>
  </si>
  <si>
    <t>https://issues.amazon.com/issues/V1471269697</t>
  </si>
  <si>
    <t>https://issues.amazon.com/issues/V1471269702</t>
  </si>
  <si>
    <t>https://issues.amazon.com/issues/V1471269619</t>
  </si>
  <si>
    <t>Mission Control [Text Em All] [07/31/2024]</t>
  </si>
  <si>
    <t>https://issues.amazon.com/issues/V1471269598</t>
  </si>
  <si>
    <t>https://issues.amazon.com/issues/V1471269587</t>
  </si>
  <si>
    <t>https://issues.amazon.com/issues/V1471269577</t>
  </si>
  <si>
    <t>https://issues.amazon.com/issues/V1471269570</t>
  </si>
  <si>
    <t>https://issues.amazon.com/issues/V1471269538</t>
  </si>
  <si>
    <t>LSE War Room [Text Em All] [07/31/2024]</t>
  </si>
  <si>
    <t>https://issues.amazon.com/issues/V1471269564</t>
  </si>
  <si>
    <t>https://issues.amazon.com/issues/V1471269558</t>
  </si>
  <si>
    <t>https://issues.amazon.com/issues/V1471269551</t>
  </si>
  <si>
    <t>https://issues.amazon.com/issues/V1471269544</t>
  </si>
  <si>
    <t>https://issues.amazon.com/issues/V1471269531</t>
  </si>
  <si>
    <t>https://issues.amazon.com/issues/V1470110645</t>
  </si>
  <si>
    <t>LSE War Room [AMZL DA FlexComm] [07/30/2024]</t>
  </si>
  <si>
    <t>CRC LSE/War Room Audits 07/31/2024,CRC QA Miss,Validated,</t>
  </si>
  <si>
    <t>Total Count Number of DA Transporter IDs does not match,Other (Provide Details in Audit Notes),</t>
  </si>
  <si>
    <t>https://issues.amazon.com/issues/V1460229364</t>
  </si>
  <si>
    <t>Mission Control [Email] [7/21/2024]</t>
  </si>
  <si>
    <t>CRC LSE/War Room Audits 07/22/2024,Excluded - SW/Process Discrepancy,</t>
  </si>
  <si>
    <t>https://issues.amazon.com/issues/V1460229233</t>
  </si>
  <si>
    <t>https://issues.amazon.com/issues/V1470111448</t>
  </si>
  <si>
    <t>Mission Control [AMFlex DPs FlexComm] [07/30/2024]</t>
  </si>
  <si>
    <t>CRC LSE/War Room Audits 07/31/2024,</t>
  </si>
  <si>
    <t>https://issues.amazon.com/issues/V1470110659</t>
  </si>
  <si>
    <t>https://issues.amazon.com/issues/V1470110707</t>
  </si>
  <si>
    <t>Mission Control [AMZL DA FlexComm] [07/30/2024]</t>
  </si>
  <si>
    <t>https://issues.amazon.com/issues/V1470110638</t>
  </si>
  <si>
    <t>https://issues.amazon.com/issues/V1470109907</t>
  </si>
  <si>
    <t>LSE War Room [Text Em All] [07/30/2024]</t>
  </si>
  <si>
    <t>https://issues.amazon.com/issues/V1470111309</t>
  </si>
  <si>
    <t>LSE War Room [AMFlex DPs FlexComm] [07/30/2024]</t>
  </si>
  <si>
    <t>https://issues.amazon.com/issues/V1470111444</t>
  </si>
  <si>
    <t>https://issues.amazon.com/issues/V1470111366</t>
  </si>
  <si>
    <t>https://issues.amazon.com/issues/V1470111356</t>
  </si>
  <si>
    <t>https://issues.amazon.com/issues/V1470110933</t>
  </si>
  <si>
    <t>https://issues.amazon.com/issues/V1470111341</t>
  </si>
  <si>
    <t>https://issues.amazon.com/issues/V1470111332</t>
  </si>
  <si>
    <t>https://issues.amazon.com/issues/V1470111327</t>
  </si>
  <si>
    <t>https://issues.amazon.com/issues/V1470111318</t>
  </si>
  <si>
    <t>https://issues.amazon.com/issues/V1470111300</t>
  </si>
  <si>
    <t>https://issues.amazon.com/issues/V1470111067</t>
  </si>
  <si>
    <t>https://issues.amazon.com/issues/V1470111020</t>
  </si>
  <si>
    <t>https://issues.amazon.com/issues/V1470110970</t>
  </si>
  <si>
    <t>https://issues.amazon.com/issues/V1470110898</t>
  </si>
  <si>
    <t>https://issues.amazon.com/issues/V1470110872</t>
  </si>
  <si>
    <t>https://issues.amazon.com/issues/V1470110835</t>
  </si>
  <si>
    <t>https://issues.amazon.com/issues/V1470110794</t>
  </si>
  <si>
    <t>https://issues.amazon.com/issues/V1470110756</t>
  </si>
  <si>
    <t>https://issues.amazon.com/issues/V1470110672</t>
  </si>
  <si>
    <t>https://issues.amazon.com/issues/V1470110630</t>
  </si>
  <si>
    <t>https://issues.amazon.com/issues/V1470110623</t>
  </si>
  <si>
    <t>https://issues.amazon.com/issues/V1470110611</t>
  </si>
  <si>
    <t>https://issues.amazon.com/issues/V1470110600</t>
  </si>
  <si>
    <t>https://issues.amazon.com/issues/V1470110604</t>
  </si>
  <si>
    <t>https://issues.amazon.com/issues/V1470110586</t>
  </si>
  <si>
    <t>https://issues.amazon.com/issues/V1470110369</t>
  </si>
  <si>
    <t>Mission Control [Email] [7/30/2024]</t>
  </si>
  <si>
    <t>https://issues.amazon.com/issues/V1470110363</t>
  </si>
  <si>
    <t>https://issues.amazon.com/issues/V1470110353</t>
  </si>
  <si>
    <t>https://issues.amazon.com/issues/V1470110354</t>
  </si>
  <si>
    <t>https://issues.amazon.com/issues/V1470110337</t>
  </si>
  <si>
    <t>https://issues.amazon.com/issues/V1470110329</t>
  </si>
  <si>
    <t>https://issues.amazon.com/issues/V1470110322</t>
  </si>
  <si>
    <t>https://issues.amazon.com/issues/V1470110314</t>
  </si>
  <si>
    <t>https://issues.amazon.com/issues/V1470110297</t>
  </si>
  <si>
    <t>https://issues.amazon.com/issues/V1470110286</t>
  </si>
  <si>
    <t>LSE War Room [Email] [7/30/2024]</t>
  </si>
  <si>
    <t>https://issues.amazon.com/issues/V1470110266</t>
  </si>
  <si>
    <t>https://issues.amazon.com/issues/V1470110262</t>
  </si>
  <si>
    <t>https://issues.amazon.com/issues/V1470110219</t>
  </si>
  <si>
    <t>https://issues.amazon.com/issues/V1470110246</t>
  </si>
  <si>
    <t>https://issues.amazon.com/issues/V1470110216</t>
  </si>
  <si>
    <t>https://issues.amazon.com/issues/V1470110235</t>
  </si>
  <si>
    <t>https://issues.amazon.com/issues/V1470110207</t>
  </si>
  <si>
    <t>https://issues.amazon.com/issues/V1470109999</t>
  </si>
  <si>
    <t>Mission Control [Text Em All] [07/30/2024]</t>
  </si>
  <si>
    <t>https://issues.amazon.com/issues/V1470110200</t>
  </si>
  <si>
    <t>https://issues.amazon.com/issues/V1470109985</t>
  </si>
  <si>
    <t>https://issues.amazon.com/issues/V1470109972</t>
  </si>
  <si>
    <t>https://issues.amazon.com/issues/V1470109979</t>
  </si>
  <si>
    <t>https://issues.amazon.com/issues/V1470109962</t>
  </si>
  <si>
    <t>https://issues.amazon.com/issues/V1470109956</t>
  </si>
  <si>
    <t>https://issues.amazon.com/issues/V1470109949</t>
  </si>
  <si>
    <t>https://issues.amazon.com/issues/V1470109941</t>
  </si>
  <si>
    <t>https://issues.amazon.com/issues/V1470109929</t>
  </si>
  <si>
    <t>https://issues.amazon.com/issues/V1470109920</t>
  </si>
  <si>
    <t>https://issues.amazon.com/issues/V1470109913</t>
  </si>
  <si>
    <t>https://issues.amazon.com/issues/V1470109885</t>
  </si>
  <si>
    <t>https://issues.amazon.com/issues/V1470109898</t>
  </si>
  <si>
    <t>https://issues.amazon.com/issues/V1470109882</t>
  </si>
  <si>
    <t>https://issues.amazon.com/issues/V1470109870</t>
  </si>
  <si>
    <t>https://issues.amazon.com/issues/V1470109855</t>
  </si>
  <si>
    <t>https://issues.amazon.com/issues/V1468783579</t>
  </si>
  <si>
    <t>LSE War Room [AMFlex DPs FlexComm] [07/29/2024]</t>
  </si>
  <si>
    <t>CRC LSE/War Room Audits 07/30/2024,</t>
  </si>
  <si>
    <t>https://issues.amazon.com/issues/V1468782735</t>
  </si>
  <si>
    <t>Mission Control [Text Em All] [07/29/2024]</t>
  </si>
  <si>
    <t>https://issues.amazon.com/issues/V1468782655</t>
  </si>
  <si>
    <t>LSE War Room [Text Em All] [07/29/2024]</t>
  </si>
  <si>
    <t>https://issues.amazon.com/issues/V1468783660</t>
  </si>
  <si>
    <t>Mission Control [AMFlex DPs FlexComm] [07/29/2024]</t>
  </si>
  <si>
    <t>https://issues.amazon.com/issues/V1468783648</t>
  </si>
  <si>
    <t>https://issues.amazon.com/issues/V1468783637</t>
  </si>
  <si>
    <t>https://issues.amazon.com/issues/V1468783631</t>
  </si>
  <si>
    <t>https://issues.amazon.com/issues/V1468783626</t>
  </si>
  <si>
    <t>https://issues.amazon.com/issues/V1468783613</t>
  </si>
  <si>
    <t>https://issues.amazon.com/issues/V1468783600</t>
  </si>
  <si>
    <t>https://issues.amazon.com/issues/V1468783589</t>
  </si>
  <si>
    <t>https://issues.amazon.com/issues/V1468783574</t>
  </si>
  <si>
    <t>https://issues.amazon.com/issues/V1468783358</t>
  </si>
  <si>
    <t>Mission Control [AMZL DA FlexComm] [07/29/2024]</t>
  </si>
  <si>
    <t>https://issues.amazon.com/issues/V1468783362</t>
  </si>
  <si>
    <t>https://issues.amazon.com/issues/V1468783340</t>
  </si>
  <si>
    <t>https://issues.amazon.com/issues/V1468783329</t>
  </si>
  <si>
    <t>https://issues.amazon.com/issues/V1468783315</t>
  </si>
  <si>
    <t>https://issues.amazon.com/issues/V1468783293</t>
  </si>
  <si>
    <t>https://issues.amazon.com/issues/V1468783304</t>
  </si>
  <si>
    <t>https://issues.amazon.com/issues/V1468783281</t>
  </si>
  <si>
    <t>LSE War Room [AMZL DA FlexComm] [07/29/2024]</t>
  </si>
  <si>
    <t>https://issues.amazon.com/issues/V1468783268</t>
  </si>
  <si>
    <t>https://issues.amazon.com/issues/V1468783260</t>
  </si>
  <si>
    <t>https://issues.amazon.com/issues/V1468783082</t>
  </si>
  <si>
    <t>Mission Control [Email] [7/29/2024]</t>
  </si>
  <si>
    <t>https://issues.amazon.com/issues/V1468783253</t>
  </si>
  <si>
    <t>https://issues.amazon.com/issues/V1468783242</t>
  </si>
  <si>
    <t>https://issues.amazon.com/issues/V1468783232</t>
  </si>
  <si>
    <t>https://issues.amazon.com/issues/V1468783072</t>
  </si>
  <si>
    <t>https://issues.amazon.com/issues/V1468783060</t>
  </si>
  <si>
    <t>https://issues.amazon.com/issues/V1468783051</t>
  </si>
  <si>
    <t>https://issues.amazon.com/issues/V1468783047</t>
  </si>
  <si>
    <t>https://issues.amazon.com/issues/V1462744851</t>
  </si>
  <si>
    <t>LSE War Room [AMZL DA FlexComm] [07/23/2024]</t>
  </si>
  <si>
    <t>CRC LSE/War Room Audits 07/24/2024,Excluded,Validated,</t>
  </si>
  <si>
    <t>https://issues.amazon.com/issues/V1468783040</t>
  </si>
  <si>
    <t>https://issues.amazon.com/issues/V1468783028</t>
  </si>
  <si>
    <t>LSE War Room [Email] [7/29/2024]</t>
  </si>
  <si>
    <t>https://issues.amazon.com/issues/V1468783037</t>
  </si>
  <si>
    <t>https://issues.amazon.com/issues/V1468783009</t>
  </si>
  <si>
    <t>https://issues.amazon.com/issues/V1468783005</t>
  </si>
  <si>
    <t>https://issues.amazon.com/issues/V1468782990</t>
  </si>
  <si>
    <t>https://issues.amazon.com/issues/V1468782998</t>
  </si>
  <si>
    <t>https://issues.amazon.com/issues/V1468782986</t>
  </si>
  <si>
    <t>https://issues.amazon.com/issues/V1468782700</t>
  </si>
  <si>
    <t>https://issues.amazon.com/issues/V1468782695</t>
  </si>
  <si>
    <t>https://issues.amazon.com/issues/V1468782728</t>
  </si>
  <si>
    <t>https://issues.amazon.com/issues/V1468782710</t>
  </si>
  <si>
    <t>https://issues.amazon.com/issues/V1468782687</t>
  </si>
  <si>
    <t>https://issues.amazon.com/issues/V1468782681</t>
  </si>
  <si>
    <t>https://issues.amazon.com/issues/V1468782669</t>
  </si>
  <si>
    <t>https://issues.amazon.com/issues/V1468782657</t>
  </si>
  <si>
    <t>https://issues.amazon.com/issues/V1467665200</t>
  </si>
  <si>
    <t>LSE War Room [AMZL DA FlexComm] [07/28/2024]</t>
  </si>
  <si>
    <t>CRC LSE/War Room Audits 07/29/2024,</t>
  </si>
  <si>
    <t>https://issues.amazon.com/issues/V1467664887</t>
  </si>
  <si>
    <t>LSE War Room [Email] [7/28/2024]</t>
  </si>
  <si>
    <t>https://issues.amazon.com/issues/V1467664989</t>
  </si>
  <si>
    <t>Mission Control [Email] [7/28/2024]</t>
  </si>
  <si>
    <t>https://issues.amazon.com/issues/V1467665592</t>
  </si>
  <si>
    <t>Mission Control [AMFlex DPs FlexComm] [07/28/2024]</t>
  </si>
  <si>
    <t>https://issues.amazon.com/issues/V1467665574</t>
  </si>
  <si>
    <t>https://issues.amazon.com/issues/V1467665511</t>
  </si>
  <si>
    <t>LSE War Room [AMFlex DPs FlexComm] [07/28/2024]</t>
  </si>
  <si>
    <t>https://issues.amazon.com/issues/V1467665532</t>
  </si>
  <si>
    <t>https://issues.amazon.com/issues/V1467665561</t>
  </si>
  <si>
    <t>https://issues.amazon.com/issues/V1467665518</t>
  </si>
  <si>
    <t>https://issues.amazon.com/issues/V1467665552</t>
  </si>
  <si>
    <t>https://issues.amazon.com/issues/V1467665542</t>
  </si>
  <si>
    <t>https://issues.amazon.com/issues/V1467665258</t>
  </si>
  <si>
    <t>Mission Control [AMZL DA FlexComm] [07/28/2024]</t>
  </si>
  <si>
    <t>https://issues.amazon.com/issues/V1467665495</t>
  </si>
  <si>
    <t>https://issues.amazon.com/issues/V1467665484</t>
  </si>
  <si>
    <t>https://issues.amazon.com/issues/V1467665273</t>
  </si>
  <si>
    <t>https://issues.amazon.com/issues/V1467665277</t>
  </si>
  <si>
    <t>https://issues.amazon.com/issues/V1467665264</t>
  </si>
  <si>
    <t>https://issues.amazon.com/issues/V1467665247</t>
  </si>
  <si>
    <t>https://issues.amazon.com/issues/V1467665236</t>
  </si>
  <si>
    <t>https://issues.amazon.com/issues/V1467665243</t>
  </si>
  <si>
    <t>https://issues.amazon.com/issues/V1467665225</t>
  </si>
  <si>
    <t>https://issues.amazon.com/issues/V1467665217</t>
  </si>
  <si>
    <t>https://issues.amazon.com/issues/V1467665208</t>
  </si>
  <si>
    <t>https://issues.amazon.com/issues/V1467665175</t>
  </si>
  <si>
    <t>https://issues.amazon.com/issues/V1467665190</t>
  </si>
  <si>
    <t>https://issues.amazon.com/issues/V1467665183</t>
  </si>
  <si>
    <t>https://issues.amazon.com/issues/V1467664922</t>
  </si>
  <si>
    <t>https://issues.amazon.com/issues/V1467664981</t>
  </si>
  <si>
    <t>https://issues.amazon.com/issues/V1467664942</t>
  </si>
  <si>
    <t>https://issues.amazon.com/issues/V1467664995</t>
  </si>
  <si>
    <t>https://issues.amazon.com/issues/V1467665001</t>
  </si>
  <si>
    <t>https://issues.amazon.com/issues/V1467664971</t>
  </si>
  <si>
    <t>https://issues.amazon.com/issues/V1467664964</t>
  </si>
  <si>
    <t>https://issues.amazon.com/issues/V1467664901</t>
  </si>
  <si>
    <t>https://issues.amazon.com/issues/V1467664954</t>
  </si>
  <si>
    <t>https://issues.amazon.com/issues/V1467664932</t>
  </si>
  <si>
    <t>https://issues.amazon.com/issues/V1467664906</t>
  </si>
  <si>
    <t>https://issues.amazon.com/issues/V1467664714</t>
  </si>
  <si>
    <t>Mission Control [Text Em All] [07/28/2024]</t>
  </si>
  <si>
    <t>https://issues.amazon.com/issues/V1467664893</t>
  </si>
  <si>
    <t>https://issues.amazon.com/issues/V1467664706</t>
  </si>
  <si>
    <t>https://issues.amazon.com/issues/V1467664725</t>
  </si>
  <si>
    <t>https://issues.amazon.com/issues/V1467664712</t>
  </si>
  <si>
    <t>https://issues.amazon.com/issues/V1467664695</t>
  </si>
  <si>
    <t>https://issues.amazon.com/issues/V1467664701</t>
  </si>
  <si>
    <t>https://issues.amazon.com/issues/V1467664687</t>
  </si>
  <si>
    <t>https://issues.amazon.com/issues/V1467664690</t>
  </si>
  <si>
    <t>https://issues.amazon.com/issues/V1467664656</t>
  </si>
  <si>
    <t>LSE War Room [Text Em All] [07/28/2024]</t>
  </si>
  <si>
    <t>https://issues.amazon.com/issues/V1467664683</t>
  </si>
  <si>
    <t>https://issues.amazon.com/issues/V1467664617</t>
  </si>
  <si>
    <t>https://issues.amazon.com/issues/V1467664650</t>
  </si>
  <si>
    <t>https://issues.amazon.com/issues/V1467664638</t>
  </si>
  <si>
    <t>https://issues.amazon.com/issues/V1467664630</t>
  </si>
  <si>
    <t>https://issues.amazon.com/issues/V1463766782</t>
  </si>
  <si>
    <t>LSE War Room [Text Em All] [07/24/2024]</t>
  </si>
  <si>
    <t>CRC LSE/War Room Audits 07/25/2024,CRC QA Miss,Validated,</t>
  </si>
  <si>
    <t>https://issues.amazon.com/issues/V1463766921</t>
  </si>
  <si>
    <t>Mission Control [Text Em All] [07/24/2024]</t>
  </si>
  <si>
    <t>https://issues.amazon.com/issues/V1463767029</t>
  </si>
  <si>
    <t>https://issues.amazon.com/issues/V1465989781</t>
  </si>
  <si>
    <t>Mission Control [AMFlex DPs FlexComm] [07/26/2024]</t>
  </si>
  <si>
    <t>CRC LSE/War Room Audits 07/27/2024,CRC QA Miss,Validated,</t>
  </si>
  <si>
    <t>https://issues.amazon.com/issues/V1466693220</t>
  </si>
  <si>
    <t>Mission Control [Text Em All] [07/27/2024]</t>
  </si>
  <si>
    <t>CRC LSE/War Room Audits 07/28/2024,CRC QA Miss,Excluded - SW/Process Discrepancy,Validated,</t>
  </si>
  <si>
    <t>Other (Provide Details in Audit Notes),</t>
  </si>
  <si>
    <t>https://issues.amazon.com/issues/V1466693496</t>
  </si>
  <si>
    <t>LSE War Room [AMZL DA FlexComm] [07/27/2024]</t>
  </si>
  <si>
    <t>CRC LSE/War Room Audits 07/28/2024,CRC QA Miss,Validated,</t>
  </si>
  <si>
    <t>https://issues.amazon.com/issues/V1464967251</t>
  </si>
  <si>
    <t>LSE War Room [AMZL DA FlexComm] [07/25/2024]</t>
  </si>
  <si>
    <t>CRC LSE/War Room Audits 07/26/2024,CRC QA Miss,</t>
  </si>
  <si>
    <t>https://issues.amazon.com/issues/V1466693217</t>
  </si>
  <si>
    <t>CRC LSE/War Room Audits 07/28/2024,</t>
  </si>
  <si>
    <t>https://issues.amazon.com/issues/V1466693662</t>
  </si>
  <si>
    <t>LSE War Room [AMFlex DPs FlexComm] [07/27/2024]</t>
  </si>
  <si>
    <t>https://issues.amazon.com/issues/V1466693701</t>
  </si>
  <si>
    <t>Mission Control [AMFlex DPs FlexComm] [07/27/2024]</t>
  </si>
  <si>
    <t>https://issues.amazon.com/issues/V1466693697</t>
  </si>
  <si>
    <t>https://issues.amazon.com/issues/V1466693668</t>
  </si>
  <si>
    <t>https://issues.amazon.com/issues/V1466693684</t>
  </si>
  <si>
    <t>https://issues.amazon.com/issues/V1466693678</t>
  </si>
  <si>
    <t>https://issues.amazon.com/issues/V1466693655</t>
  </si>
  <si>
    <t>https://issues.amazon.com/issues/V1466693524</t>
  </si>
  <si>
    <t>Mission Control [AMZL DA FlexComm] [07/27/2024]</t>
  </si>
  <si>
    <t>https://issues.amazon.com/issues/V1466693530</t>
  </si>
  <si>
    <t>https://issues.amazon.com/issues/V1466693519</t>
  </si>
  <si>
    <t>https://issues.amazon.com/issues/V1466693509</t>
  </si>
  <si>
    <t>https://issues.amazon.com/issues/V1466693512</t>
  </si>
  <si>
    <t>https://issues.amazon.com/issues/V1466693501</t>
  </si>
  <si>
    <t>https://issues.amazon.com/issues/V1466693489</t>
  </si>
  <si>
    <t>https://issues.amazon.com/issues/V1466693480</t>
  </si>
  <si>
    <t>https://issues.amazon.com/issues/V1466693369</t>
  </si>
  <si>
    <t>Mission Control [Email] [7/27/2024]</t>
  </si>
  <si>
    <t>https://issues.amazon.com/issues/V1466693361</t>
  </si>
  <si>
    <t>https://issues.amazon.com/issues/V1466693357</t>
  </si>
  <si>
    <t>https://issues.amazon.com/issues/V1466693351</t>
  </si>
  <si>
    <t>https://issues.amazon.com/issues/V1466693337</t>
  </si>
  <si>
    <t>LSE War Room [Email] [7/27/2024]</t>
  </si>
  <si>
    <t>https://issues.amazon.com/issues/V1466693345</t>
  </si>
  <si>
    <t>https://issues.amazon.com/issues/V1466693326</t>
  </si>
  <si>
    <t>https://issues.amazon.com/issues/V1466693331</t>
  </si>
  <si>
    <t>https://issues.amazon.com/issues/V1466693321</t>
  </si>
  <si>
    <t>https://issues.amazon.com/issues/V1466693224</t>
  </si>
  <si>
    <t>https://issues.amazon.com/issues/V1466693229</t>
  </si>
  <si>
    <t>https://issues.amazon.com/issues/V1466693212</t>
  </si>
  <si>
    <t>LSE War Room [Text Em All] [07/27/2024]</t>
  </si>
  <si>
    <t>https://issues.amazon.com/issues/V1466693204</t>
  </si>
  <si>
    <t>https://issues.amazon.com/issues/V1466693207</t>
  </si>
  <si>
    <t>https://issues.amazon.com/issues/V1466693193</t>
  </si>
  <si>
    <t>https://issues.amazon.com/issues/V1466693199</t>
  </si>
  <si>
    <t>https://issues.amazon.com/issues/V1465989796</t>
  </si>
  <si>
    <t>CRC LSE/War Room Audits 07/27/2024,</t>
  </si>
  <si>
    <t>https://issues.amazon.com/issues/V1465989803</t>
  </si>
  <si>
    <t>https://issues.amazon.com/issues/V1465989788</t>
  </si>
  <si>
    <t>https://issues.amazon.com/issues/V1465989778</t>
  </si>
  <si>
    <t>https://issues.amazon.com/issues/V1465989771</t>
  </si>
  <si>
    <t>LSE War Room [AMFlex DPs FlexComm] [07/26/2024]</t>
  </si>
  <si>
    <t>https://issues.amazon.com/issues/V1465989712</t>
  </si>
  <si>
    <t>Mission Control [AMZL DA FlexComm] [07/26/2024]</t>
  </si>
  <si>
    <t>https://issues.amazon.com/issues/V1465989704</t>
  </si>
  <si>
    <t>https://issues.amazon.com/issues/V1465989715</t>
  </si>
  <si>
    <t>https://issues.amazon.com/issues/V1465989693</t>
  </si>
  <si>
    <t>https://issues.amazon.com/issues/V1465989698</t>
  </si>
  <si>
    <t>https://issues.amazon.com/issues/V1465989682</t>
  </si>
  <si>
    <t>LSE War Room [AMZL DA FlexComm] [07/26/2024]</t>
  </si>
  <si>
    <t>https://issues.amazon.com/issues/V1465989688</t>
  </si>
  <si>
    <t>https://issues.amazon.com/issues/V1465989685</t>
  </si>
  <si>
    <t>https://issues.amazon.com/issues/V1465989632</t>
  </si>
  <si>
    <t>Mission Control [Email] [7/26/2024]</t>
  </si>
  <si>
    <t>https://issues.amazon.com/issues/V1465989641</t>
  </si>
  <si>
    <t>https://issues.amazon.com/issues/V1465989630</t>
  </si>
  <si>
    <t>https://issues.amazon.com/issues/V1465989620</t>
  </si>
  <si>
    <t>https://issues.amazon.com/issues/V1465989627</t>
  </si>
  <si>
    <t>https://issues.amazon.com/issues/V1465989502</t>
  </si>
  <si>
    <t>Mission Control [Text Em All] [07/26/2024]</t>
  </si>
  <si>
    <t>https://issues.amazon.com/issues/V1465989616</t>
  </si>
  <si>
    <t>https://issues.amazon.com/issues/V1465989610</t>
  </si>
  <si>
    <t>https://issues.amazon.com/issues/V1465989603</t>
  </si>
  <si>
    <t>LSE War Room [Email] [7/26/2024]</t>
  </si>
  <si>
    <t>https://issues.amazon.com/issues/V1465989499</t>
  </si>
  <si>
    <t>https://issues.amazon.com/issues/V1465989492</t>
  </si>
  <si>
    <t>https://issues.amazon.com/issues/V1465989475</t>
  </si>
  <si>
    <t>https://issues.amazon.com/issues/V1465989485</t>
  </si>
  <si>
    <t>https://issues.amazon.com/issues/V1465989481</t>
  </si>
  <si>
    <t>https://issues.amazon.com/issues/V1465989471</t>
  </si>
  <si>
    <t>https://issues.amazon.com/issues/V1465989468</t>
  </si>
  <si>
    <t>LSE War Room [Text Em All] [07/26/2024]</t>
  </si>
  <si>
    <t>https://issues.amazon.com/issues/V1464968928</t>
  </si>
  <si>
    <t>CRC LSE/War Room Audits 07/26/2024,</t>
  </si>
  <si>
    <t>https://issues.amazon.com/issues/V1464968851</t>
  </si>
  <si>
    <t>https://issues.amazon.com/issues/V1464968762</t>
  </si>
  <si>
    <t>https://issues.amazon.com/issues/V1464968677</t>
  </si>
  <si>
    <t>https://issues.amazon.com/issues/V1464968623</t>
  </si>
  <si>
    <t>Mission Control [AMFlex DPs FlexComm] [07/25/2024]</t>
  </si>
  <si>
    <t>https://issues.amazon.com/issues/V1464968605</t>
  </si>
  <si>
    <t>Mission Control [AMZL DA FlexComm] [07/25/2024]</t>
  </si>
  <si>
    <t>https://issues.amazon.com/issues/V1464968553</t>
  </si>
  <si>
    <t>LSE War Room [AMFlex DPs FlexComm] [07/25/2024]</t>
  </si>
  <si>
    <t>https://issues.amazon.com/issues/V1464968543</t>
  </si>
  <si>
    <t>https://issues.amazon.com/issues/V1464968506</t>
  </si>
  <si>
    <t>Mission Control [Email] [7/25/2024]</t>
  </si>
  <si>
    <t>https://issues.amazon.com/issues/V1464968494</t>
  </si>
  <si>
    <t>https://issues.amazon.com/issues/V1464968474</t>
  </si>
  <si>
    <t>https://issues.amazon.com/issues/V1464968401</t>
  </si>
  <si>
    <t>https://issues.amazon.com/issues/V1464968384</t>
  </si>
  <si>
    <t>https://issues.amazon.com/issues/V1464968355</t>
  </si>
  <si>
    <t>https://issues.amazon.com/issues/V1464968302</t>
  </si>
  <si>
    <t>https://issues.amazon.com/issues/V1464968301</t>
  </si>
  <si>
    <t>https://issues.amazon.com/issues/V1464968233</t>
  </si>
  <si>
    <t>https://issues.amazon.com/issues/V1464968214</t>
  </si>
  <si>
    <t>https://issues.amazon.com/issues/V1464968191</t>
  </si>
  <si>
    <t>https://issues.amazon.com/issues/V1464968152</t>
  </si>
  <si>
    <t>https://issues.amazon.com/issues/V1464968122</t>
  </si>
  <si>
    <t>https://issues.amazon.com/issues/V1464968073</t>
  </si>
  <si>
    <t>https://issues.amazon.com/issues/V1464968068</t>
  </si>
  <si>
    <t>https://issues.amazon.com/issues/V1464968042</t>
  </si>
  <si>
    <t>https://issues.amazon.com/issues/V1464967994</t>
  </si>
  <si>
    <t>https://issues.amazon.com/issues/V1464967968</t>
  </si>
  <si>
    <t>QUIP: CSV was not added,</t>
  </si>
  <si>
    <t>https://issues.amazon.com/issues/V1464967931</t>
  </si>
  <si>
    <t>https://issues.amazon.com/issues/V1464967917</t>
  </si>
  <si>
    <t>https://issues.amazon.com/issues/V1464967901</t>
  </si>
  <si>
    <t>https://issues.amazon.com/issues/V1464967848</t>
  </si>
  <si>
    <t>https://issues.amazon.com/issues/V1464967802</t>
  </si>
  <si>
    <t>https://issues.amazon.com/issues/V1464967759</t>
  </si>
  <si>
    <t>https://issues.amazon.com/issues/V1464967758</t>
  </si>
  <si>
    <t>https://issues.amazon.com/issues/V1464967639</t>
  </si>
  <si>
    <t>https://issues.amazon.com/issues/V1464967722</t>
  </si>
  <si>
    <t>https://issues.amazon.com/issues/V1464967627</t>
  </si>
  <si>
    <t>https://issues.amazon.com/issues/V1464967571</t>
  </si>
  <si>
    <t>https://issues.amazon.com/issues/V1464967579</t>
  </si>
  <si>
    <t>https://issues.amazon.com/issues/V1464967490</t>
  </si>
  <si>
    <t>https://issues.amazon.com/issues/V1464967476</t>
  </si>
  <si>
    <t>https://issues.amazon.com/issues/V1464967474</t>
  </si>
  <si>
    <t>https://issues.amazon.com/issues/V1464967402</t>
  </si>
  <si>
    <t>https://issues.amazon.com/issues/V1464967252</t>
  </si>
  <si>
    <t>https://issues.amazon.com/issues/V1464967349</t>
  </si>
  <si>
    <t>https://issues.amazon.com/issues/V1464967241</t>
  </si>
  <si>
    <t>https://issues.amazon.com/issues/V1464967215</t>
  </si>
  <si>
    <t>https://issues.amazon.com/issues/V1464967197</t>
  </si>
  <si>
    <t>https://issues.amazon.com/issues/V1464967182</t>
  </si>
  <si>
    <t>https://issues.amazon.com/issues/V1464967183</t>
  </si>
  <si>
    <t>Mission Control [Text Em All] [07/25/2024]</t>
  </si>
  <si>
    <t>https://issues.amazon.com/issues/V1464967173</t>
  </si>
  <si>
    <t>LSE War Room [Email] [7/25/2024]</t>
  </si>
  <si>
    <t>https://issues.amazon.com/issues/V1464967172</t>
  </si>
  <si>
    <t>https://issues.amazon.com/issues/V1464967157</t>
  </si>
  <si>
    <t>https://issues.amazon.com/issues/V1464967154</t>
  </si>
  <si>
    <t>https://issues.amazon.com/issues/V1464967143</t>
  </si>
  <si>
    <t>https://issues.amazon.com/issues/V1464967145</t>
  </si>
  <si>
    <t>https://issues.amazon.com/issues/V1464967123</t>
  </si>
  <si>
    <t>https://issues.amazon.com/issues/V1464967088</t>
  </si>
  <si>
    <t>https://issues.amazon.com/issues/V1464967126</t>
  </si>
  <si>
    <t>https://issues.amazon.com/issues/V1464967101</t>
  </si>
  <si>
    <t>https://issues.amazon.com/issues/V1464967077</t>
  </si>
  <si>
    <t>https://issues.amazon.com/issues/V1464967063</t>
  </si>
  <si>
    <t>https://issues.amazon.com/issues/V1464967072</t>
  </si>
  <si>
    <t>https://issues.amazon.com/issues/V1464967054</t>
  </si>
  <si>
    <t>https://issues.amazon.com/issues/V1464967033</t>
  </si>
  <si>
    <t>https://issues.amazon.com/issues/V1464966999</t>
  </si>
  <si>
    <t>https://issues.amazon.com/issues/V1464967017</t>
  </si>
  <si>
    <t>https://issues.amazon.com/issues/V1464966979</t>
  </si>
  <si>
    <t>https://issues.amazon.com/issues/V1464966957</t>
  </si>
  <si>
    <t>LSE War Room [Text Em All] [07/25/2024]</t>
  </si>
  <si>
    <t>https://issues.amazon.com/issues/V1464966916</t>
  </si>
  <si>
    <t>https://issues.amazon.com/issues/V1464966940</t>
  </si>
  <si>
    <t>https://issues.amazon.com/issues/V1464966898</t>
  </si>
  <si>
    <t>https://issues.amazon.com/issues/V1464966873</t>
  </si>
  <si>
    <t>https://issues.amazon.com/issues/V1464966865</t>
  </si>
  <si>
    <t>https://issues.amazon.com/issues/V1464966858</t>
  </si>
  <si>
    <t>https://issues.amazon.com/issues/V1463769189</t>
  </si>
  <si>
    <t>LSE War Room [AMZL DA FlexComm] [07/24/2024]</t>
  </si>
  <si>
    <t>CRC LSE/War Room Audits 07/25/2024,CRC QA Miss,</t>
  </si>
  <si>
    <t>https://issues.amazon.com/issues/V1463767409</t>
  </si>
  <si>
    <t>CRC LSE/War Room Audits 07/25/2024,</t>
  </si>
  <si>
    <t>https://issues.amazon.com/issues/V1463769341</t>
  </si>
  <si>
    <t>Mission Control [AMZL DA FlexComm] [07/24/2024]</t>
  </si>
  <si>
    <t>https://issues.amazon.com/issues/V1463768946</t>
  </si>
  <si>
    <t>https://issues.amazon.com/issues/V1463769073</t>
  </si>
  <si>
    <t>https://issues.amazon.com/issues/V1463768811</t>
  </si>
  <si>
    <t>https://issues.amazon.com/issues/V1463768634</t>
  </si>
  <si>
    <t>https://issues.amazon.com/issues/V1463768384</t>
  </si>
  <si>
    <t>https://issues.amazon.com/issues/V1463768505</t>
  </si>
  <si>
    <t>https://issues.amazon.com/issues/V1463768134</t>
  </si>
  <si>
    <t>Mission Control [AMFlex DPs FlexComm] [07/24/2024]</t>
  </si>
  <si>
    <t>https://issues.amazon.com/issues/V1463768190</t>
  </si>
  <si>
    <t>https://issues.amazon.com/issues/V1463768257</t>
  </si>
  <si>
    <t>https://issues.amazon.com/issues/V1463768101</t>
  </si>
  <si>
    <t>LSE War Room [AMFlex DPs FlexComm] [07/24/2024]</t>
  </si>
  <si>
    <t>https://issues.amazon.com/issues/V1463768120</t>
  </si>
  <si>
    <t>https://issues.amazon.com/issues/V1463768062</t>
  </si>
  <si>
    <t>https://issues.amazon.com/issues/V1463768022</t>
  </si>
  <si>
    <t>https://issues.amazon.com/issues/V1463767995</t>
  </si>
  <si>
    <t>https://issues.amazon.com/issues/V1463767805</t>
  </si>
  <si>
    <t>https://issues.amazon.com/issues/V1463767946</t>
  </si>
  <si>
    <t>https://issues.amazon.com/issues/V1463767981</t>
  </si>
  <si>
    <t>https://issues.amazon.com/issues/V1463767844</t>
  </si>
  <si>
    <t>https://issues.amazon.com/issues/V1463767816</t>
  </si>
  <si>
    <t>https://issues.amazon.com/issues/V1463767808</t>
  </si>
  <si>
    <t>https://issues.amazon.com/issues/V1463767797</t>
  </si>
  <si>
    <t>https://issues.amazon.com/issues/V1463767798</t>
  </si>
  <si>
    <t>https://issues.amazon.com/issues/V1463767781</t>
  </si>
  <si>
    <t>https://issues.amazon.com/issues/V1463767787</t>
  </si>
  <si>
    <t>https://issues.amazon.com/issues/V1463767720</t>
  </si>
  <si>
    <t>https://issues.amazon.com/issues/V1463767663</t>
  </si>
  <si>
    <t>https://issues.amazon.com/issues/V1463767615</t>
  </si>
  <si>
    <t>Mission Control [Email] [7/24/2024]</t>
  </si>
  <si>
    <t>https://issues.amazon.com/issues/V1463767509</t>
  </si>
  <si>
    <t>https://issues.amazon.com/issues/V1463767574</t>
  </si>
  <si>
    <t>https://issues.amazon.com/issues/V1463767497</t>
  </si>
  <si>
    <t>https://issues.amazon.com/issues/V1463767467</t>
  </si>
  <si>
    <t>LSE War Room [Email] [7/24/2024]</t>
  </si>
  <si>
    <t>https://issues.amazon.com/issues/V1463767461</t>
  </si>
  <si>
    <t>https://issues.amazon.com/issues/V1463767435</t>
  </si>
  <si>
    <t>https://issues.amazon.com/issues/V1463767399</t>
  </si>
  <si>
    <t>https://issues.amazon.com/issues/V1463767359</t>
  </si>
  <si>
    <t>https://issues.amazon.com/issues/V1463767347</t>
  </si>
  <si>
    <t>https://issues.amazon.com/issues/V1463767277</t>
  </si>
  <si>
    <t>https://issues.amazon.com/issues/V1463767316</t>
  </si>
  <si>
    <t>https://issues.amazon.com/issues/V1463767204</t>
  </si>
  <si>
    <t>https://issues.amazon.com/issues/V1463767278</t>
  </si>
  <si>
    <t>https://issues.amazon.com/issues/V1463767240</t>
  </si>
  <si>
    <t>https://issues.amazon.com/issues/V1463767160</t>
  </si>
  <si>
    <t>https://issues.amazon.com/issues/V1463767156</t>
  </si>
  <si>
    <t>https://issues.amazon.com/issues/V1463767153</t>
  </si>
  <si>
    <t>https://issues.amazon.com/issues/V1463767100</t>
  </si>
  <si>
    <t>https://issues.amazon.com/issues/V1463767021</t>
  </si>
  <si>
    <t>https://issues.amazon.com/issues/V1463767065</t>
  </si>
  <si>
    <t>https://issues.amazon.com/issues/V1463767052</t>
  </si>
  <si>
    <t>https://issues.amazon.com/issues/V1463767009</t>
  </si>
  <si>
    <t>https://issues.amazon.com/issues/V1463767030</t>
  </si>
  <si>
    <t>https://issues.amazon.com/issues/V1463767019</t>
  </si>
  <si>
    <t>https://issues.amazon.com/issues/V1463767008</t>
  </si>
  <si>
    <t>https://issues.amazon.com/issues/V1463766982</t>
  </si>
  <si>
    <t>https://issues.amazon.com/issues/V1463766974</t>
  </si>
  <si>
    <t>https://issues.amazon.com/issues/V1463766991</t>
  </si>
  <si>
    <t>https://issues.amazon.com/issues/V1463766959</t>
  </si>
  <si>
    <t>https://issues.amazon.com/issues/V1463766988</t>
  </si>
  <si>
    <t>https://issues.amazon.com/issues/V1463766967</t>
  </si>
  <si>
    <t>https://issues.amazon.com/issues/V1463766957</t>
  </si>
  <si>
    <t>https://issues.amazon.com/issues/V1463766943</t>
  </si>
  <si>
    <t>https://issues.amazon.com/issues/V1463766887</t>
  </si>
  <si>
    <t>https://issues.amazon.com/issues/V1463766905</t>
  </si>
  <si>
    <t>https://issues.amazon.com/issues/V1463766846</t>
  </si>
  <si>
    <t>https://issues.amazon.com/issues/V1463766868</t>
  </si>
  <si>
    <t>https://issues.amazon.com/issues/V1463766860</t>
  </si>
  <si>
    <t>https://issues.amazon.com/issues/V1463766817</t>
  </si>
  <si>
    <t>https://issues.amazon.com/issues/V1463766831</t>
  </si>
  <si>
    <t>https://issues.amazon.com/issues/V1463766800</t>
  </si>
  <si>
    <t>https://issues.amazon.com/issues/V1463766772</t>
  </si>
  <si>
    <t>https://issues.amazon.com/issues/V1463766792</t>
  </si>
  <si>
    <t>https://issues.amazon.com/issues/V1463766764</t>
  </si>
  <si>
    <t>https://issues.amazon.com/issues/V1461384772</t>
  </si>
  <si>
    <t>Mission Control [Text Em All] [07/22/2024]</t>
  </si>
  <si>
    <t>CRC LSE/War Room Audits 07/23/2024,</t>
  </si>
  <si>
    <t>https://issues.amazon.com/issues/V1461384697</t>
  </si>
  <si>
    <t>https://issues.amazon.com/issues/V1461385066</t>
  </si>
  <si>
    <t>Mission Control [Email] [7/22/2024]</t>
  </si>
  <si>
    <t>https://issues.amazon.com/issues/V1461387212</t>
  </si>
  <si>
    <t>Mission Control [AMFlex DPs FlexComm] [07/22/2024]</t>
  </si>
  <si>
    <t>https://issues.amazon.com/issues/V1461385071</t>
  </si>
  <si>
    <t>https://issues.amazon.com/issues/V1461387201</t>
  </si>
  <si>
    <t>https://issues.amazon.com/issues/V1461387541</t>
  </si>
  <si>
    <t>https://issues.amazon.com/issues/V1462746976</t>
  </si>
  <si>
    <t>Mission Control [Email] [7/23/2024]</t>
  </si>
  <si>
    <t>CRC LSE/War Room Audits 07/24/2024,</t>
  </si>
  <si>
    <t>https://issues.amazon.com/issues/V1462746608</t>
  </si>
  <si>
    <t>Mission Control [AMFlex DPs FlexComm] [07/23/2024]</t>
  </si>
  <si>
    <t>https://issues.amazon.com/issues/V1462745482</t>
  </si>
  <si>
    <t>Mission Control [Text Em All] [07/23/2024]</t>
  </si>
  <si>
    <t>https://issues.amazon.com/issues/V1461387465</t>
  </si>
  <si>
    <t>https://issues.amazon.com/issues/V1461387514</t>
  </si>
  <si>
    <t>https://issues.amazon.com/issues/V1462752853</t>
  </si>
  <si>
    <t>Mission Control [AMZL DA FlexComm] [07/23/2024]</t>
  </si>
  <si>
    <t>https://issues.amazon.com/issues/V1461387576</t>
  </si>
  <si>
    <t>https://issues.amazon.com/issues/V1462752535</t>
  </si>
  <si>
    <t>https://issues.amazon.com/issues/V1462752229</t>
  </si>
  <si>
    <t>https://issues.amazon.com/issues/V1462751627</t>
  </si>
  <si>
    <t>https://issues.amazon.com/issues/V1462751926</t>
  </si>
  <si>
    <t>https://issues.amazon.com/issues/V1462750665</t>
  </si>
  <si>
    <t>https://issues.amazon.com/issues/V1462751294</t>
  </si>
  <si>
    <t>https://issues.amazon.com/issues/V1462750969</t>
  </si>
  <si>
    <t>https://issues.amazon.com/issues/V1462750371</t>
  </si>
  <si>
    <t>https://issues.amazon.com/issues/V1462749775</t>
  </si>
  <si>
    <t>https://issues.amazon.com/issues/V1462750099</t>
  </si>
  <si>
    <t>https://issues.amazon.com/issues/V1462749473</t>
  </si>
  <si>
    <t>https://issues.amazon.com/issues/V1462748865</t>
  </si>
  <si>
    <t>https://issues.amazon.com/issues/V1462749181</t>
  </si>
  <si>
    <t>https://issues.amazon.com/issues/V1462748581</t>
  </si>
  <si>
    <t>https://issues.amazon.com/issues/V1462748283</t>
  </si>
  <si>
    <t>https://issues.amazon.com/issues/V1462748089</t>
  </si>
  <si>
    <t>https://issues.amazon.com/issues/V1462747987</t>
  </si>
  <si>
    <t>https://issues.amazon.com/issues/V1462747902</t>
  </si>
  <si>
    <t>https://issues.amazon.com/issues/V1462747863</t>
  </si>
  <si>
    <t>https://issues.amazon.com/issues/V1462747751</t>
  </si>
  <si>
    <t>https://issues.amazon.com/issues/V1462747710</t>
  </si>
  <si>
    <t>https://issues.amazon.com/issues/V1462747538</t>
  </si>
  <si>
    <t>LSE War Room [AMFlex DPs FlexComm] [07/23/2024]</t>
  </si>
  <si>
    <t>https://issues.amazon.com/issues/V1462747582</t>
  </si>
  <si>
    <t>https://issues.amazon.com/issues/V1462747398</t>
  </si>
  <si>
    <t>https://issues.amazon.com/issues/V1462747202</t>
  </si>
  <si>
    <t>https://issues.amazon.com/issues/V1462747345</t>
  </si>
  <si>
    <t>https://issues.amazon.com/issues/V1462747321</t>
  </si>
  <si>
    <t>https://issues.amazon.com/issues/V1462747158</t>
  </si>
  <si>
    <t>https://issues.amazon.com/issues/V1462746938</t>
  </si>
  <si>
    <t>https://issues.amazon.com/issues/V1462746621</t>
  </si>
  <si>
    <t>https://issues.amazon.com/issues/V1462746937</t>
  </si>
  <si>
    <t>https://issues.amazon.com/issues/V1462746778</t>
  </si>
  <si>
    <t>https://issues.amazon.com/issues/V1462746810</t>
  </si>
  <si>
    <t>https://issues.amazon.com/issues/V1462746645</t>
  </si>
  <si>
    <t>https://issues.amazon.com/issues/V1462747675</t>
  </si>
  <si>
    <t>CRC LSE/War Room Audits 07/24/2024,CRC QA Miss,</t>
  </si>
  <si>
    <t>https://issues.amazon.com/issues/V1462746294</t>
  </si>
  <si>
    <t>https://issues.amazon.com/issues/V1462746483</t>
  </si>
  <si>
    <t>https://issues.amazon.com/issues/V1462746462</t>
  </si>
  <si>
    <t>https://issues.amazon.com/issues/V1462746303</t>
  </si>
  <si>
    <t>https://issues.amazon.com/issues/V1462746305</t>
  </si>
  <si>
    <t>https://issues.amazon.com/issues/V1462746121</t>
  </si>
  <si>
    <t>https://issues.amazon.com/issues/V1462745988</t>
  </si>
  <si>
    <t>https://issues.amazon.com/issues/V1462746122</t>
  </si>
  <si>
    <t>https://issues.amazon.com/issues/V1462746117</t>
  </si>
  <si>
    <t>https://issues.amazon.com/issues/V1462746001</t>
  </si>
  <si>
    <t>https://issues.amazon.com/issues/V1462745981</t>
  </si>
  <si>
    <t>https://issues.amazon.com/issues/V1462745977</t>
  </si>
  <si>
    <t>https://issues.amazon.com/issues/V1462745795</t>
  </si>
  <si>
    <t>https://issues.amazon.com/issues/V1462745819</t>
  </si>
  <si>
    <t>https://issues.amazon.com/issues/V1462745657</t>
  </si>
  <si>
    <t>https://issues.amazon.com/issues/V1462745793</t>
  </si>
  <si>
    <t>https://issues.amazon.com/issues/V1462745651</t>
  </si>
  <si>
    <t>https://issues.amazon.com/issues/V1462745620</t>
  </si>
  <si>
    <t>https://issues.amazon.com/issues/V1462745623</t>
  </si>
  <si>
    <t>https://issues.amazon.com/issues/V1462745509</t>
  </si>
  <si>
    <t>https://issues.amazon.com/issues/V1462745479</t>
  </si>
  <si>
    <t>https://issues.amazon.com/issues/V1462745341</t>
  </si>
  <si>
    <t>https://issues.amazon.com/issues/V1462745340</t>
  </si>
  <si>
    <t>https://issues.amazon.com/issues/V1462745323</t>
  </si>
  <si>
    <t>https://issues.amazon.com/issues/V1462745072</t>
  </si>
  <si>
    <t>https://issues.amazon.com/issues/V1462745238</t>
  </si>
  <si>
    <t>https://issues.amazon.com/issues/V1462745233</t>
  </si>
  <si>
    <t>https://issues.amazon.com/issues/V1462745182</t>
  </si>
  <si>
    <t>https://issues.amazon.com/issues/V1462745180</t>
  </si>
  <si>
    <t>https://issues.amazon.com/issues/V1462745165</t>
  </si>
  <si>
    <t>https://issues.amazon.com/issues/V1462745010</t>
  </si>
  <si>
    <t>https://issues.amazon.com/issues/V1462745007</t>
  </si>
  <si>
    <t>https://issues.amazon.com/issues/V1462744995</t>
  </si>
  <si>
    <t>https://issues.amazon.com/issues/V1462744864</t>
  </si>
  <si>
    <t>https://issues.amazon.com/issues/V1462744978</t>
  </si>
  <si>
    <t>https://issues.amazon.com/issues/V1462744856</t>
  </si>
  <si>
    <t>https://issues.amazon.com/issues/V1462744481</t>
  </si>
  <si>
    <t>https://issues.amazon.com/issues/V1462744843</t>
  </si>
  <si>
    <t>https://issues.amazon.com/issues/V1462744755</t>
  </si>
  <si>
    <t>https://issues.amazon.com/issues/V1462744778</t>
  </si>
  <si>
    <t>https://issues.amazon.com/issues/V1462744680</t>
  </si>
  <si>
    <t>https://issues.amazon.com/issues/V1462744595</t>
  </si>
  <si>
    <t>https://issues.amazon.com/issues/V1462744686</t>
  </si>
  <si>
    <t>https://issues.amazon.com/issues/V1462744639</t>
  </si>
  <si>
    <t>https://issues.amazon.com/issues/V1462744650</t>
  </si>
  <si>
    <t>https://issues.amazon.com/issues/V1462744636</t>
  </si>
  <si>
    <t>https://issues.amazon.com/issues/V1462744629</t>
  </si>
  <si>
    <t>LSE War Room [Email] [7/23/2024]</t>
  </si>
  <si>
    <t>https://issues.amazon.com/issues/V1462744621</t>
  </si>
  <si>
    <t>https://issues.amazon.com/issues/V1462744612</t>
  </si>
  <si>
    <t>https://issues.amazon.com/issues/V1462744618</t>
  </si>
  <si>
    <t>https://issues.amazon.com/issues/V1462744596</t>
  </si>
  <si>
    <t>https://issues.amazon.com/issues/V1462744579</t>
  </si>
  <si>
    <t>https://issues.amazon.com/issues/V1462744585</t>
  </si>
  <si>
    <t>https://issues.amazon.com/issues/V1462744578</t>
  </si>
  <si>
    <t>https://issues.amazon.com/issues/V1462744560</t>
  </si>
  <si>
    <t>https://issues.amazon.com/issues/V1462744572</t>
  </si>
  <si>
    <t>https://issues.amazon.com/issues/V1462744533</t>
  </si>
  <si>
    <t>https://issues.amazon.com/issues/V1462744505</t>
  </si>
  <si>
    <t>https://issues.amazon.com/issues/V1462744493</t>
  </si>
  <si>
    <t>https://issues.amazon.com/issues/V1462744458</t>
  </si>
  <si>
    <t>https://issues.amazon.com/issues/V1462744418</t>
  </si>
  <si>
    <t>LSE War Room [Text Em All] [07/23/2024]</t>
  </si>
  <si>
    <t>https://issues.amazon.com/issues/V1462744470</t>
  </si>
  <si>
    <t>https://issues.amazon.com/issues/V1462744389</t>
  </si>
  <si>
    <t>https://issues.amazon.com/issues/V1462744446</t>
  </si>
  <si>
    <t>https://issues.amazon.com/issues/V1462744429</t>
  </si>
  <si>
    <t>https://issues.amazon.com/issues/V1462744415</t>
  </si>
  <si>
    <t>https://issues.amazon.com/issues/V1462744394</t>
  </si>
  <si>
    <t>https://issues.amazon.com/issues/V1461387407</t>
  </si>
  <si>
    <t>https://issues.amazon.com/issues/V1461387321</t>
  </si>
  <si>
    <t>CRC LSE/War Room Audits 07/23/2024,CRC QA Miss,</t>
  </si>
  <si>
    <t>https://issues.amazon.com/issues/V1461387384</t>
  </si>
  <si>
    <t>https://issues.amazon.com/issues/V1461387357</t>
  </si>
  <si>
    <t>https://issues.amazon.com/issues/V1461387340</t>
  </si>
  <si>
    <t>https://issues.amazon.com/issues/V1461387228</t>
  </si>
  <si>
    <t>https://issues.amazon.com/issues/V1461387295</t>
  </si>
  <si>
    <t>https://issues.amazon.com/issues/V1461387237</t>
  </si>
  <si>
    <t>https://issues.amazon.com/issues/V1461387256</t>
  </si>
  <si>
    <t>https://issues.amazon.com/issues/V1461387155</t>
  </si>
  <si>
    <t>https://issues.amazon.com/issues/V1461387186</t>
  </si>
  <si>
    <t>https://issues.amazon.com/issues/V1461387131</t>
  </si>
  <si>
    <t>LSE War Room [AMFlex DPs FlexComm] [07/22/2024]</t>
  </si>
  <si>
    <t>https://issues.amazon.com/issues/V1461387172</t>
  </si>
  <si>
    <t>https://issues.amazon.com/issues/V1461387163</t>
  </si>
  <si>
    <t>https://issues.amazon.com/issues/V1461386779</t>
  </si>
  <si>
    <t>Mission Control [AMZL DA FlexComm] [07/22/2024]</t>
  </si>
  <si>
    <t>https://issues.amazon.com/issues/V1461387149</t>
  </si>
  <si>
    <t>https://issues.amazon.com/issues/V1461387127</t>
  </si>
  <si>
    <t>https://issues.amazon.com/issues/V1461386885</t>
  </si>
  <si>
    <t>https://issues.amazon.com/issues/V1461386878</t>
  </si>
  <si>
    <t>https://issues.amazon.com/issues/V1461386869</t>
  </si>
  <si>
    <t>https://issues.amazon.com/issues/V1461386860</t>
  </si>
  <si>
    <t>https://issues.amazon.com/issues/V1461386851</t>
  </si>
  <si>
    <t>https://issues.amazon.com/issues/V1461386839</t>
  </si>
  <si>
    <t>https://issues.amazon.com/issues/V1461386826</t>
  </si>
  <si>
    <t>https://issues.amazon.com/issues/V1461386818</t>
  </si>
  <si>
    <t>https://issues.amazon.com/issues/V1461386805</t>
  </si>
  <si>
    <t>https://issues.amazon.com/issues/V1461386798</t>
  </si>
  <si>
    <t>https://issues.amazon.com/issues/V1461386789</t>
  </si>
  <si>
    <t>https://issues.amazon.com/issues/V1461386756</t>
  </si>
  <si>
    <t>https://issues.amazon.com/issues/V1461386767</t>
  </si>
  <si>
    <t>https://issues.amazon.com/issues/V1461386747</t>
  </si>
  <si>
    <t>https://issues.amazon.com/issues/V1461386732</t>
  </si>
  <si>
    <t>https://issues.amazon.com/issues/V1461386719</t>
  </si>
  <si>
    <t>https://issues.amazon.com/issues/V1461386737</t>
  </si>
  <si>
    <t>https://issues.amazon.com/issues/V1461386711</t>
  </si>
  <si>
    <t>https://issues.amazon.com/issues/V1461386698</t>
  </si>
  <si>
    <t>https://issues.amazon.com/issues/V1461386701</t>
  </si>
  <si>
    <t>https://issues.amazon.com/issues/V1461386687</t>
  </si>
  <si>
    <t>https://issues.amazon.com/issues/V1461386679</t>
  </si>
  <si>
    <t>https://issues.amazon.com/issues/V1461386674</t>
  </si>
  <si>
    <t>https://issues.amazon.com/issues/V1461386663</t>
  </si>
  <si>
    <t>LSE War Room [AMZL DA FlexComm] [07/22/2024]</t>
  </si>
  <si>
    <t>https://issues.amazon.com/issues/V1461386656</t>
  </si>
  <si>
    <t>https://issues.amazon.com/issues/V1461386645</t>
  </si>
  <si>
    <t>https://issues.amazon.com/issues/V1461386640</t>
  </si>
  <si>
    <t>https://issues.amazon.com/issues/V1461386406</t>
  </si>
  <si>
    <t>https://issues.amazon.com/issues/V1461386339</t>
  </si>
  <si>
    <t>https://issues.amazon.com/issues/V1461386279</t>
  </si>
  <si>
    <t>https://issues.amazon.com/issues/V1461386198</t>
  </si>
  <si>
    <t>https://issues.amazon.com/issues/V1461386124</t>
  </si>
  <si>
    <t>https://issues.amazon.com/issues/V1461386053</t>
  </si>
  <si>
    <t>https://issues.amazon.com/issues/V1461385966</t>
  </si>
  <si>
    <t>https://issues.amazon.com/issues/V1461385885</t>
  </si>
  <si>
    <t>https://issues.amazon.com/issues/V1461385789</t>
  </si>
  <si>
    <t>https://issues.amazon.com/issues/V1461385709</t>
  </si>
  <si>
    <t>https://issues.amazon.com/issues/V1461385627</t>
  </si>
  <si>
    <t>https://issues.amazon.com/issues/V1461385549</t>
  </si>
  <si>
    <t>https://issues.amazon.com/issues/V1461385380</t>
  </si>
  <si>
    <t>https://issues.amazon.com/issues/V1461385488</t>
  </si>
  <si>
    <t>https://issues.amazon.com/issues/V1461385424</t>
  </si>
  <si>
    <t>https://issues.amazon.com/issues/V1461385313</t>
  </si>
  <si>
    <t>https://issues.amazon.com/issues/V1461385253</t>
  </si>
  <si>
    <t>https://issues.amazon.com/issues/V1461385122</t>
  </si>
  <si>
    <t>https://issues.amazon.com/issues/V1461385095</t>
  </si>
  <si>
    <t>https://issues.amazon.com/issues/V1461385088</t>
  </si>
  <si>
    <t>https://issues.amazon.com/issues/V1461385085</t>
  </si>
  <si>
    <t>https://issues.amazon.com/issues/V1461385077</t>
  </si>
  <si>
    <t>https://issues.amazon.com/issues/V1461385050</t>
  </si>
  <si>
    <t>LSE War Room [Email] [7/22/2024]</t>
  </si>
  <si>
    <t>https://issues.amazon.com/issues/V1461385043</t>
  </si>
  <si>
    <t>https://issues.amazon.com/issues/V1461385037</t>
  </si>
  <si>
    <t>https://issues.amazon.com/issues/V1461385028</t>
  </si>
  <si>
    <t>https://issues.amazon.com/issues/V1461384823</t>
  </si>
  <si>
    <t>https://issues.amazon.com/issues/V1461384837</t>
  </si>
  <si>
    <t>https://issues.amazon.com/issues/V1461384828</t>
  </si>
  <si>
    <t>https://issues.amazon.com/issues/V1461384783</t>
  </si>
  <si>
    <t>https://issues.amazon.com/issues/V1461384760</t>
  </si>
  <si>
    <t>https://issues.amazon.com/issues/V1461384752</t>
  </si>
  <si>
    <t>https://issues.amazon.com/issues/V1461384749</t>
  </si>
  <si>
    <t>https://issues.amazon.com/issues/V1461384745</t>
  </si>
  <si>
    <t>https://issues.amazon.com/issues/V1461384736</t>
  </si>
  <si>
    <t>https://issues.amazon.com/issues/V1461384731</t>
  </si>
  <si>
    <t>https://issues.amazon.com/issues/V1461384722</t>
  </si>
  <si>
    <t>https://issues.amazon.com/issues/V1461384708</t>
  </si>
  <si>
    <t>https://issues.amazon.com/issues/V1461384685</t>
  </si>
  <si>
    <t>https://issues.amazon.com/issues/V1461384666</t>
  </si>
  <si>
    <t>https://issues.amazon.com/issues/V1461384681</t>
  </si>
  <si>
    <t>https://issues.amazon.com/issues/V1461384674</t>
  </si>
  <si>
    <t>https://issues.amazon.com/issues/V1461384658</t>
  </si>
  <si>
    <t>https://issues.amazon.com/issues/V1461384651</t>
  </si>
  <si>
    <t>https://issues.amazon.com/issues/V1461384645</t>
  </si>
  <si>
    <t>https://issues.amazon.com/issues/V1461384639</t>
  </si>
  <si>
    <t>https://issues.amazon.com/issues/V1461384627</t>
  </si>
  <si>
    <t>LSE War Room [Text Em All] [07/22/2024]</t>
  </si>
  <si>
    <t>https://issues.amazon.com/issues/V1461384632</t>
  </si>
  <si>
    <t>https://issues.amazon.com/issues/V1461384619</t>
  </si>
  <si>
    <t>https://issues.amazon.com/issues/V1461384612</t>
  </si>
  <si>
    <t>https://issues.amazon.com/issues/V1447563545</t>
  </si>
  <si>
    <t>LSE War Room [AMZL DA FlexComm] [07/09/2024]</t>
  </si>
  <si>
    <t>CRC LSE/War Room Audits 07/10/2024,Validated,Excluded - SW/Process Discrepancy,</t>
  </si>
  <si>
    <t>https://issues.amazon.com/issues/V1457466716</t>
  </si>
  <si>
    <t>Mission Control [Email] [7/18/2024]</t>
  </si>
  <si>
    <t>CRC LSE/War Room Audits 07/19/2024,CRC QA Miss,Excluded - SW/Process Discrepancy,</t>
  </si>
  <si>
    <t>https://issues.amazon.com/issues/V1460228679</t>
  </si>
  <si>
    <t>Mission Control [Text Em All] [07/21/2024]</t>
  </si>
  <si>
    <t>CRC LSE/War Room Audits 07/22/2024,</t>
  </si>
  <si>
    <t>https://issues.amazon.com/issues/V1460230143</t>
  </si>
  <si>
    <t>Mission Control [AMZL DA FlexComm] [07/21/2024]</t>
  </si>
  <si>
    <t>https://issues.amazon.com/issues/V1460229414</t>
  </si>
  <si>
    <t>https://issues.amazon.com/issues/V1460228651</t>
  </si>
  <si>
    <t>https://issues.amazon.com/issues/V1460230995</t>
  </si>
  <si>
    <t>Mission Control [AMFlex DPs FlexComm] [07/21/2024]</t>
  </si>
  <si>
    <t>https://issues.amazon.com/issues/V1460231003</t>
  </si>
  <si>
    <t>https://issues.amazon.com/issues/V1460230960</t>
  </si>
  <si>
    <t>https://issues.amazon.com/issues/V1460230975</t>
  </si>
  <si>
    <t>https://issues.amazon.com/issues/V1460230966</t>
  </si>
  <si>
    <t>https://issues.amazon.com/issues/V1460230947</t>
  </si>
  <si>
    <t>https://issues.amazon.com/issues/V1460230937</t>
  </si>
  <si>
    <t>https://issues.amazon.com/issues/V1460230925</t>
  </si>
  <si>
    <t>https://issues.amazon.com/issues/V1460230914</t>
  </si>
  <si>
    <t>https://issues.amazon.com/issues/V1456268856</t>
  </si>
  <si>
    <t>LSE War Room [AMZL DA FlexComm] [07/17/2024]</t>
  </si>
  <si>
    <t>CRC LSE/War Room Audits 07/18/2024,CRC QA Miss,Excluded,</t>
  </si>
  <si>
    <t>https://issues.amazon.com/issues/V1460230895</t>
  </si>
  <si>
    <t>https://issues.amazon.com/issues/V1460230903</t>
  </si>
  <si>
    <t>https://issues.amazon.com/issues/V1460230887</t>
  </si>
  <si>
    <t>https://issues.amazon.com/issues/V1460230863</t>
  </si>
  <si>
    <t>https://issues.amazon.com/issues/V1460230872</t>
  </si>
  <si>
    <t>https://issues.amazon.com/issues/V1460230848</t>
  </si>
  <si>
    <t>https://issues.amazon.com/issues/V1460230481</t>
  </si>
  <si>
    <t>https://issues.amazon.com/issues/V1460230830</t>
  </si>
  <si>
    <t>https://issues.amazon.com/issues/V1460230809</t>
  </si>
  <si>
    <t>https://issues.amazon.com/issues/V1460230796</t>
  </si>
  <si>
    <t>LSE War Room [AMFlex DPs FlexComm] [07/21/2024]</t>
  </si>
  <si>
    <t>https://issues.amazon.com/issues/V1460230551</t>
  </si>
  <si>
    <t>https://issues.amazon.com/issues/V1460230391</t>
  </si>
  <si>
    <t>https://issues.amazon.com/issues/V1460229903</t>
  </si>
  <si>
    <t>https://issues.amazon.com/issues/V1460230297</t>
  </si>
  <si>
    <t>https://issues.amazon.com/issues/V1455100398</t>
  </si>
  <si>
    <t>LSE War Room [Text Em All] [07/16/2024]</t>
  </si>
  <si>
    <t>CRC LSE/War Room Audits 07/17/2024,Validated,Excluded,</t>
  </si>
  <si>
    <t>https://issues.amazon.com/issues/V1460230220</t>
  </si>
  <si>
    <t>https://issues.amazon.com/issues/V1460230034</t>
  </si>
  <si>
    <t>https://issues.amazon.com/issues/V1460230089</t>
  </si>
  <si>
    <t>https://issues.amazon.com/issues/V1460229889</t>
  </si>
  <si>
    <t>https://issues.amazon.com/issues/V1460229852</t>
  </si>
  <si>
    <t>https://issues.amazon.com/issues/V1460229833</t>
  </si>
  <si>
    <t>CRC LSE/War Room Audits 07/22/2024,CRC QA Miss,</t>
  </si>
  <si>
    <t>https://issues.amazon.com/issues/V1460229810</t>
  </si>
  <si>
    <t>https://issues.amazon.com/issues/V1460229788</t>
  </si>
  <si>
    <t>https://issues.amazon.com/issues/V1460229798</t>
  </si>
  <si>
    <t>https://issues.amazon.com/issues/V1460229772</t>
  </si>
  <si>
    <t>https://issues.amazon.com/issues/V1460229779</t>
  </si>
  <si>
    <t>https://issues.amazon.com/issues/V1460229763</t>
  </si>
  <si>
    <t>https://issues.amazon.com/issues/V1460229754</t>
  </si>
  <si>
    <t>https://issues.amazon.com/issues/V1460229732</t>
  </si>
  <si>
    <t>https://issues.amazon.com/issues/V1460229746</t>
  </si>
  <si>
    <t>https://issues.amazon.com/issues/V1460229738</t>
  </si>
  <si>
    <t>https://issues.amazon.com/issues/V1460229718</t>
  </si>
  <si>
    <t>LSE War Room [AMZL DA FlexComm] [07/21/2024]</t>
  </si>
  <si>
    <t>https://issues.amazon.com/issues/V1460229541</t>
  </si>
  <si>
    <t>https://issues.amazon.com/issues/V1460229725</t>
  </si>
  <si>
    <t>https://issues.amazon.com/issues/V1460229479</t>
  </si>
  <si>
    <t>https://issues.amazon.com/issues/V1460229510</t>
  </si>
  <si>
    <t>https://issues.amazon.com/issues/V1460229444</t>
  </si>
  <si>
    <t>https://issues.amazon.com/issues/V1460229387</t>
  </si>
  <si>
    <t>https://issues.amazon.com/issues/V1460229279</t>
  </si>
  <si>
    <t>https://issues.amazon.com/issues/V1460229325</t>
  </si>
  <si>
    <t>https://issues.amazon.com/issues/V1460229172</t>
  </si>
  <si>
    <t>https://issues.amazon.com/issues/V1460229201</t>
  </si>
  <si>
    <t>https://issues.amazon.com/issues/V1460229120</t>
  </si>
  <si>
    <t>https://issues.amazon.com/issues/V1460229096</t>
  </si>
  <si>
    <t>https://issues.amazon.com/issues/V1460229113</t>
  </si>
  <si>
    <t>https://issues.amazon.com/issues/V1460229089</t>
  </si>
  <si>
    <t>https://issues.amazon.com/issues/V1460229057</t>
  </si>
  <si>
    <t>https://issues.amazon.com/issues/V1460229081</t>
  </si>
  <si>
    <t>https://issues.amazon.com/issues/V1460229080</t>
  </si>
  <si>
    <t>https://issues.amazon.com/issues/V1460229064</t>
  </si>
  <si>
    <t>https://issues.amazon.com/issues/V1460229043</t>
  </si>
  <si>
    <t>https://issues.amazon.com/issues/V1460229034</t>
  </si>
  <si>
    <t>https://issues.amazon.com/issues/V1460229049</t>
  </si>
  <si>
    <t>https://issues.amazon.com/issues/V1460229021</t>
  </si>
  <si>
    <t>LSE War Room [Email] [7/21/2024]</t>
  </si>
  <si>
    <t>https://issues.amazon.com/issues/V1460228728</t>
  </si>
  <si>
    <t>https://issues.amazon.com/issues/V1460229009</t>
  </si>
  <si>
    <t>https://issues.amazon.com/issues/V1460228772</t>
  </si>
  <si>
    <t>https://issues.amazon.com/issues/V1460228758</t>
  </si>
  <si>
    <t>https://issues.amazon.com/issues/V1460228742</t>
  </si>
  <si>
    <t>https://issues.amazon.com/issues/V1460228750</t>
  </si>
  <si>
    <t>https://issues.amazon.com/issues/V1460228736</t>
  </si>
  <si>
    <t>https://issues.amazon.com/issues/V1460228722</t>
  </si>
  <si>
    <t>https://issues.amazon.com/issues/V1460228707</t>
  </si>
  <si>
    <t>https://issues.amazon.com/issues/V1460228700</t>
  </si>
  <si>
    <t>https://issues.amazon.com/issues/V1460228688</t>
  </si>
  <si>
    <t>https://issues.amazon.com/issues/V1460228696</t>
  </si>
  <si>
    <t>https://issues.amazon.com/issues/V1460228672</t>
  </si>
  <si>
    <t>https://issues.amazon.com/issues/V1460228641</t>
  </si>
  <si>
    <t>https://issues.amazon.com/issues/V1460228635</t>
  </si>
  <si>
    <t>https://issues.amazon.com/issues/V1460228628</t>
  </si>
  <si>
    <t>https://issues.amazon.com/issues/V1460228623</t>
  </si>
  <si>
    <t>https://issues.amazon.com/issues/V1460228603</t>
  </si>
  <si>
    <t>https://issues.amazon.com/issues/V1460228611</t>
  </si>
  <si>
    <t>https://issues.amazon.com/issues/V1460228596</t>
  </si>
  <si>
    <t>https://issues.amazon.com/issues/V1460228589</t>
  </si>
  <si>
    <t>https://issues.amazon.com/issues/V1460228579</t>
  </si>
  <si>
    <t>LSE War Room [Text Em All] [07/21/2024]</t>
  </si>
  <si>
    <t>https://issues.amazon.com/issues/V1460228575</t>
  </si>
  <si>
    <t>https://issues.amazon.com/issues/V1457468347</t>
  </si>
  <si>
    <t>Mission Control [AMFlex DPs FlexComm] [07/18/2024]</t>
  </si>
  <si>
    <t>CRC LSE/War Room Audits 07/19/2024,CRC QA Miss,</t>
  </si>
  <si>
    <t>https://issues.amazon.com/issues/V1459275530</t>
  </si>
  <si>
    <t>Mission Control [Text Em All] [07/20/2024]</t>
  </si>
  <si>
    <t>CRC LSE/War Room Audits 07/21/2024,CRC QA Miss,Validated,</t>
  </si>
  <si>
    <t>https://issues.amazon.com/issues/V1459275542</t>
  </si>
  <si>
    <t>https://issues.amazon.com/issues/V1459274917</t>
  </si>
  <si>
    <t>Mission Control [AMFlex DPs FlexComm] [07/20/2024]</t>
  </si>
  <si>
    <t>https://issues.amazon.com/issues/V1459274731</t>
  </si>
  <si>
    <t>Mission Control [AMZL DA FlexComm] [07/20/2024]</t>
  </si>
  <si>
    <t>CRC LSE/War Room Audits 07/21/2024,</t>
  </si>
  <si>
    <t>https://issues.amazon.com/issues/V1459274477</t>
  </si>
  <si>
    <t>Mission Control [Email] [7/20/2024]</t>
  </si>
  <si>
    <t>https://issues.amazon.com/issues/V1459275511</t>
  </si>
  <si>
    <t>LSE War Room [Text Em All] [07/20/2024]</t>
  </si>
  <si>
    <t>https://issues.amazon.com/issues/V1459275558</t>
  </si>
  <si>
    <t>https://issues.amazon.com/issues/V1459275552</t>
  </si>
  <si>
    <t>https://issues.amazon.com/issues/V1459275547</t>
  </si>
  <si>
    <t>https://issues.amazon.com/issues/V1459275536</t>
  </si>
  <si>
    <t>https://issues.amazon.com/issues/V1459275526</t>
  </si>
  <si>
    <t>https://issues.amazon.com/issues/V1459275516</t>
  </si>
  <si>
    <t>https://issues.amazon.com/issues/V1459275506</t>
  </si>
  <si>
    <t>https://issues.amazon.com/issues/V1459275497</t>
  </si>
  <si>
    <t>https://issues.amazon.com/issues/V1459274896</t>
  </si>
  <si>
    <t>https://issues.amazon.com/issues/V1459274889</t>
  </si>
  <si>
    <t>https://issues.amazon.com/issues/V1459274884</t>
  </si>
  <si>
    <t>https://issues.amazon.com/issues/V1459274882</t>
  </si>
  <si>
    <t>https://issues.amazon.com/issues/V1459274878</t>
  </si>
  <si>
    <t>https://issues.amazon.com/issues/V1459274868</t>
  </si>
  <si>
    <t>LSE War Room [AMFlex DPs FlexComm] [07/20/2024]</t>
  </si>
  <si>
    <t>https://issues.amazon.com/issues/V1459274873</t>
  </si>
  <si>
    <t>https://issues.amazon.com/issues/V1459274858</t>
  </si>
  <si>
    <t>https://issues.amazon.com/issues/V1459274853</t>
  </si>
  <si>
    <t>https://issues.amazon.com/issues/V1459274744</t>
  </si>
  <si>
    <t>https://issues.amazon.com/issues/V1459274740</t>
  </si>
  <si>
    <t>https://issues.amazon.com/issues/V1459274736</t>
  </si>
  <si>
    <t>https://issues.amazon.com/issues/V1459274728</t>
  </si>
  <si>
    <t>https://issues.amazon.com/issues/V1459274720</t>
  </si>
  <si>
    <t>https://issues.amazon.com/issues/V1459274713</t>
  </si>
  <si>
    <t>https://issues.amazon.com/issues/V1459274707</t>
  </si>
  <si>
    <t>LSE War Room [AMZL DA FlexComm] [07/20/2024]</t>
  </si>
  <si>
    <t>https://issues.amazon.com/issues/V1459274704</t>
  </si>
  <si>
    <t>https://issues.amazon.com/issues/V1459274695</t>
  </si>
  <si>
    <t>https://issues.amazon.com/issues/V1459274682</t>
  </si>
  <si>
    <t>https://issues.amazon.com/issues/V1459274678</t>
  </si>
  <si>
    <t>https://issues.amazon.com/issues/V1459274503</t>
  </si>
  <si>
    <t>https://issues.amazon.com/issues/V1459274494</t>
  </si>
  <si>
    <t>https://issues.amazon.com/issues/V1459274488</t>
  </si>
  <si>
    <t>https://issues.amazon.com/issues/V1459274482</t>
  </si>
  <si>
    <t>https://issues.amazon.com/issues/V1459274474</t>
  </si>
  <si>
    <t>https://issues.amazon.com/issues/V1459274466</t>
  </si>
  <si>
    <t>https://issues.amazon.com/issues/V1459274461</t>
  </si>
  <si>
    <t>LSE War Room [Email] [7/20/2024]</t>
  </si>
  <si>
    <t>https://issues.amazon.com/issues/V1459274454</t>
  </si>
  <si>
    <t>https://issues.amazon.com/issues/V1459274447</t>
  </si>
  <si>
    <t>https://issues.amazon.com/issues/V1459274443</t>
  </si>
  <si>
    <t>https://issues.amazon.com/issues/V1459274438</t>
  </si>
  <si>
    <t>https://issues.amazon.com/issues/V1450938217</t>
  </si>
  <si>
    <t>Mission Control [Text Em All] [07/12/2024]</t>
  </si>
  <si>
    <t>CRC LSE/War Room Audits 07/13/2024,CRC QA Miss,Validated,</t>
  </si>
  <si>
    <t>Text was not sent,QUIP: Snip was not added,</t>
  </si>
  <si>
    <t>https://issues.amazon.com/issues/V1458415404</t>
  </si>
  <si>
    <t>Mission Control [AMFlex DPs FlexComm] [07/19/2024]</t>
  </si>
  <si>
    <t>CRC LSE/War Room Audits 07/20/2024,</t>
  </si>
  <si>
    <t>https://issues.amazon.com/issues/V1458415393</t>
  </si>
  <si>
    <t>LSE War Room [AMFlex DPs FlexComm] [07/19/2024]</t>
  </si>
  <si>
    <t>https://issues.amazon.com/issues/V1458415331</t>
  </si>
  <si>
    <t>Mission Control [AMZL DA FlexComm] [07/19/2024]</t>
  </si>
  <si>
    <t>https://issues.amazon.com/issues/V1458415326</t>
  </si>
  <si>
    <t>https://issues.amazon.com/issues/V1458415319</t>
  </si>
  <si>
    <t>https://issues.amazon.com/issues/V1458415305</t>
  </si>
  <si>
    <t>LSE War Room [AMZL DA FlexComm] [07/19/2024]</t>
  </si>
  <si>
    <t>https://issues.amazon.com/issues/V1458415311</t>
  </si>
  <si>
    <t>https://issues.amazon.com/issues/V1458415239</t>
  </si>
  <si>
    <t>Mission Control [Email] [7/19/2024]</t>
  </si>
  <si>
    <t>https://issues.amazon.com/issues/V1458415221</t>
  </si>
  <si>
    <t>https://issues.amazon.com/issues/V1458415235</t>
  </si>
  <si>
    <t>https://issues.amazon.com/issues/V1458415227</t>
  </si>
  <si>
    <t>https://issues.amazon.com/issues/V1458415217</t>
  </si>
  <si>
    <t>LSE War Room [Email] [7/19/2024]</t>
  </si>
  <si>
    <t>https://issues.amazon.com/issues/V1458415019</t>
  </si>
  <si>
    <t>Mission Control [Text Em All] [07/19/2024]</t>
  </si>
  <si>
    <t>https://issues.amazon.com/issues/V1458415013</t>
  </si>
  <si>
    <t>https://issues.amazon.com/issues/V1458415011</t>
  </si>
  <si>
    <t>https://issues.amazon.com/issues/V1458415006</t>
  </si>
  <si>
    <t>https://issues.amazon.com/issues/V1458415002</t>
  </si>
  <si>
    <t>LSE War Room [Text Em All] [07/19/2024]</t>
  </si>
  <si>
    <t>https://issues.amazon.com/issues/V1457467282</t>
  </si>
  <si>
    <t>Mission Control [AMZL DA FlexComm] [07/18/2024]</t>
  </si>
  <si>
    <t>CRC LSE/War Room Audits 07/19/2024,</t>
  </si>
  <si>
    <t>https://issues.amazon.com/issues/V1457468379</t>
  </si>
  <si>
    <t>https://issues.amazon.com/issues/V1457468355</t>
  </si>
  <si>
    <t>https://issues.amazon.com/issues/V1457468210</t>
  </si>
  <si>
    <t>LSE War Room [AMFlex DPs FlexComm] [07/18/2024]</t>
  </si>
  <si>
    <t>https://issues.amazon.com/issues/V1457468291</t>
  </si>
  <si>
    <t>https://issues.amazon.com/issues/V1457468311</t>
  </si>
  <si>
    <t>https://issues.amazon.com/issues/V1457468259</t>
  </si>
  <si>
    <t>https://issues.amazon.com/issues/V1457468276</t>
  </si>
  <si>
    <t>https://issues.amazon.com/issues/V1457468251</t>
  </si>
  <si>
    <t>https://issues.amazon.com/issues/V1457468219</t>
  </si>
  <si>
    <t>https://issues.amazon.com/issues/V1457468236</t>
  </si>
  <si>
    <t>https://issues.amazon.com/issues/V1457468224</t>
  </si>
  <si>
    <t>https://issues.amazon.com/issues/V1457468205</t>
  </si>
  <si>
    <t>https://issues.amazon.com/issues/V1457467326</t>
  </si>
  <si>
    <t>https://issues.amazon.com/issues/V1457467372</t>
  </si>
  <si>
    <t>https://issues.amazon.com/issues/V1457467370</t>
  </si>
  <si>
    <t>https://issues.amazon.com/issues/V1457467360</t>
  </si>
  <si>
    <t>https://issues.amazon.com/issues/V1457467351</t>
  </si>
  <si>
    <t>https://issues.amazon.com/issues/V1457467341</t>
  </si>
  <si>
    <t>https://issues.amazon.com/issues/V1457467312</t>
  </si>
  <si>
    <t>https://issues.amazon.com/issues/V1457467299</t>
  </si>
  <si>
    <t>https://issues.amazon.com/issues/V1457467320</t>
  </si>
  <si>
    <t>https://issues.amazon.com/issues/V1457467272</t>
  </si>
  <si>
    <t>https://issues.amazon.com/issues/V1457467308</t>
  </si>
  <si>
    <t>https://issues.amazon.com/issues/V1457467287</t>
  </si>
  <si>
    <t>https://issues.amazon.com/issues/V1457467243</t>
  </si>
  <si>
    <t>LSE War Room [AMZL DA FlexComm] [07/18/2024]</t>
  </si>
  <si>
    <t>https://issues.amazon.com/issues/V1457467212</t>
  </si>
  <si>
    <t>https://issues.amazon.com/issues/V1457466781</t>
  </si>
  <si>
    <t>https://issues.amazon.com/issues/V1457466739</t>
  </si>
  <si>
    <t>https://issues.amazon.com/issues/V1457466768</t>
  </si>
  <si>
    <t>https://issues.amazon.com/issues/V1457466759</t>
  </si>
  <si>
    <t>https://issues.amazon.com/issues/V1457466748</t>
  </si>
  <si>
    <t>https://issues.amazon.com/issues/V1457466706</t>
  </si>
  <si>
    <t>https://issues.amazon.com/issues/V1457466729</t>
  </si>
  <si>
    <t>https://issues.amazon.com/issues/V1457466723</t>
  </si>
  <si>
    <t>https://issues.amazon.com/issues/V1457463761</t>
  </si>
  <si>
    <t>Mission Control [Text Em All] [07/18/2024]</t>
  </si>
  <si>
    <t>https://issues.amazon.com/issues/V1457466682</t>
  </si>
  <si>
    <t>https://issues.amazon.com/issues/V1457466654</t>
  </si>
  <si>
    <t>LSE War Room [Email] [7/18/2024]</t>
  </si>
  <si>
    <t>https://issues.amazon.com/issues/V1457466677</t>
  </si>
  <si>
    <t>https://issues.amazon.com/issues/V1457466672</t>
  </si>
  <si>
    <t>https://issues.amazon.com/issues/V1457466666</t>
  </si>
  <si>
    <t>https://issues.amazon.com/issues/V1457466660</t>
  </si>
  <si>
    <t>https://issues.amazon.com/issues/V1457466643</t>
  </si>
  <si>
    <t>https://issues.amazon.com/issues/V1457463582</t>
  </si>
  <si>
    <t>https://issues.amazon.com/issues/V1457466641</t>
  </si>
  <si>
    <t>https://issues.amazon.com/issues/V1457463749</t>
  </si>
  <si>
    <t>https://issues.amazon.com/issues/V1457463721</t>
  </si>
  <si>
    <t>https://issues.amazon.com/issues/V1457463736</t>
  </si>
  <si>
    <t>https://issues.amazon.com/issues/V1457463703</t>
  </si>
  <si>
    <t>https://issues.amazon.com/issues/V1457463695</t>
  </si>
  <si>
    <t>https://issues.amazon.com/issues/V1457463625</t>
  </si>
  <si>
    <t>https://issues.amazon.com/issues/V1457463608</t>
  </si>
  <si>
    <t>https://issues.amazon.com/issues/V1457463591</t>
  </si>
  <si>
    <t>https://issues.amazon.com/issues/V1457463564</t>
  </si>
  <si>
    <t>LSE War Room [Text Em All] [07/18/2024]</t>
  </si>
  <si>
    <t>https://issues.amazon.com/issues/V1457463570</t>
  </si>
  <si>
    <t>https://issues.amazon.com/issues/V1457463552</t>
  </si>
  <si>
    <t>https://issues.amazon.com/issues/V1457463554</t>
  </si>
  <si>
    <t>https://issues.amazon.com/issues/V1457463536</t>
  </si>
  <si>
    <t>https://issues.amazon.com/issues/V1456270129</t>
  </si>
  <si>
    <t>Mission Control [Text Em All] [07/17/2024]</t>
  </si>
  <si>
    <t>CRC LSE/War Room Audits 07/18/2024,</t>
  </si>
  <si>
    <t>https://issues.amazon.com/issues/V1456268933</t>
  </si>
  <si>
    <t>LSE War Room [Text Em All] [07/17/2024]</t>
  </si>
  <si>
    <t>https://issues.amazon.com/issues/V1456268916</t>
  </si>
  <si>
    <t>LSE War Room [Email] [7/17/2024]</t>
  </si>
  <si>
    <t>https://issues.amazon.com/issues/V1456268894</t>
  </si>
  <si>
    <t>https://issues.amazon.com/issues/V1456268883</t>
  </si>
  <si>
    <t>https://issues.amazon.com/issues/V1456269580</t>
  </si>
  <si>
    <t>Mission Control [Email] [7/17/2024]</t>
  </si>
  <si>
    <t>https://issues.amazon.com/issues/V1456270257</t>
  </si>
  <si>
    <t>Mission Control [AMZL DA FlexComm] [07/17/2024]</t>
  </si>
  <si>
    <t>CRC LSE/War Room Audits 07/18/2024,CRC QA Miss,</t>
  </si>
  <si>
    <t>https://issues.amazon.com/issues/V1456268988</t>
  </si>
  <si>
    <t>https://issues.amazon.com/issues/V1456270173</t>
  </si>
  <si>
    <t>https://issues.amazon.com/issues/V1456270206</t>
  </si>
  <si>
    <t>https://issues.amazon.com/issues/V1456269962</t>
  </si>
  <si>
    <t>https://issues.amazon.com/issues/V1456270053</t>
  </si>
  <si>
    <t>https://issues.amazon.com/issues/V1456270103</t>
  </si>
  <si>
    <t>https://issues.amazon.com/issues/V1456269998</t>
  </si>
  <si>
    <t>https://issues.amazon.com/issues/V1456269899</t>
  </si>
  <si>
    <t>https://issues.amazon.com/issues/V1456269928</t>
  </si>
  <si>
    <t>https://issues.amazon.com/issues/V1456269630</t>
  </si>
  <si>
    <t>https://issues.amazon.com/issues/V1456269857</t>
  </si>
  <si>
    <t>https://issues.amazon.com/issues/V1456269813</t>
  </si>
  <si>
    <t>https://issues.amazon.com/issues/V1456269766</t>
  </si>
  <si>
    <t>https://issues.amazon.com/issues/V1456269528</t>
  </si>
  <si>
    <t>https://issues.amazon.com/issues/V1456269724</t>
  </si>
  <si>
    <t>https://issues.amazon.com/issues/V1456269700</t>
  </si>
  <si>
    <t>https://issues.amazon.com/issues/V1456269664</t>
  </si>
  <si>
    <t>https://issues.amazon.com/issues/V1456269603</t>
  </si>
  <si>
    <t>https://issues.amazon.com/issues/V1456269557</t>
  </si>
  <si>
    <t>https://issues.amazon.com/issues/V1456269480</t>
  </si>
  <si>
    <t>https://issues.amazon.com/issues/V1456269447</t>
  </si>
  <si>
    <t>https://issues.amazon.com/issues/V1456269414</t>
  </si>
  <si>
    <t>https://issues.amazon.com/issues/V1456269386</t>
  </si>
  <si>
    <t>Mission Control [AMFlex DPs FlexComm] [07/17/2024]</t>
  </si>
  <si>
    <t>https://issues.amazon.com/issues/V1456269358</t>
  </si>
  <si>
    <t>https://issues.amazon.com/issues/V1456269336</t>
  </si>
  <si>
    <t>https://issues.amazon.com/issues/V1456269274</t>
  </si>
  <si>
    <t>https://issues.amazon.com/issues/V1456269182</t>
  </si>
  <si>
    <t>https://issues.amazon.com/issues/V1456269307</t>
  </si>
  <si>
    <t>https://issues.amazon.com/issues/V1456269249</t>
  </si>
  <si>
    <t>https://issues.amazon.com/issues/V1456269108</t>
  </si>
  <si>
    <t>MC Missing War Room Chime Post,</t>
  </si>
  <si>
    <t>https://issues.amazon.com/issues/V1456269222</t>
  </si>
  <si>
    <t>https://issues.amazon.com/issues/V1456269154</t>
  </si>
  <si>
    <t>https://issues.amazon.com/issues/V1456269084</t>
  </si>
  <si>
    <t>https://issues.amazon.com/issues/V1456269129</t>
  </si>
  <si>
    <t>https://issues.amazon.com/issues/V1456268993</t>
  </si>
  <si>
    <t>https://issues.amazon.com/issues/V1456269045</t>
  </si>
  <si>
    <t>https://issues.amazon.com/issues/V1456268969</t>
  </si>
  <si>
    <t>https://issues.amazon.com/issues/V1456268977</t>
  </si>
  <si>
    <t>https://issues.amazon.com/issues/V1456268983</t>
  </si>
  <si>
    <t>https://issues.amazon.com/issues/V1456268940</t>
  </si>
  <si>
    <t>https://issues.amazon.com/issues/V1456268963</t>
  </si>
  <si>
    <t>https://issues.amazon.com/issues/V1456268951</t>
  </si>
  <si>
    <t>https://issues.amazon.com/issues/V1456268955</t>
  </si>
  <si>
    <t>https://issues.amazon.com/issues/V1456268929</t>
  </si>
  <si>
    <t>https://issues.amazon.com/issues/V1456268904</t>
  </si>
  <si>
    <t>https://issues.amazon.com/issues/V1456268885</t>
  </si>
  <si>
    <t>https://issues.amazon.com/issues/V1456268879</t>
  </si>
  <si>
    <t>https://issues.amazon.com/issues/V1456268862</t>
  </si>
  <si>
    <t>LSE War Room [AMFlex DPs FlexComm] [07/17/2024]</t>
  </si>
  <si>
    <t>https://issues.amazon.com/issues/V1456268849</t>
  </si>
  <si>
    <t>https://issues.amazon.com/issues/V1456268875</t>
  </si>
  <si>
    <t>https://issues.amazon.com/issues/V1456268870</t>
  </si>
  <si>
    <t>https://issues.amazon.com/issues/V1456268841</t>
  </si>
  <si>
    <t>https://issues.amazon.com/issues/V1456268839</t>
  </si>
  <si>
    <t>https://issues.amazon.com/issues/V1456268825</t>
  </si>
  <si>
    <t>https://issues.amazon.com/issues/V1456268826</t>
  </si>
  <si>
    <t>https://issues.amazon.com/issues/V1456268821</t>
  </si>
  <si>
    <t>https://issues.amazon.com/issues/V1455099327</t>
  </si>
  <si>
    <t>CRC LSE/War Room Audits 07/17/2024,CRC QA Miss,Excluded - SW/Process Discrepancy,Validated,</t>
  </si>
  <si>
    <t>https://issues.amazon.com/issues/V1453910676</t>
  </si>
  <si>
    <t>Mission Control [AMFlex DPs FlexComm] [07/15/2024]</t>
  </si>
  <si>
    <t>CRC LSE/War Room Audits 07/16/2024,CRC QA Miss,Validated,</t>
  </si>
  <si>
    <t>https://issues.amazon.com/issues/V1453910641</t>
  </si>
  <si>
    <t>Mission Control [AMZL DA FlexComm] [07/15/2024]</t>
  </si>
  <si>
    <t>https://issues.amazon.com/issues/V1453910922</t>
  </si>
  <si>
    <t>Mission Control [Text Em All] [07/15/2024]</t>
  </si>
  <si>
    <t>https://issues.amazon.com/issues/V1453910854</t>
  </si>
  <si>
    <t>Mission Control [Email] [7/15/2024]</t>
  </si>
  <si>
    <t>https://issues.amazon.com/issues/V1455099921</t>
  </si>
  <si>
    <t>Mission Control [Email] [7/16/2024]</t>
  </si>
  <si>
    <t>CRC LSE/War Room Audits 07/17/2024,</t>
  </si>
  <si>
    <t>https://issues.amazon.com/issues/V1455099868</t>
  </si>
  <si>
    <t>Mission Control [AMFlex DPs FlexComm] [07/16/2024]</t>
  </si>
  <si>
    <t>https://issues.amazon.com/issues/V1455099590</t>
  </si>
  <si>
    <t>Mission Control [AMZL DA FlexComm] [07/16/2024]</t>
  </si>
  <si>
    <t>https://issues.amazon.com/issues/V1455099246</t>
  </si>
  <si>
    <t>LSE War Room [Email] [7/16/2024]</t>
  </si>
  <si>
    <t>https://issues.amazon.com/issues/V1455099235</t>
  </si>
  <si>
    <t>https://issues.amazon.com/issues/V1455099256</t>
  </si>
  <si>
    <t>https://issues.amazon.com/issues/V1455100461</t>
  </si>
  <si>
    <t>https://issues.amazon.com/issues/V1455100428</t>
  </si>
  <si>
    <t>https://issues.amazon.com/issues/V1455100371</t>
  </si>
  <si>
    <t>Mission Control [Text Em All] [07/16/2024]</t>
  </si>
  <si>
    <t>https://issues.amazon.com/issues/V1455100256</t>
  </si>
  <si>
    <t>https://issues.amazon.com/issues/V1455100327</t>
  </si>
  <si>
    <t>https://issues.amazon.com/issues/V1455100298</t>
  </si>
  <si>
    <t>https://issues.amazon.com/issues/V1455100193</t>
  </si>
  <si>
    <t>https://issues.amazon.com/issues/V1455100228</t>
  </si>
  <si>
    <t>https://issues.amazon.com/issues/V1455100163</t>
  </si>
  <si>
    <t>https://issues.amazon.com/issues/V1455100125</t>
  </si>
  <si>
    <t>https://issues.amazon.com/issues/V1455100088</t>
  </si>
  <si>
    <t>https://issues.amazon.com/issues/V1455100057</t>
  </si>
  <si>
    <t>https://issues.amazon.com/issues/V1455100008</t>
  </si>
  <si>
    <t>https://issues.amazon.com/issues/V1455099980</t>
  </si>
  <si>
    <t>https://issues.amazon.com/issues/V1455099950</t>
  </si>
  <si>
    <t>https://issues.amazon.com/issues/V1455099893</t>
  </si>
  <si>
    <t>https://issues.amazon.com/issues/V1455099830</t>
  </si>
  <si>
    <t>https://issues.amazon.com/issues/V1455099811</t>
  </si>
  <si>
    <t>https://issues.amazon.com/issues/V1455099792</t>
  </si>
  <si>
    <t>https://issues.amazon.com/issues/V1455099754</t>
  </si>
  <si>
    <t>https://issues.amazon.com/issues/V1455099717</t>
  </si>
  <si>
    <t>https://issues.amazon.com/issues/V1455099679</t>
  </si>
  <si>
    <t>https://issues.amazon.com/issues/V1455099643</t>
  </si>
  <si>
    <t>https://issues.amazon.com/issues/V1455099619</t>
  </si>
  <si>
    <t>https://issues.amazon.com/issues/V1455099553</t>
  </si>
  <si>
    <t>https://issues.amazon.com/issues/V1455099525</t>
  </si>
  <si>
    <t>https://issues.amazon.com/issues/V1455099486</t>
  </si>
  <si>
    <t>https://issues.amazon.com/issues/V1455099451</t>
  </si>
  <si>
    <t>https://issues.amazon.com/issues/V1455099423</t>
  </si>
  <si>
    <t>https://issues.amazon.com/issues/V1455099398</t>
  </si>
  <si>
    <t>https://issues.amazon.com/issues/V1455099376</t>
  </si>
  <si>
    <t>https://issues.amazon.com/issues/V1455099305</t>
  </si>
  <si>
    <t>https://issues.amazon.com/issues/V1455099285</t>
  </si>
  <si>
    <t>https://issues.amazon.com/issues/V1455099281</t>
  </si>
  <si>
    <t>https://issues.amazon.com/issues/V1455099276</t>
  </si>
  <si>
    <t>https://issues.amazon.com/issues/V1455099270</t>
  </si>
  <si>
    <t>https://issues.amazon.com/issues/V1455099265</t>
  </si>
  <si>
    <t>https://issues.amazon.com/issues/V1455099250</t>
  </si>
  <si>
    <t>https://issues.amazon.com/issues/V1455099230</t>
  </si>
  <si>
    <t>https://issues.amazon.com/issues/V1455099219</t>
  </si>
  <si>
    <t>https://issues.amazon.com/issues/V1455099212</t>
  </si>
  <si>
    <t>LSE War Room [AMFlex DPs FlexComm] [07/16/2024]</t>
  </si>
  <si>
    <t>https://issues.amazon.com/issues/V1455099203</t>
  </si>
  <si>
    <t>https://issues.amazon.com/issues/V1455099192</t>
  </si>
  <si>
    <t>https://issues.amazon.com/issues/V1455099177</t>
  </si>
  <si>
    <t>https://issues.amazon.com/issues/V1455099167</t>
  </si>
  <si>
    <t>LSE War Room [AMZL DA FlexComm] [07/16/2024]</t>
  </si>
  <si>
    <t>https://issues.amazon.com/issues/V1455099157</t>
  </si>
  <si>
    <t>https://issues.amazon.com/issues/V1455099148</t>
  </si>
  <si>
    <t>https://issues.amazon.com/issues/V1455099142</t>
  </si>
  <si>
    <t>https://issues.amazon.com/issues/V1455099133</t>
  </si>
  <si>
    <t>https://issues.amazon.com/issues/V1455099127</t>
  </si>
  <si>
    <t>https://issues.amazon.com/issues/V1455099119</t>
  </si>
  <si>
    <t>https://issues.amazon.com/issues/V1455099113</t>
  </si>
  <si>
    <t>https://issues.amazon.com/issues/V1455099105</t>
  </si>
  <si>
    <t>https://issues.amazon.com/issues/V1455099101</t>
  </si>
  <si>
    <t>https://issues.amazon.com/issues/V1453910338</t>
  </si>
  <si>
    <t>CRC LSE/War Room Audits 07/16/2024,</t>
  </si>
  <si>
    <t>https://issues.amazon.com/issues/V1453910439</t>
  </si>
  <si>
    <t>https://issues.amazon.com/issues/V1453910812</t>
  </si>
  <si>
    <t>https://issues.amazon.com/issues/V1453910898</t>
  </si>
  <si>
    <t>https://issues.amazon.com/issues/V1453910586</t>
  </si>
  <si>
    <t>https://issues.amazon.com/issues/V1453910957</t>
  </si>
  <si>
    <t>https://issues.amazon.com/issues/V1453910560</t>
  </si>
  <si>
    <t>https://issues.amazon.com/issues/V1453910711</t>
  </si>
  <si>
    <t>https://issues.amazon.com/issues/V1453911056</t>
  </si>
  <si>
    <t>LSE War Room [Text Em All] [07/15/2024]</t>
  </si>
  <si>
    <t>https://issues.amazon.com/issues/V1453908512</t>
  </si>
  <si>
    <t>LSE War Room [Email] [7/15/2024]</t>
  </si>
  <si>
    <t>https://issues.amazon.com/issues/V1453910299</t>
  </si>
  <si>
    <t>https://issues.amazon.com/issues/V1453910251</t>
  </si>
  <si>
    <t>https://issues.amazon.com/issues/V1453910215</t>
  </si>
  <si>
    <t>https://issues.amazon.com/issues/V1453910178</t>
  </si>
  <si>
    <t>https://issues.amazon.com/issues/V1453910139</t>
  </si>
  <si>
    <t>https://issues.amazon.com/issues/V1453910110</t>
  </si>
  <si>
    <t>https://issues.amazon.com/issues/V1453910080</t>
  </si>
  <si>
    <t>https://issues.amazon.com/issues/V1453910037</t>
  </si>
  <si>
    <t>https://issues.amazon.com/issues/V1453909986</t>
  </si>
  <si>
    <t>https://issues.amazon.com/issues/V1453909900</t>
  </si>
  <si>
    <t>https://issues.amazon.com/issues/V1453909865</t>
  </si>
  <si>
    <t>https://issues.amazon.com/issues/V1453909835</t>
  </si>
  <si>
    <t>https://issues.amazon.com/issues/V1453909803</t>
  </si>
  <si>
    <t>https://issues.amazon.com/issues/V1453909775</t>
  </si>
  <si>
    <t>https://issues.amazon.com/issues/V1453909740</t>
  </si>
  <si>
    <t>https://issues.amazon.com/issues/V1453909716</t>
  </si>
  <si>
    <t>https://issues.amazon.com/issues/V1453909693</t>
  </si>
  <si>
    <t>https://issues.amazon.com/issues/V1453909660</t>
  </si>
  <si>
    <t>https://issues.amazon.com/issues/V1453909621</t>
  </si>
  <si>
    <t>https://issues.amazon.com/issues/V1453909585</t>
  </si>
  <si>
    <t>https://issues.amazon.com/issues/V1453909543</t>
  </si>
  <si>
    <t>https://issues.amazon.com/issues/V1453909518</t>
  </si>
  <si>
    <t>https://issues.amazon.com/issues/V1453909471</t>
  </si>
  <si>
    <t>https://issues.amazon.com/issues/V1453909435</t>
  </si>
  <si>
    <t>https://issues.amazon.com/issues/V1453909378</t>
  </si>
  <si>
    <t>https://issues.amazon.com/issues/V1453909320</t>
  </si>
  <si>
    <t>https://issues.amazon.com/issues/V1453909282</t>
  </si>
  <si>
    <t>https://issues.amazon.com/issues/V1453909215</t>
  </si>
  <si>
    <t>https://issues.amazon.com/issues/V1453909183</t>
  </si>
  <si>
    <t>https://issues.amazon.com/issues/V1453909151</t>
  </si>
  <si>
    <t>https://issues.amazon.com/issues/V1453909073</t>
  </si>
  <si>
    <t>https://issues.amazon.com/issues/V1453909039</t>
  </si>
  <si>
    <t>https://issues.amazon.com/issues/V1453909011</t>
  </si>
  <si>
    <t>https://issues.amazon.com/issues/V1453908974</t>
  </si>
  <si>
    <t>https://issues.amazon.com/issues/V1453908931</t>
  </si>
  <si>
    <t>https://issues.amazon.com/issues/V1453908892</t>
  </si>
  <si>
    <t>https://issues.amazon.com/issues/V1453908854</t>
  </si>
  <si>
    <t>https://issues.amazon.com/issues/V1453908832</t>
  </si>
  <si>
    <t>https://issues.amazon.com/issues/V1453910993</t>
  </si>
  <si>
    <t>LSE War Room [AMZL DA FlexComm] [07/15/2024]</t>
  </si>
  <si>
    <t>https://issues.amazon.com/issues/V1453908799</t>
  </si>
  <si>
    <t>https://issues.amazon.com/issues/V1453908765</t>
  </si>
  <si>
    <t>https://issues.amazon.com/issues/V1453909348</t>
  </si>
  <si>
    <t>https://issues.amazon.com/issues/V1453908738</t>
  </si>
  <si>
    <t>https://issues.amazon.com/issues/V1453909251</t>
  </si>
  <si>
    <t>https://issues.amazon.com/issues/V1453908699</t>
  </si>
  <si>
    <t>https://issues.amazon.com/issues/V1453909117</t>
  </si>
  <si>
    <t>https://issues.amazon.com/issues/V1453908669</t>
  </si>
  <si>
    <t>https://issues.amazon.com/issues/V1453908640</t>
  </si>
  <si>
    <t>https://issues.amazon.com/issues/V1452780694</t>
  </si>
  <si>
    <t>Mission Control [AMFlex DPs FlexComm] [07/14/2024]</t>
  </si>
  <si>
    <t>CRC LSE/War Room Audits 07/15/2024,CRC QA Miss,Validated,</t>
  </si>
  <si>
    <t>https://issues.amazon.com/issues/V1453909943</t>
  </si>
  <si>
    <t>https://issues.amazon.com/issues/V1453908601</t>
  </si>
  <si>
    <t>https://issues.amazon.com/issues/V1453908563</t>
  </si>
  <si>
    <t>https://issues.amazon.com/issues/V1453910515</t>
  </si>
  <si>
    <t>https://issues.amazon.com/issues/V1453908482</t>
  </si>
  <si>
    <t>LSE War Room [AMFlex DPs FlexComm] [07/15/2024]</t>
  </si>
  <si>
    <t>https://issues.amazon.com/issues/V1453908465</t>
  </si>
  <si>
    <t>https://issues.amazon.com/issues/V1453908462</t>
  </si>
  <si>
    <t>https://issues.amazon.com/issues/V1453908457</t>
  </si>
  <si>
    <t>https://issues.amazon.com/issues/V1453908446</t>
  </si>
  <si>
    <t>https://issues.amazon.com/issues/V1453908437</t>
  </si>
  <si>
    <t>https://issues.amazon.com/issues/V1453908433</t>
  </si>
  <si>
    <t>https://issues.amazon.com/issues/V1453908430</t>
  </si>
  <si>
    <t>https://issues.amazon.com/issues/V1453908420</t>
  </si>
  <si>
    <t>https://issues.amazon.com/issues/V1453908400</t>
  </si>
  <si>
    <t>https://issues.amazon.com/issues/V1453908412</t>
  </si>
  <si>
    <t>https://issues.amazon.com/issues/V1453908397</t>
  </si>
  <si>
    <t>https://issues.amazon.com/issues/V1453908388</t>
  </si>
  <si>
    <t>https://issues.amazon.com/issues/V1453908378</t>
  </si>
  <si>
    <t>https://issues.amazon.com/issues/V1453910386</t>
  </si>
  <si>
    <t>https://issues.amazon.com/issues/V1453908373</t>
  </si>
  <si>
    <t>https://issues.amazon.com/issues/V1453908365</t>
  </si>
  <si>
    <t>https://issues.amazon.com/issues/V1453910480</t>
  </si>
  <si>
    <t>https://issues.amazon.com/issues/V1453908355</t>
  </si>
  <si>
    <t>https://issues.amazon.com/issues/V1453910788</t>
  </si>
  <si>
    <t>https://issues.amazon.com/issues/V1453908342</t>
  </si>
  <si>
    <t>https://issues.amazon.com/issues/V1453908338</t>
  </si>
  <si>
    <t>https://issues.amazon.com/issues/V1453908316</t>
  </si>
  <si>
    <t>https://issues.amazon.com/issues/V1453908329</t>
  </si>
  <si>
    <t>https://issues.amazon.com/issues/V1453908304</t>
  </si>
  <si>
    <t>https://issues.amazon.com/issues/V1453910746</t>
  </si>
  <si>
    <t>https://issues.amazon.com/issues/V1453908296</t>
  </si>
  <si>
    <t>https://issues.amazon.com/issues/V1453908285</t>
  </si>
  <si>
    <t>https://issues.amazon.com/issues/V1453908275</t>
  </si>
  <si>
    <t>https://issues.amazon.com/issues/V1453908267</t>
  </si>
  <si>
    <t>https://issues.amazon.com/issues/V1453911101</t>
  </si>
  <si>
    <t>https://issues.amazon.com/issues/V1452780728</t>
  </si>
  <si>
    <t>Mission Control [Text Em All] [07/14/2024]</t>
  </si>
  <si>
    <t>CRC LSE/War Room Audits 07/15/2024,</t>
  </si>
  <si>
    <t>https://issues.amazon.com/issues/V1452779823</t>
  </si>
  <si>
    <t>https://issues.amazon.com/issues/V1452779780</t>
  </si>
  <si>
    <t>LSE War Room [Email] [7/14/2024]</t>
  </si>
  <si>
    <t>https://issues.amazon.com/issues/V1452779715</t>
  </si>
  <si>
    <t>LSE War Room [Text Em All] [07/14/2024]</t>
  </si>
  <si>
    <t>https://issues.amazon.com/issues/V1452781322</t>
  </si>
  <si>
    <t>Mission Control [AMZL DA FlexComm] [07/14/2024]</t>
  </si>
  <si>
    <t>https://issues.amazon.com/issues/V1452781281</t>
  </si>
  <si>
    <t>Mission Control [Email] [7/14/2024]</t>
  </si>
  <si>
    <t>https://issues.amazon.com/issues/V1452781256</t>
  </si>
  <si>
    <t>https://issues.amazon.com/issues/V1452781166</t>
  </si>
  <si>
    <t>https://issues.amazon.com/issues/V1452781209</t>
  </si>
  <si>
    <t>https://issues.amazon.com/issues/V1452781127</t>
  </si>
  <si>
    <t>https://issues.amazon.com/issues/V1452781099</t>
  </si>
  <si>
    <t>https://issues.amazon.com/issues/V1452781066</t>
  </si>
  <si>
    <t>https://issues.amazon.com/issues/V1452781035</t>
  </si>
  <si>
    <t>https://issues.amazon.com/issues/V1452781009</t>
  </si>
  <si>
    <t>https://issues.amazon.com/issues/V1452780982</t>
  </si>
  <si>
    <t>https://issues.amazon.com/issues/V1452780920</t>
  </si>
  <si>
    <t>https://issues.amazon.com/issues/V1452780956</t>
  </si>
  <si>
    <t>https://issues.amazon.com/issues/V1452780885</t>
  </si>
  <si>
    <t>https://issues.amazon.com/issues/V1452780815</t>
  </si>
  <si>
    <t>https://issues.amazon.com/issues/V1452780853</t>
  </si>
  <si>
    <t>https://issues.amazon.com/issues/V1452780785</t>
  </si>
  <si>
    <t>https://issues.amazon.com/issues/V1452780755</t>
  </si>
  <si>
    <t>https://issues.amazon.com/issues/V1452780595</t>
  </si>
  <si>
    <t>https://issues.amazon.com/issues/V1452780663</t>
  </si>
  <si>
    <t>https://issues.amazon.com/issues/V1452780623</t>
  </si>
  <si>
    <t>https://issues.amazon.com/issues/V1452780514</t>
  </si>
  <si>
    <t>https://issues.amazon.com/issues/V1452780563</t>
  </si>
  <si>
    <t>https://issues.amazon.com/issues/V1452780441</t>
  </si>
  <si>
    <t>https://issues.amazon.com/issues/V1452780474</t>
  </si>
  <si>
    <t>https://issues.amazon.com/issues/V1452780413</t>
  </si>
  <si>
    <t>https://issues.amazon.com/issues/V1452780195</t>
  </si>
  <si>
    <t>https://issues.amazon.com/issues/V1452780383</t>
  </si>
  <si>
    <t>https://issues.amazon.com/issues/V1452780346</t>
  </si>
  <si>
    <t>https://issues.amazon.com/issues/V1452780307</t>
  </si>
  <si>
    <t>https://issues.amazon.com/issues/V1452780274</t>
  </si>
  <si>
    <t>https://issues.amazon.com/issues/V1452780238</t>
  </si>
  <si>
    <t>https://issues.amazon.com/issues/V1452780063</t>
  </si>
  <si>
    <t>https://issues.amazon.com/issues/V1452780157</t>
  </si>
  <si>
    <t>https://issues.amazon.com/issues/V1452780128</t>
  </si>
  <si>
    <t>https://issues.amazon.com/issues/V1452779902</t>
  </si>
  <si>
    <t>https://issues.amazon.com/issues/V1452779731</t>
  </si>
  <si>
    <t>LSE War Room [AMZL DA FlexComm] [07/14/2024]</t>
  </si>
  <si>
    <t>https://issues.amazon.com/issues/V1452780094</t>
  </si>
  <si>
    <t>https://issues.amazon.com/issues/V1452779700</t>
  </si>
  <si>
    <t>https://issues.amazon.com/issues/V1452780034</t>
  </si>
  <si>
    <t>https://issues.amazon.com/issues/V1452779952</t>
  </si>
  <si>
    <t>https://issues.amazon.com/issues/V1452779945</t>
  </si>
  <si>
    <t>https://issues.amazon.com/issues/V1452779936</t>
  </si>
  <si>
    <t>https://issues.amazon.com/issues/V1452779930</t>
  </si>
  <si>
    <t>https://issues.amazon.com/issues/V1452779916</t>
  </si>
  <si>
    <t>https://issues.amazon.com/issues/V1452779907</t>
  </si>
  <si>
    <t>https://issues.amazon.com/issues/V1452779894</t>
  </si>
  <si>
    <t>https://issues.amazon.com/issues/V1452779880</t>
  </si>
  <si>
    <t>https://issues.amazon.com/issues/V1452779866</t>
  </si>
  <si>
    <t>https://issues.amazon.com/issues/V1452779878</t>
  </si>
  <si>
    <t>https://issues.amazon.com/issues/V1452779858</t>
  </si>
  <si>
    <t>https://issues.amazon.com/issues/V1452779850</t>
  </si>
  <si>
    <t>https://issues.amazon.com/issues/V1452779835</t>
  </si>
  <si>
    <t>https://issues.amazon.com/issues/V1452779828</t>
  </si>
  <si>
    <t>https://issues.amazon.com/issues/V1452779820</t>
  </si>
  <si>
    <t>https://issues.amazon.com/issues/V1452779813</t>
  </si>
  <si>
    <t>https://issues.amazon.com/issues/V1452779807</t>
  </si>
  <si>
    <t>https://issues.amazon.com/issues/V1452779798</t>
  </si>
  <si>
    <t>https://issues.amazon.com/issues/V1452779793</t>
  </si>
  <si>
    <t>https://issues.amazon.com/issues/V1452779785</t>
  </si>
  <si>
    <t>https://issues.amazon.com/issues/V1452779772</t>
  </si>
  <si>
    <t>https://issues.amazon.com/issues/V1452779720</t>
  </si>
  <si>
    <t>https://issues.amazon.com/issues/V1452779712</t>
  </si>
  <si>
    <t>LSE War Room [AMFlex DPs FlexComm] [07/14/2024]</t>
  </si>
  <si>
    <t>https://issues.amazon.com/issues/V1448861779</t>
  </si>
  <si>
    <t>Mission Control [Text Em All] [07/10/2024]</t>
  </si>
  <si>
    <t>CRC LSE/War Room Audits 07/11/2024,CRC QA Miss,</t>
  </si>
  <si>
    <t>https://issues.amazon.com/issues/V1451836616</t>
  </si>
  <si>
    <t>LSE War Room [AMZL DA FlexComm] [07/13/2024]</t>
  </si>
  <si>
    <t>CRC LSE/War Room Audits 07/14/2024,</t>
  </si>
  <si>
    <t>https://issues.amazon.com/issues/V1451836624</t>
  </si>
  <si>
    <t>LSE War Room [AMFlex DPs FlexComm] [07/13/2024]</t>
  </si>
  <si>
    <t>https://issues.amazon.com/issues/V1451836627</t>
  </si>
  <si>
    <t>LSE War Room [Text Em All] [07/13/2024]</t>
  </si>
  <si>
    <t>https://issues.amazon.com/issues/V1451836634</t>
  </si>
  <si>
    <t>LSE War Room [Email] [7/13/2024]</t>
  </si>
  <si>
    <t>https://issues.amazon.com/issues/V1451836643</t>
  </si>
  <si>
    <t>https://issues.amazon.com/issues/V1451836648</t>
  </si>
  <si>
    <t>https://issues.amazon.com/issues/V1451836666</t>
  </si>
  <si>
    <t>Mission Control [AMZL DA FlexComm] [07/13/2024]</t>
  </si>
  <si>
    <t>https://issues.amazon.com/issues/V1451836674</t>
  </si>
  <si>
    <t>Mission Control [AMFlex DPs FlexComm] [07/13/2024]</t>
  </si>
  <si>
    <t>https://issues.amazon.com/issues/V1451836677</t>
  </si>
  <si>
    <t>Mission Control [Email] [7/13/2024]</t>
  </si>
  <si>
    <t>https://issues.amazon.com/issues/V1451836676</t>
  </si>
  <si>
    <t>Mission Control [Text Em All] [07/13/2024]</t>
  </si>
  <si>
    <t>https://issues.amazon.com/issues/V1451836656</t>
  </si>
  <si>
    <t>https://issues.amazon.com/issues/V1450938240</t>
  </si>
  <si>
    <t>Mission Control [AMFlex DPs FlexComm] [07/12/2024]</t>
  </si>
  <si>
    <t>CRC LSE/War Room Audits 07/13/2024,</t>
  </si>
  <si>
    <t>https://issues.amazon.com/issues/V1450938250</t>
  </si>
  <si>
    <t>Mission Control [Email] [7/12/2024]</t>
  </si>
  <si>
    <t>https://issues.amazon.com/issues/V1450938224</t>
  </si>
  <si>
    <t>CRC LSE/War Room Audits 07/13/2024,CRC QA Miss,</t>
  </si>
  <si>
    <t>https://issues.amazon.com/issues/V1450938231</t>
  </si>
  <si>
    <t>Mission Control [AMZL DA FlexComm] [07/12/2024]</t>
  </si>
  <si>
    <t>https://issues.amazon.com/issues/V1450938211</t>
  </si>
  <si>
    <t>https://issues.amazon.com/issues/V1450938201</t>
  </si>
  <si>
    <t>https://issues.amazon.com/issues/V1450938196</t>
  </si>
  <si>
    <t>https://issues.amazon.com/issues/V1450938186</t>
  </si>
  <si>
    <t>https://issues.amazon.com/issues/V1450938180</t>
  </si>
  <si>
    <t>https://issues.amazon.com/issues/V1450938173</t>
  </si>
  <si>
    <t>LSE War Room [Email] [7/12/2024]</t>
  </si>
  <si>
    <t>https://issues.amazon.com/issues/V1450938169</t>
  </si>
  <si>
    <t>LSE War Room [Text Em All] [07/12/2024]</t>
  </si>
  <si>
    <t>https://issues.amazon.com/issues/V1450938163</t>
  </si>
  <si>
    <t>LSE War Room [AMZL DA FlexComm] [07/12/2024]</t>
  </si>
  <si>
    <t>https://issues.amazon.com/issues/V1450938155</t>
  </si>
  <si>
    <t>https://issues.amazon.com/issues/V1450938150</t>
  </si>
  <si>
    <t>https://issues.amazon.com/issues/V1450938144</t>
  </si>
  <si>
    <t>LSE War Room [AMFlex DPs FlexComm] [07/12/2024]</t>
  </si>
  <si>
    <t>https://issues.amazon.com/issues/V1450938141</t>
  </si>
  <si>
    <t>https://issues.amazon.com/issues/V1450074997</t>
  </si>
  <si>
    <t>LSE War Room [Email] [7/11/2024]</t>
  </si>
  <si>
    <t>CRC LSE/War Room Audits 07/12/2024,</t>
  </si>
  <si>
    <t>https://issues.amazon.com/issues/V1450075250</t>
  </si>
  <si>
    <t>Mission Control [Text Em All] [07/11/2024]</t>
  </si>
  <si>
    <t>https://issues.amazon.com/issues/V1450075277</t>
  </si>
  <si>
    <t>Mission Control [Email] [7/11/2024]</t>
  </si>
  <si>
    <t>https://issues.amazon.com/issues/V1450075215</t>
  </si>
  <si>
    <t>Mission Control [AMFlex DPs FlexComm] [07/11/2024]</t>
  </si>
  <si>
    <t>https://issues.amazon.com/issues/V1450075159</t>
  </si>
  <si>
    <t>Mission Control [AMZL DA FlexComm] [07/11/2024]</t>
  </si>
  <si>
    <t>https://issues.amazon.com/issues/V1450075145</t>
  </si>
  <si>
    <t>https://issues.amazon.com/issues/V1450075153</t>
  </si>
  <si>
    <t>https://issues.amazon.com/issues/V1450075134</t>
  </si>
  <si>
    <t>https://issues.amazon.com/issues/V1450075128</t>
  </si>
  <si>
    <t>https://issues.amazon.com/issues/V1450075116</t>
  </si>
  <si>
    <t>https://issues.amazon.com/issues/V1450075106</t>
  </si>
  <si>
    <t>https://issues.amazon.com/issues/V1450075123</t>
  </si>
  <si>
    <t>https://issues.amazon.com/issues/V1450075112</t>
  </si>
  <si>
    <t>https://issues.amazon.com/issues/V1450075083</t>
  </si>
  <si>
    <t>https://issues.amazon.com/issues/V1450075100</t>
  </si>
  <si>
    <t>https://issues.amazon.com/issues/V1450075093</t>
  </si>
  <si>
    <t>https://issues.amazon.com/issues/V1450075078</t>
  </si>
  <si>
    <t>https://issues.amazon.com/issues/V1450075072</t>
  </si>
  <si>
    <t>https://issues.amazon.com/issues/V1450075059</t>
  </si>
  <si>
    <t>https://issues.amazon.com/issues/V1450075065</t>
  </si>
  <si>
    <t>https://issues.amazon.com/issues/V1450075044</t>
  </si>
  <si>
    <t>https://issues.amazon.com/issues/V1450075052</t>
  </si>
  <si>
    <t>https://issues.amazon.com/issues/V1450075039</t>
  </si>
  <si>
    <t>https://issues.amazon.com/issues/V1450075029</t>
  </si>
  <si>
    <t>https://issues.amazon.com/issues/V1450075023</t>
  </si>
  <si>
    <t>https://issues.amazon.com/issues/V1450075016</t>
  </si>
  <si>
    <t>LSE War Room [Text Em All] [07/11/2024]</t>
  </si>
  <si>
    <t>https://issues.amazon.com/issues/V1450075009</t>
  </si>
  <si>
    <t>LSE War Room [AMZL DA FlexComm] [07/11/2024]</t>
  </si>
  <si>
    <t>https://issues.amazon.com/issues/V1450074993</t>
  </si>
  <si>
    <t>https://issues.amazon.com/issues/V1450074982</t>
  </si>
  <si>
    <t>LSE War Room [AMFlex DPs FlexComm] [07/11/2024]</t>
  </si>
  <si>
    <t>https://issues.amazon.com/issues/V1450074974</t>
  </si>
  <si>
    <t>https://issues.amazon.com/issues/V1446380318</t>
  </si>
  <si>
    <t>Mission Control [Text Em All] [07/08/2024]</t>
  </si>
  <si>
    <t>CRC LSE/War Room Audits 07/09/2024,CRC QA Miss,AM Validated,Excluded,</t>
  </si>
  <si>
    <t>https://issues.amazon.com/issues/V1448862792</t>
  </si>
  <si>
    <t>https://issues.amazon.com/issues/V1448861272</t>
  </si>
  <si>
    <t>LSE War Room [AMZL DA FlexComm] [07/10/2024]</t>
  </si>
  <si>
    <t>CRC QA Miss,CRC LSE/War Room Audits 07/11/2024,</t>
  </si>
  <si>
    <t>https://issues.amazon.com/issues/V1448863637</t>
  </si>
  <si>
    <t>Mission Control [AMFlex DPs FlexComm] [07/10/2024]</t>
  </si>
  <si>
    <t>CRC LSE/War Room Audits 07/11/2024,</t>
  </si>
  <si>
    <t>https://issues.amazon.com/issues/V1448863727</t>
  </si>
  <si>
    <t>Mission Control [Email] [7/10/2024]</t>
  </si>
  <si>
    <t>https://issues.amazon.com/issues/V1448861380</t>
  </si>
  <si>
    <t>LSE War Room [AMFlex DPs FlexComm] [07/10/2024]</t>
  </si>
  <si>
    <t>https://issues.amazon.com/issues/V1448864326</t>
  </si>
  <si>
    <t>Mission Control [AMZL DA FlexComm] [07/10/2024]</t>
  </si>
  <si>
    <t>https://issues.amazon.com/issues/V1448864278</t>
  </si>
  <si>
    <t>LSE War Room [Email] [7/10/2024]</t>
  </si>
  <si>
    <t>https://issues.amazon.com/issues/V1448864218</t>
  </si>
  <si>
    <t>LSE War Room [Text Em All] [07/10/2024]</t>
  </si>
  <si>
    <t>https://issues.amazon.com/issues/V1448864154</t>
  </si>
  <si>
    <t>https://issues.amazon.com/issues/V1448864100</t>
  </si>
  <si>
    <t>https://issues.amazon.com/issues/V1448864054</t>
  </si>
  <si>
    <t>https://issues.amazon.com/issues/V1448863992</t>
  </si>
  <si>
    <t>https://issues.amazon.com/issues/V1448863946</t>
  </si>
  <si>
    <t>https://issues.amazon.com/issues/V1448863900</t>
  </si>
  <si>
    <t>https://issues.amazon.com/issues/V1448863848</t>
  </si>
  <si>
    <t>https://issues.amazon.com/issues/V1448863793</t>
  </si>
  <si>
    <t>https://issues.amazon.com/issues/V1448863573</t>
  </si>
  <si>
    <t>https://issues.amazon.com/issues/V1448863679</t>
  </si>
  <si>
    <t>https://issues.amazon.com/issues/V1448863439</t>
  </si>
  <si>
    <t>https://issues.amazon.com/issues/V1448863502</t>
  </si>
  <si>
    <t>https://issues.amazon.com/issues/V1448863384</t>
  </si>
  <si>
    <t>https://issues.amazon.com/issues/V1448863332</t>
  </si>
  <si>
    <t>https://issues.amazon.com/issues/V1448863241</t>
  </si>
  <si>
    <t>https://issues.amazon.com/issues/V1448863280</t>
  </si>
  <si>
    <t>https://issues.amazon.com/issues/V1448863156</t>
  </si>
  <si>
    <t>https://issues.amazon.com/issues/V1448863198</t>
  </si>
  <si>
    <t>https://issues.amazon.com/issues/V1448863112</t>
  </si>
  <si>
    <t>https://issues.amazon.com/issues/V1448863063</t>
  </si>
  <si>
    <t>https://issues.amazon.com/issues/V1448863016</t>
  </si>
  <si>
    <t>https://issues.amazon.com/issues/V1448862935</t>
  </si>
  <si>
    <t>https://issues.amazon.com/issues/V1448862981</t>
  </si>
  <si>
    <t>https://issues.amazon.com/issues/V1448862902</t>
  </si>
  <si>
    <t>https://issues.amazon.com/issues/V1448862866</t>
  </si>
  <si>
    <t>https://issues.amazon.com/issues/V1448862829</t>
  </si>
  <si>
    <t>https://issues.amazon.com/issues/V1448862688</t>
  </si>
  <si>
    <t>https://issues.amazon.com/issues/V1448862734</t>
  </si>
  <si>
    <t>https://issues.amazon.com/issues/V1448862646</t>
  </si>
  <si>
    <t>https://issues.amazon.com/issues/V1448862519</t>
  </si>
  <si>
    <t>https://issues.amazon.com/issues/V1448862597</t>
  </si>
  <si>
    <t>https://issues.amazon.com/issues/V1448862551</t>
  </si>
  <si>
    <t>https://issues.amazon.com/issues/V1448862454</t>
  </si>
  <si>
    <t>https://issues.amazon.com/issues/V1448862406</t>
  </si>
  <si>
    <t>https://issues.amazon.com/issues/V1448862355</t>
  </si>
  <si>
    <t>https://issues.amazon.com/issues/V1448862252</t>
  </si>
  <si>
    <t>https://issues.amazon.com/issues/V1448862291</t>
  </si>
  <si>
    <t>https://issues.amazon.com/issues/V1448862199</t>
  </si>
  <si>
    <t>https://issues.amazon.com/issues/V1448862034</t>
  </si>
  <si>
    <t>https://issues.amazon.com/issues/V1448862161</t>
  </si>
  <si>
    <t>https://issues.amazon.com/issues/V1448862125</t>
  </si>
  <si>
    <t>https://issues.amazon.com/issues/V1448862088</t>
  </si>
  <si>
    <t>https://issues.amazon.com/issues/V1448861987</t>
  </si>
  <si>
    <t>https://issues.amazon.com/issues/V1448861857</t>
  </si>
  <si>
    <t>https://issues.amazon.com/issues/V1448861936</t>
  </si>
  <si>
    <t>https://issues.amazon.com/issues/V1448861899</t>
  </si>
  <si>
    <t>https://issues.amazon.com/issues/V1448861816</t>
  </si>
  <si>
    <t>https://issues.amazon.com/issues/V1448861728</t>
  </si>
  <si>
    <t>https://issues.amazon.com/issues/V1448861690</t>
  </si>
  <si>
    <t>https://issues.amazon.com/issues/V1448861648</t>
  </si>
  <si>
    <t>https://issues.amazon.com/issues/V1448861584</t>
  </si>
  <si>
    <t>https://issues.amazon.com/issues/V1448861555</t>
  </si>
  <si>
    <t>https://issues.amazon.com/issues/V1448861547</t>
  </si>
  <si>
    <t>https://issues.amazon.com/issues/V1448861537</t>
  </si>
  <si>
    <t>https://issues.amazon.com/issues/V1448861521</t>
  </si>
  <si>
    <t>https://issues.amazon.com/issues/V1448861482</t>
  </si>
  <si>
    <t>https://issues.amazon.com/issues/V1448861508</t>
  </si>
  <si>
    <t>https://issues.amazon.com/issues/V1448861471</t>
  </si>
  <si>
    <t>https://issues.amazon.com/issues/V1448861493</t>
  </si>
  <si>
    <t>https://issues.amazon.com/issues/V1448861460</t>
  </si>
  <si>
    <t>https://issues.amazon.com/issues/V1448861452</t>
  </si>
  <si>
    <t>https://issues.amazon.com/issues/V1448861438</t>
  </si>
  <si>
    <t>https://issues.amazon.com/issues/V1448861429</t>
  </si>
  <si>
    <t>https://issues.amazon.com/issues/V1448861422</t>
  </si>
  <si>
    <t>https://issues.amazon.com/issues/V1448861412</t>
  </si>
  <si>
    <t>https://issues.amazon.com/issues/V1448861404</t>
  </si>
  <si>
    <t>https://issues.amazon.com/issues/V1448861390</t>
  </si>
  <si>
    <t>https://issues.amazon.com/issues/V1448861372</t>
  </si>
  <si>
    <t>https://issues.amazon.com/issues/V1448861362</t>
  </si>
  <si>
    <t>https://issues.amazon.com/issues/V1448861345</t>
  </si>
  <si>
    <t>https://issues.amazon.com/issues/V1448861277</t>
  </si>
  <si>
    <t>https://issues.amazon.com/issues/V1448861295</t>
  </si>
  <si>
    <t>https://issues.amazon.com/issues/V1448861306</t>
  </si>
  <si>
    <t>https://issues.amazon.com/issues/V1448861318</t>
  </si>
  <si>
    <t>https://issues.amazon.com/issues/V1448861330</t>
  </si>
  <si>
    <t>https://issues.amazon.com/issues/V1447563351</t>
  </si>
  <si>
    <t>CRC LSE/War Room Audits 07/10/2024,Validated,Excluded,</t>
  </si>
  <si>
    <t>https://issues.amazon.com/issues/V1447563856</t>
  </si>
  <si>
    <t>Mission Control [AMZL DA FlexComm] [07/09/2024]</t>
  </si>
  <si>
    <t>CRC LSE/War Room Audits 07/10/2024,CRC QA Miss,Validated,</t>
  </si>
  <si>
    <t>https://issues.amazon.com/issues/V1447563319</t>
  </si>
  <si>
    <t>Mission Control [Email] [7/9/2024]</t>
  </si>
  <si>
    <t>CRC LSE/War Room Audits 07/10/2024,CRC QA Miss,Excluded - SW/Process Discrepancy,Validated,</t>
  </si>
  <si>
    <t>https://issues.amazon.com/issues/V1447564090</t>
  </si>
  <si>
    <t>https://issues.amazon.com/issues/V1447563391</t>
  </si>
  <si>
    <t>https://issues.amazon.com/issues/V1447563281</t>
  </si>
  <si>
    <t>LSE War Room [Email] [7/9/2024]</t>
  </si>
  <si>
    <t>https://issues.amazon.com/issues/V1447564547</t>
  </si>
  <si>
    <t>https://issues.amazon.com/issues/V1447565160</t>
  </si>
  <si>
    <t>CRC LSE/War Room Audits 07/10/2024,Excluded - SW/Process Discrepancy,Validated,</t>
  </si>
  <si>
    <t>https://issues.amazon.com/issues/V1446380238</t>
  </si>
  <si>
    <t>Mission Control [AMZL DA FlexComm] [07/08/2024]</t>
  </si>
  <si>
    <t>CRC LSE/War Room Audits 07/09/2024,CRC QA Miss,Validated,</t>
  </si>
  <si>
    <t>https://issues.amazon.com/issues/V1447564516</t>
  </si>
  <si>
    <t>Mission Control [Text Em All] [07/09/2024]</t>
  </si>
  <si>
    <t>CRC LSE/War Room Audits 07/10/2024,</t>
  </si>
  <si>
    <t>https://issues.amazon.com/issues/V1447564610</t>
  </si>
  <si>
    <t>Mission Control [AMFlex DPs FlexComm] [07/09/2024]</t>
  </si>
  <si>
    <t>https://issues.amazon.com/issues/V1447563272</t>
  </si>
  <si>
    <t>LSE War Room [Text Em All] [07/09/2024]</t>
  </si>
  <si>
    <t>https://issues.amazon.com/issues/V1447564117</t>
  </si>
  <si>
    <t>https://issues.amazon.com/issues/V1447565190</t>
  </si>
  <si>
    <t>LSE War Room [AMFlex DPs FlexComm] [07/09/2024]</t>
  </si>
  <si>
    <t>https://issues.amazon.com/issues/V1447565088</t>
  </si>
  <si>
    <t>https://issues.amazon.com/issues/V1447563242</t>
  </si>
  <si>
    <t>https://issues.amazon.com/issues/V1447565057</t>
  </si>
  <si>
    <t>https://issues.amazon.com/issues/V1447565131</t>
  </si>
  <si>
    <t>https://issues.amazon.com/issues/V1447565031</t>
  </si>
  <si>
    <t>https://issues.amazon.com/issues/V1447564976</t>
  </si>
  <si>
    <t>https://issues.amazon.com/issues/V1447565000</t>
  </si>
  <si>
    <t>https://issues.amazon.com/issues/V1447564952</t>
  </si>
  <si>
    <t>https://issues.amazon.com/issues/V1447564842</t>
  </si>
  <si>
    <t>https://issues.amazon.com/issues/V1447564915</t>
  </si>
  <si>
    <t>https://issues.amazon.com/issues/V1447564887</t>
  </si>
  <si>
    <t>https://issues.amazon.com/issues/V1447564867</t>
  </si>
  <si>
    <t>https://issues.amazon.com/issues/V1447564819</t>
  </si>
  <si>
    <t>https://issues.amazon.com/issues/V1447564736</t>
  </si>
  <si>
    <t>https://issues.amazon.com/issues/V1447564777</t>
  </si>
  <si>
    <t>https://issues.amazon.com/issues/V1447564704</t>
  </si>
  <si>
    <t>https://issues.amazon.com/issues/V1447564679</t>
  </si>
  <si>
    <t>https://issues.amazon.com/issues/V1447564657</t>
  </si>
  <si>
    <t>https://issues.amazon.com/issues/V1447564580</t>
  </si>
  <si>
    <t>https://issues.amazon.com/issues/V1447564482</t>
  </si>
  <si>
    <t>https://issues.amazon.com/issues/V1447564406</t>
  </si>
  <si>
    <t>https://issues.amazon.com/issues/V1447564430</t>
  </si>
  <si>
    <t>https://issues.amazon.com/issues/V1447564384</t>
  </si>
  <si>
    <t>https://issues.amazon.com/issues/V1447564359</t>
  </si>
  <si>
    <t>https://issues.amazon.com/issues/V1447564265</t>
  </si>
  <si>
    <t>https://issues.amazon.com/issues/V1447564330</t>
  </si>
  <si>
    <t>https://issues.amazon.com/issues/V1447564301</t>
  </si>
  <si>
    <t>https://issues.amazon.com/issues/V1447564230</t>
  </si>
  <si>
    <t>https://issues.amazon.com/issues/V1447564206</t>
  </si>
  <si>
    <t>https://issues.amazon.com/issues/V1447564182</t>
  </si>
  <si>
    <t>https://issues.amazon.com/issues/V1447564150</t>
  </si>
  <si>
    <t>https://issues.amazon.com/issues/V1447563919</t>
  </si>
  <si>
    <t>https://issues.amazon.com/issues/V1447564051</t>
  </si>
  <si>
    <t>https://issues.amazon.com/issues/V1447564024</t>
  </si>
  <si>
    <t>https://issues.amazon.com/issues/V1447563989</t>
  </si>
  <si>
    <t>https://issues.amazon.com/issues/V1447563951</t>
  </si>
  <si>
    <t>https://issues.amazon.com/issues/V1447563888</t>
  </si>
  <si>
    <t>https://issues.amazon.com/issues/V1447563749</t>
  </si>
  <si>
    <t>https://issues.amazon.com/issues/V1447563835</t>
  </si>
  <si>
    <t>https://issues.amazon.com/issues/V1447563807</t>
  </si>
  <si>
    <t>https://issues.amazon.com/issues/V1447563569</t>
  </si>
  <si>
    <t>https://issues.amazon.com/issues/V1447563779</t>
  </si>
  <si>
    <t>https://issues.amazon.com/issues/V1447563719</t>
  </si>
  <si>
    <t>https://issues.amazon.com/issues/V1447563697</t>
  </si>
  <si>
    <t>https://issues.amazon.com/issues/V1447563640</t>
  </si>
  <si>
    <t>https://issues.amazon.com/issues/V1447563676</t>
  </si>
  <si>
    <t>https://issues.amazon.com/issues/V1447563601</t>
  </si>
  <si>
    <t>https://issues.amazon.com/issues/V1447563434</t>
  </si>
  <si>
    <t>https://issues.amazon.com/issues/V1447563520</t>
  </si>
  <si>
    <t>https://issues.amazon.com/issues/V1447563475</t>
  </si>
  <si>
    <t>https://issues.amazon.com/issues/V1447563399</t>
  </si>
  <si>
    <t>https://issues.amazon.com/issues/V1447563373</t>
  </si>
  <si>
    <t>https://issues.amazon.com/issues/V1447563382</t>
  </si>
  <si>
    <t>https://issues.amazon.com/issues/V1447563358</t>
  </si>
  <si>
    <t>https://issues.amazon.com/issues/V1447563366</t>
  </si>
  <si>
    <t>https://issues.amazon.com/issues/V1447563327</t>
  </si>
  <si>
    <t>https://issues.amazon.com/issues/V1447563339</t>
  </si>
  <si>
    <t>https://issues.amazon.com/issues/V1447563334</t>
  </si>
  <si>
    <t>https://issues.amazon.com/issues/V1447563296</t>
  </si>
  <si>
    <t>https://issues.amazon.com/issues/V1447563306</t>
  </si>
  <si>
    <t>https://issues.amazon.com/issues/V1447563284</t>
  </si>
  <si>
    <t>https://issues.amazon.com/issues/V1447563267</t>
  </si>
  <si>
    <t>https://issues.amazon.com/issues/V1447563260</t>
  </si>
  <si>
    <t>https://issues.amazon.com/issues/V1447563244</t>
  </si>
  <si>
    <t>https://issues.amazon.com/issues/V1447563255</t>
  </si>
  <si>
    <t>https://issues.amazon.com/issues/V1447563252</t>
  </si>
  <si>
    <t>https://issues.amazon.com/issues/V1447563233</t>
  </si>
  <si>
    <t>https://issues.amazon.com/issues/V1447563226</t>
  </si>
  <si>
    <t>https://issues.amazon.com/issues/V1447563218</t>
  </si>
  <si>
    <t>https://issues.amazon.com/issues/V1447563210</t>
  </si>
  <si>
    <t>https://issues.amazon.com/issues/V1446380611</t>
  </si>
  <si>
    <t>Mission Control [AMFlex DPs FlexComm] [07/08/2024]</t>
  </si>
  <si>
    <t>CRC LSE/War Room Audits 07/09/2024,</t>
  </si>
  <si>
    <t>https://issues.amazon.com/issues/V1446379050</t>
  </si>
  <si>
    <t>LSE War Room [AMFlex DPs FlexComm] [07/08/2024]</t>
  </si>
  <si>
    <t>https://issues.amazon.com/issues/V1446379189</t>
  </si>
  <si>
    <t>https://issues.amazon.com/issues/V1446380996</t>
  </si>
  <si>
    <t>https://issues.amazon.com/issues/V1446379133</t>
  </si>
  <si>
    <t>LSE War Room [Text Em All] [07/08/2024]</t>
  </si>
  <si>
    <t>https://issues.amazon.com/issues/V1446379395</t>
  </si>
  <si>
    <t>https://issues.amazon.com/issues/V1446381091</t>
  </si>
  <si>
    <t>https://issues.amazon.com/issues/V1446381176</t>
  </si>
  <si>
    <t>https://issues.amazon.com/issues/V1446381129</t>
  </si>
  <si>
    <t>Mission Control [Email] [7/8/2024]</t>
  </si>
  <si>
    <t>https://issues.amazon.com/issues/V1446381045</t>
  </si>
  <si>
    <t>https://issues.amazon.com/issues/V1446380955</t>
  </si>
  <si>
    <t>https://issues.amazon.com/issues/V1446380907</t>
  </si>
  <si>
    <t>https://issues.amazon.com/issues/V1446380874</t>
  </si>
  <si>
    <t>https://issues.amazon.com/issues/V1446380838</t>
  </si>
  <si>
    <t>https://issues.amazon.com/issues/V1446380802</t>
  </si>
  <si>
    <t>https://issues.amazon.com/issues/V1446380767</t>
  </si>
  <si>
    <t>https://issues.amazon.com/issues/V1446380732</t>
  </si>
  <si>
    <t>https://issues.amazon.com/issues/V1446380688</t>
  </si>
  <si>
    <t>https://issues.amazon.com/issues/V1446380652</t>
  </si>
  <si>
    <t>https://issues.amazon.com/issues/V1446380551</t>
  </si>
  <si>
    <t>https://issues.amazon.com/issues/V1446380499</t>
  </si>
  <si>
    <t>https://issues.amazon.com/issues/V1446380466</t>
  </si>
  <si>
    <t>https://issues.amazon.com/issues/V1446380429</t>
  </si>
  <si>
    <t>https://issues.amazon.com/issues/V1446380396</t>
  </si>
  <si>
    <t>https://issues.amazon.com/issues/V1446380352</t>
  </si>
  <si>
    <t>https://issues.amazon.com/issues/V1446380284</t>
  </si>
  <si>
    <t>https://issues.amazon.com/issues/V1446380205</t>
  </si>
  <si>
    <t>https://issues.amazon.com/issues/V1446380178</t>
  </si>
  <si>
    <t>https://issues.amazon.com/issues/V1446380131</t>
  </si>
  <si>
    <t>https://issues.amazon.com/issues/V1446380099</t>
  </si>
  <si>
    <t>https://issues.amazon.com/issues/V1446380057</t>
  </si>
  <si>
    <t>https://issues.amazon.com/issues/V1446380005</t>
  </si>
  <si>
    <t>https://issues.amazon.com/issues/V1446379960</t>
  </si>
  <si>
    <t>https://issues.amazon.com/issues/V1446379928</t>
  </si>
  <si>
    <t>https://issues.amazon.com/issues/V1446379885</t>
  </si>
  <si>
    <t>https://issues.amazon.com/issues/V1446379852</t>
  </si>
  <si>
    <t>https://issues.amazon.com/issues/V1446379820</t>
  </si>
  <si>
    <t>https://issues.amazon.com/issues/V1446379796</t>
  </si>
  <si>
    <t>https://issues.amazon.com/issues/V1446379740</t>
  </si>
  <si>
    <t>https://issues.amazon.com/issues/V1446379702</t>
  </si>
  <si>
    <t>https://issues.amazon.com/issues/V1446379666</t>
  </si>
  <si>
    <t>https://issues.amazon.com/issues/V1446379632</t>
  </si>
  <si>
    <t>https://issues.amazon.com/issues/V1446379590</t>
  </si>
  <si>
    <t>https://issues.amazon.com/issues/V1446379541</t>
  </si>
  <si>
    <t>https://issues.amazon.com/issues/V1446379505</t>
  </si>
  <si>
    <t>https://issues.amazon.com/issues/V1446379470</t>
  </si>
  <si>
    <t>https://issues.amazon.com/issues/V1446379429</t>
  </si>
  <si>
    <t>https://issues.amazon.com/issues/V1446379358</t>
  </si>
  <si>
    <t>https://issues.amazon.com/issues/V1446379266</t>
  </si>
  <si>
    <t>https://issues.amazon.com/issues/V1446379260</t>
  </si>
  <si>
    <t>LSE War Room [Email] [7/8/2024]</t>
  </si>
  <si>
    <t>https://issues.amazon.com/issues/V1446379250</t>
  </si>
  <si>
    <t>https://issues.amazon.com/issues/V1446379243</t>
  </si>
  <si>
    <t>https://issues.amazon.com/issues/V1446379229</t>
  </si>
  <si>
    <t>LSE War Room [AMZL DA FlexComm] [07/08/2024]</t>
  </si>
  <si>
    <t>https://issues.amazon.com/issues/V1446379218</t>
  </si>
  <si>
    <t>https://issues.amazon.com/issues/V1446379213</t>
  </si>
  <si>
    <t>https://issues.amazon.com/issues/V1446379207</t>
  </si>
  <si>
    <t>https://issues.amazon.com/issues/V1446379202</t>
  </si>
  <si>
    <t>https://issues.amazon.com/issues/V1446379183</t>
  </si>
  <si>
    <t>https://issues.amazon.com/issues/V1446379176</t>
  </si>
  <si>
    <t>https://issues.amazon.com/issues/V1446379170</t>
  </si>
  <si>
    <t>https://issues.amazon.com/issues/V1446379155</t>
  </si>
  <si>
    <t>https://issues.amazon.com/issues/V1446379146</t>
  </si>
  <si>
    <t>https://issues.amazon.com/issues/V1446379126</t>
  </si>
  <si>
    <t>https://issues.amazon.com/issues/V1446379115</t>
  </si>
  <si>
    <t>https://issues.amazon.com/issues/V1446379107</t>
  </si>
  <si>
    <t>https://issues.amazon.com/issues/V1446379098</t>
  </si>
  <si>
    <t>https://issues.amazon.com/issues/V1446379091</t>
  </si>
  <si>
    <t>https://issues.amazon.com/issues/V1446379084</t>
  </si>
  <si>
    <t>https://issues.amazon.com/issues/V1446379054</t>
  </si>
  <si>
    <t>https://issues.amazon.com/issues/V1446379079</t>
  </si>
  <si>
    <t>https://issues.amazon.com/issues/V1446379074</t>
  </si>
  <si>
    <t>https://issues.amazon.com/issues/V1446379061</t>
  </si>
  <si>
    <t>https://issues.amazon.com/issues/V1446379041</t>
  </si>
  <si>
    <t>https://issues.amazon.com/issues/V1445188036</t>
  </si>
  <si>
    <t>Mission Control [Text Em All] [07/07/2024]</t>
  </si>
  <si>
    <t>CRC LSE/War Room Audits 07/08/2024,Excluded,Validated,</t>
  </si>
  <si>
    <t>https://issues.amazon.com/issues/V1445188058</t>
  </si>
  <si>
    <t>CRC LSE/War Room Audits 07/08/2024,CRC QA Miss,Validated,</t>
  </si>
  <si>
    <t>https://issues.amazon.com/issues/V1445188208</t>
  </si>
  <si>
    <t>CRC LSE/War Room Audits 07/08/2024,</t>
  </si>
  <si>
    <t>https://issues.amazon.com/issues/V1445187978</t>
  </si>
  <si>
    <t>LSE War Room [AMZL DA FlexComm] [07/07/2024]</t>
  </si>
  <si>
    <t>https://issues.amazon.com/issues/V1445189094</t>
  </si>
  <si>
    <t>Mission Control [AMZL DA FlexComm] [07/07/2024]</t>
  </si>
  <si>
    <t>https://issues.amazon.com/issues/V1445188942</t>
  </si>
  <si>
    <t>Mission Control [Email] [7/7/2024]</t>
  </si>
  <si>
    <t>https://issues.amazon.com/issues/V1445189067</t>
  </si>
  <si>
    <t>https://issues.amazon.com/issues/V1445189034</t>
  </si>
  <si>
    <t>Mission Control [AMFlex DPs FlexComm] [07/07/2024]</t>
  </si>
  <si>
    <t>https://issues.amazon.com/issues/V1445188999</t>
  </si>
  <si>
    <t>https://issues.amazon.com/issues/V1445188966</t>
  </si>
  <si>
    <t>https://issues.amazon.com/issues/V1445188910</t>
  </si>
  <si>
    <t>https://issues.amazon.com/issues/V1445188841</t>
  </si>
  <si>
    <t>https://issues.amazon.com/issues/V1445188879</t>
  </si>
  <si>
    <t>https://issues.amazon.com/issues/V1445188787</t>
  </si>
  <si>
    <t>https://issues.amazon.com/issues/V1445188818</t>
  </si>
  <si>
    <t>https://issues.amazon.com/issues/V1445188750</t>
  </si>
  <si>
    <t>https://issues.amazon.com/issues/V1445188685</t>
  </si>
  <si>
    <t>https://issues.amazon.com/issues/V1445188726</t>
  </si>
  <si>
    <t>https://issues.amazon.com/issues/V1445188608</t>
  </si>
  <si>
    <t>https://issues.amazon.com/issues/V1445188639</t>
  </si>
  <si>
    <t>https://issues.amazon.com/issues/V1445188573</t>
  </si>
  <si>
    <t>https://issues.amazon.com/issues/V1445188550</t>
  </si>
  <si>
    <t>https://issues.amazon.com/issues/V1445188486</t>
  </si>
  <si>
    <t>https://issues.amazon.com/issues/V1445188520</t>
  </si>
  <si>
    <t>https://issues.amazon.com/issues/V1445188450</t>
  </si>
  <si>
    <t>https://issues.amazon.com/issues/V1445188417</t>
  </si>
  <si>
    <t>https://issues.amazon.com/issues/V1445188379</t>
  </si>
  <si>
    <t>https://issues.amazon.com/issues/V1445188356</t>
  </si>
  <si>
    <t>https://issues.amazon.com/issues/V1445188322</t>
  </si>
  <si>
    <t>https://issues.amazon.com/issues/V1445188292</t>
  </si>
  <si>
    <t>https://issues.amazon.com/issues/V1445188265</t>
  </si>
  <si>
    <t>https://issues.amazon.com/issues/V1445188236</t>
  </si>
  <si>
    <t>https://issues.amazon.com/issues/V1445188145</t>
  </si>
  <si>
    <t>https://issues.amazon.com/issues/V1445188106</t>
  </si>
  <si>
    <t>https://issues.amazon.com/issues/V1445188099</t>
  </si>
  <si>
    <t>https://issues.amazon.com/issues/V1445188090</t>
  </si>
  <si>
    <t>https://issues.amazon.com/issues/V1445188085</t>
  </si>
  <si>
    <t>https://issues.amazon.com/issues/V1445188074</t>
  </si>
  <si>
    <t>https://issues.amazon.com/issues/V1445188067</t>
  </si>
  <si>
    <t>https://issues.amazon.com/issues/V1445188051</t>
  </si>
  <si>
    <t>https://issues.amazon.com/issues/V1445188044</t>
  </si>
  <si>
    <t>https://issues.amazon.com/issues/V1445188032</t>
  </si>
  <si>
    <t>https://issues.amazon.com/issues/V1445188023</t>
  </si>
  <si>
    <t>https://issues.amazon.com/issues/V1445188008</t>
  </si>
  <si>
    <t>LSE War Room [Text Em All] [07/07/2024]</t>
  </si>
  <si>
    <t>https://issues.amazon.com/issues/V1445188011</t>
  </si>
  <si>
    <t>LSE War Room [Email] [7/7/2024]</t>
  </si>
  <si>
    <t>https://issues.amazon.com/issues/V1445188003</t>
  </si>
  <si>
    <t>https://issues.amazon.com/issues/V1445187993</t>
  </si>
  <si>
    <t>https://issues.amazon.com/issues/V1445187988</t>
  </si>
  <si>
    <t>https://issues.amazon.com/issues/V1445187971</t>
  </si>
  <si>
    <t>https://issues.amazon.com/issues/V1445187965</t>
  </si>
  <si>
    <t>https://issues.amazon.com/issues/V1445187957</t>
  </si>
  <si>
    <t>LSE War Room [AMFlex DPs FlexComm] [07/07/2024]</t>
  </si>
  <si>
    <t>https://issues.amazon.com/issues/V1445187952</t>
  </si>
  <si>
    <t>https://issues.amazon.com/issues/V1445187943</t>
  </si>
  <si>
    <t>https://issues.amazon.com/issues/V1445187936</t>
  </si>
  <si>
    <t>https://issues.amazon.com/issues/V1445187923</t>
  </si>
  <si>
    <t>https://issues.amazon.com/issues/V1445187921</t>
  </si>
  <si>
    <t>https://issues.amazon.com/issues/V1443239573</t>
  </si>
  <si>
    <t>Mission Control [Text Em All] [07/05/2024]</t>
  </si>
  <si>
    <t>CRC LSE/War Room Audits 07/06/2024,CRC QA Miss,Validated,</t>
  </si>
  <si>
    <t>https://issues.amazon.com/issues/V1443239618</t>
  </si>
  <si>
    <t>https://issues.amazon.com/issues/V1443239800</t>
  </si>
  <si>
    <t>CRC LSE/War Room Audits 07/06/2024,</t>
  </si>
  <si>
    <t>https://issues.amazon.com/issues/V1443239468</t>
  </si>
  <si>
    <t>LSE War Room [AMFlex DPs FlexComm] [07/05/2024]</t>
  </si>
  <si>
    <t>CRC LSE/War Room Audits 07/06/2024,CRC QA Miss,Excluded - SW/Process Discrepancy,</t>
  </si>
  <si>
    <t>https://issues.amazon.com/issues/V1443239509</t>
  </si>
  <si>
    <t>https://issues.amazon.com/issues/V1444114196</t>
  </si>
  <si>
    <t>Mission Control [Text Em All] [07/06/2024]</t>
  </si>
  <si>
    <t>CRC LSE/War Room Audits 07/07/2024,CRC QA Miss,Validated,</t>
  </si>
  <si>
    <t>https://issues.amazon.com/issues/V1444114158</t>
  </si>
  <si>
    <t>Mission Control [AMFlex DPs FlexComm] [07/06/2024]</t>
  </si>
  <si>
    <t>https://issues.amazon.com/issues/V1444113735</t>
  </si>
  <si>
    <t>CRC LSE/War Room Audits 07/07/2024,</t>
  </si>
  <si>
    <t>https://issues.amazon.com/issues/V1444113669</t>
  </si>
  <si>
    <t>Mission Control [AMZL DA FlexComm] [07/06/2024]</t>
  </si>
  <si>
    <t>https://issues.amazon.com/issues/V1444113636</t>
  </si>
  <si>
    <t>LSE War Room [Email] [7/6/2024]</t>
  </si>
  <si>
    <t>https://issues.amazon.com/issues/V1444114226</t>
  </si>
  <si>
    <t>https://issues.amazon.com/issues/V1444114138</t>
  </si>
  <si>
    <t>Mission Control [Email] [7/6/2024]</t>
  </si>
  <si>
    <t>https://issues.amazon.com/issues/V1444114110</t>
  </si>
  <si>
    <t>https://issues.amazon.com/issues/V1444114056</t>
  </si>
  <si>
    <t>https://issues.amazon.com/issues/V1444114013</t>
  </si>
  <si>
    <t>https://issues.amazon.com/issues/V1444113973</t>
  </si>
  <si>
    <t>https://issues.amazon.com/issues/V1444113937</t>
  </si>
  <si>
    <t>https://issues.amazon.com/issues/V1444113883</t>
  </si>
  <si>
    <t>https://issues.amazon.com/issues/V1444113838</t>
  </si>
  <si>
    <t>https://issues.amazon.com/issues/V1444113802</t>
  </si>
  <si>
    <t>https://issues.amazon.com/issues/V1444113792</t>
  </si>
  <si>
    <t>https://issues.amazon.com/issues/V1444113787</t>
  </si>
  <si>
    <t>https://issues.amazon.com/issues/V1444113784</t>
  </si>
  <si>
    <t>https://issues.amazon.com/issues/V1444113772</t>
  </si>
  <si>
    <t>https://issues.amazon.com/issues/V1444113768</t>
  </si>
  <si>
    <t>https://issues.amazon.com/issues/V1444113762</t>
  </si>
  <si>
    <t>https://issues.amazon.com/issues/V1444113752</t>
  </si>
  <si>
    <t>https://issues.amazon.com/issues/V1444113747</t>
  </si>
  <si>
    <t>https://issues.amazon.com/issues/V1444113722</t>
  </si>
  <si>
    <t>https://issues.amazon.com/issues/V1444113706</t>
  </si>
  <si>
    <t>https://issues.amazon.com/issues/V1444113726</t>
  </si>
  <si>
    <t>https://issues.amazon.com/issues/V1444113692</t>
  </si>
  <si>
    <t>https://issues.amazon.com/issues/V1444113678</t>
  </si>
  <si>
    <t>https://issues.amazon.com/issues/V1444113665</t>
  </si>
  <si>
    <t>https://issues.amazon.com/issues/V1444113658</t>
  </si>
  <si>
    <t>LSE War Room [Text Em All] [07/06/2024]</t>
  </si>
  <si>
    <t>https://issues.amazon.com/issues/V1444113650</t>
  </si>
  <si>
    <t>LSE War Room [AMFlex DPs FlexComm] [07/06/2024]</t>
  </si>
  <si>
    <t>https://issues.amazon.com/issues/V1444113643</t>
  </si>
  <si>
    <t>LSE War Room [AMZL DA FlexComm] [07/06/2024]</t>
  </si>
  <si>
    <t>https://issues.amazon.com/issues/V1444113629</t>
  </si>
  <si>
    <t>https://issues.amazon.com/issues/V1444113625</t>
  </si>
  <si>
    <t>https://issues.amazon.com/issues/V1444113614</t>
  </si>
  <si>
    <t>https://issues.amazon.com/issues/V1444113606</t>
  </si>
  <si>
    <t>https://issues.amazon.com/issues/V1444113578</t>
  </si>
  <si>
    <t>https://issues.amazon.com/issues/V1444113570</t>
  </si>
  <si>
    <t>https://issues.amazon.com/issues/V1443516026</t>
  </si>
  <si>
    <t>LSE War Room [Text Em All] [07/04/2024]</t>
  </si>
  <si>
    <t>CRC LSE/War Room Audits 07/05/2024,</t>
  </si>
  <si>
    <t>https://issues.amazon.com/issues/V1443516034</t>
  </si>
  <si>
    <t>LSE War Room [Email] [7/4/2024]</t>
  </si>
  <si>
    <t>https://issues.amazon.com/issues/V1443516012</t>
  </si>
  <si>
    <t>LSE War Room [AMZL DA FlexComm] [07/04/2024]</t>
  </si>
  <si>
    <t>https://issues.amazon.com/issues/V1443516013</t>
  </si>
  <si>
    <t>LSE War Room [AMFlex DPs FlexComm] [07/04/2024]</t>
  </si>
  <si>
    <t>https://issues.amazon.com/issues/V1443515985</t>
  </si>
  <si>
    <t>https://issues.amazon.com/issues/V1443515980</t>
  </si>
  <si>
    <t>https://issues.amazon.com/issues/V1443515967</t>
  </si>
  <si>
    <t>Mission Control [Email] [7/4/2024]</t>
  </si>
  <si>
    <t>https://issues.amazon.com/issues/V1443515972</t>
  </si>
  <si>
    <t>https://issues.amazon.com/issues/V1443515962</t>
  </si>
  <si>
    <t>Mission Control [Text Em All] [07/04/2024]</t>
  </si>
  <si>
    <t>https://issues.amazon.com/issues/V1443515958</t>
  </si>
  <si>
    <t>Mission Control [AMFlex DPs FlexComm] [07/04/2024]</t>
  </si>
  <si>
    <t>https://issues.amazon.com/issues/V1443515948</t>
  </si>
  <si>
    <t>Mission Control [AMZL DA FlexComm] [07/04/2024]</t>
  </si>
  <si>
    <t>https://issues.amazon.com/issues/V1443515939</t>
  </si>
  <si>
    <t>https://issues.amazon.com/issues/V1443515930</t>
  </si>
  <si>
    <t>https://issues.amazon.com/issues/V1443515912</t>
  </si>
  <si>
    <t>https://issues.amazon.com/issues/V1443515923</t>
  </si>
  <si>
    <t>https://issues.amazon.com/issues/V1443515904</t>
  </si>
  <si>
    <t>https://issues.amazon.com/issues/V1443515894</t>
  </si>
  <si>
    <t>https://issues.amazon.com/issues/V1443515889</t>
  </si>
  <si>
    <t>https://issues.amazon.com/issues/V1443239559</t>
  </si>
  <si>
    <t>LSE War Room [Text Em All] [07/05/2024]</t>
  </si>
  <si>
    <t>https://issues.amazon.com/issues/V1443240147</t>
  </si>
  <si>
    <t>Mission Control [AMFlex DPs FlexComm] [07/05/2024]</t>
  </si>
  <si>
    <t>https://issues.amazon.com/issues/V1443240127</t>
  </si>
  <si>
    <t>Mission Control [AMZL DA FlexComm] [07/05/2024]</t>
  </si>
  <si>
    <t>https://issues.amazon.com/issues/V1443240097</t>
  </si>
  <si>
    <t>Mission Control [Email] [7/5/2024]</t>
  </si>
  <si>
    <t>https://issues.amazon.com/issues/V1443240029</t>
  </si>
  <si>
    <t>https://issues.amazon.com/issues/V1443240078</t>
  </si>
  <si>
    <t>https://issues.amazon.com/issues/V1443240052</t>
  </si>
  <si>
    <t>https://issues.amazon.com/issues/V1443239987</t>
  </si>
  <si>
    <t>https://issues.amazon.com/issues/V1443239917</t>
  </si>
  <si>
    <t>https://issues.amazon.com/issues/V1443239950</t>
  </si>
  <si>
    <t>https://issues.amazon.com/issues/V1443239827</t>
  </si>
  <si>
    <t>https://issues.amazon.com/issues/V1443239891</t>
  </si>
  <si>
    <t>https://issues.amazon.com/issues/V1443239860</t>
  </si>
  <si>
    <t>https://issues.amazon.com/issues/V1443239752</t>
  </si>
  <si>
    <t>https://issues.amazon.com/issues/V1443239776</t>
  </si>
  <si>
    <t>https://issues.amazon.com/issues/V1443239712</t>
  </si>
  <si>
    <t>https://issues.amazon.com/issues/V1443239735</t>
  </si>
  <si>
    <t>https://issues.amazon.com/issues/V1443239685</t>
  </si>
  <si>
    <t>https://issues.amazon.com/issues/V1443239664</t>
  </si>
  <si>
    <t>https://issues.amazon.com/issues/V1443239633</t>
  </si>
  <si>
    <t>https://issues.amazon.com/issues/V1443239562</t>
  </si>
  <si>
    <t>LSE War Room [Email] [7/5/2024]</t>
  </si>
  <si>
    <t>https://issues.amazon.com/issues/V1443239567</t>
  </si>
  <si>
    <t>https://issues.amazon.com/issues/V1443239532</t>
  </si>
  <si>
    <t>https://issues.amazon.com/issues/V1443239552</t>
  </si>
  <si>
    <t>https://issues.amazon.com/issues/V1443239549</t>
  </si>
  <si>
    <t>LSE War Room [AMZL DA FlexComm] [07/05/2024]</t>
  </si>
  <si>
    <t>https://issues.amazon.com/issues/V1443239542</t>
  </si>
  <si>
    <t>https://issues.amazon.com/issues/V1443239538</t>
  </si>
  <si>
    <t>https://issues.amazon.com/issues/V1443239512</t>
  </si>
  <si>
    <t>https://issues.amazon.com/issues/V1443239521</t>
  </si>
  <si>
    <t>https://issues.amazon.com/issues/V1443239444</t>
  </si>
  <si>
    <t>https://issues.amazon.com/issues/V1443239501</t>
  </si>
  <si>
    <t>https://issues.amazon.com/issues/V1443239496</t>
  </si>
  <si>
    <t>https://issues.amazon.com/issues/V1443239493</t>
  </si>
  <si>
    <t>https://issues.amazon.com/issues/V1443239487</t>
  </si>
  <si>
    <t>https://issues.amazon.com/issues/V1443239480</t>
  </si>
  <si>
    <t>https://issues.amazon.com/issues/V1443239474</t>
  </si>
  <si>
    <t>https://issues.amazon.com/issues/V1443239465</t>
  </si>
  <si>
    <t>https://issues.amazon.com/issues/V1443239461</t>
  </si>
  <si>
    <t>https://issues.amazon.com/issues/V1443239450</t>
  </si>
  <si>
    <t>https://issues.amazon.com/issues/V1443239455</t>
  </si>
  <si>
    <t>https://issues.amazon.com/issues/V1443239440</t>
  </si>
  <si>
    <t>https://issues.amazon.com/issues/V1443239433</t>
  </si>
  <si>
    <t>https://issues.amazon.com/issues/V1443239427</t>
  </si>
  <si>
    <t>792eecdb-3849-432a-90b6-27f64be333c7</t>
  </si>
  <si>
    <t>90d8e867-15f3-494e-8a22-9819dcf2cc15</t>
  </si>
  <si>
    <t>86c3fcd2-212f-48a8-8f3f-12b60d2d6b25</t>
  </si>
  <si>
    <t>aa4dfb75-b859-43ea-9d02-d82472d63f31</t>
  </si>
  <si>
    <t>e0e005aa-2b94-45c3-8115-1baa4de1c8d3</t>
  </si>
  <si>
    <t>ebd262ca-0689-4595-8a65-0aa72e6822dc</t>
  </si>
  <si>
    <t>238ae087-d474-4b79-908c-2f83624ceec2</t>
  </si>
  <si>
    <t>db92fd57-f425-4ab8-8113-1697ffa220e0</t>
  </si>
  <si>
    <t>82a34973-26d1-4300-91b4-efc03330382f</t>
  </si>
  <si>
    <t>2131de8a-5657-4b06-a0e3-17d377c6ca78</t>
  </si>
  <si>
    <t>ef026949-2b75-48b0-a0a9-edd6ec1fa298</t>
  </si>
  <si>
    <t>f71afbb8-a2ec-4d0e-8aa7-ce166f2859b1</t>
  </si>
  <si>
    <t>dc01a038-b87b-451b-ba63-bc26704a0060</t>
  </si>
  <si>
    <t>38433bd9-17d4-43c7-8484-3de9f8fa4e4d</t>
  </si>
  <si>
    <t>ac83e1c1-cfea-4ee5-bf1d-8faf2d4ff76d</t>
  </si>
  <si>
    <t>e1780a38-bacb-45d0-a74b-86cf18799b59</t>
  </si>
  <si>
    <t>e63b1df3-31dc-4d42-84ae-93ad504b58c3</t>
  </si>
  <si>
    <t>bc439156-993d-4fbb-817d-00a4996c29dd</t>
  </si>
  <si>
    <t>77dd4de5-697e-4934-8382-22e84c0de7cf</t>
  </si>
  <si>
    <t>d29eabcb-011b-4f9a-a300-d58a30aa3f96</t>
  </si>
  <si>
    <t>78274b94-e67d-48ad-9d27-b5b7285c766b</t>
  </si>
  <si>
    <t>544c0480-e3fe-486e-b4d2-60a43e00d255</t>
  </si>
  <si>
    <t>8a484cce-de4b-4962-a71c-3c729fd2459c</t>
  </si>
  <si>
    <t>bf1d04c3-4ab7-4e73-9caa-068ae636a637</t>
  </si>
  <si>
    <t>44c20ebe-4e63-4649-8acb-8e2b394a8803</t>
  </si>
  <si>
    <t>133ae6a6-a18c-4804-bedc-ea67a6df49e8</t>
  </si>
  <si>
    <t>57ba8494-245d-46e9-9de2-6bb86c55f440</t>
  </si>
  <si>
    <t>4453ef93-f228-4f5e-b874-95b687c888d0</t>
  </si>
  <si>
    <t>b776d850-a2d0-482e-ac9a-42242faf816c</t>
  </si>
  <si>
    <t>CRC - LSE / War Room  - QA Audit Dashboard [ 2024 ]</t>
  </si>
  <si>
    <t>CRC LSE/War Room Audits 08/01/2024</t>
  </si>
  <si>
    <t>CRC LSE/War Room Audits 07/31/2024</t>
  </si>
  <si>
    <t>CRC LSE/War Room Audits 07/22/2024</t>
  </si>
  <si>
    <t>CRC LSE/War Room Audits 07/30/2024</t>
  </si>
  <si>
    <t>CRC LSE/War Room Audits 07/24/2024</t>
  </si>
  <si>
    <t>CRC LSE/War Room Audits 07/29/2024</t>
  </si>
  <si>
    <t>CRC LSE/War Room Audits 07/25/2024</t>
  </si>
  <si>
    <t>CRC LSE/War Room Audits 07/27/2024</t>
  </si>
  <si>
    <t>CRC LSE/War Room Audits 07/28/2024</t>
  </si>
  <si>
    <t>CRC LSE/War Room Audits 07/26/2024</t>
  </si>
  <si>
    <t>CRC LSE/War Room Audits 07/23/2024</t>
  </si>
  <si>
    <t>CRC LSE/War Room Audits 07/10/2024</t>
  </si>
  <si>
    <t>CRC LSE/War Room Audits 07/19/2024</t>
  </si>
  <si>
    <t>CRC LSE/War Room Audits 07/18/2024</t>
  </si>
  <si>
    <t>CRC LSE/War Room Audits 07/17/2024</t>
  </si>
  <si>
    <t>CRC LSE/War Room Audits 07/21/2024</t>
  </si>
  <si>
    <t>CRC LSE/War Room Audits 07/13/2024</t>
  </si>
  <si>
    <t>CRC LSE/War Room Audits 07/20/2024</t>
  </si>
  <si>
    <t>CRC LSE/War Room Audits 07/16/2024</t>
  </si>
  <si>
    <t>CRC LSE/War Room Audits 07/15/2024</t>
  </si>
  <si>
    <t>CRC LSE/War Room Audits 07/11/2024</t>
  </si>
  <si>
    <t>CRC LSE/War Room Audits 07/14/2024</t>
  </si>
  <si>
    <t>CRC LSE/War Room Audits 07/12/2024</t>
  </si>
  <si>
    <t>CRC LSE/War Room Audits 07/09/2024</t>
  </si>
  <si>
    <t>CRC LSE/War Room Audits 07/08/2024</t>
  </si>
  <si>
    <t>CRC LSE/War Room Audits 07/06/2024</t>
  </si>
  <si>
    <t>CRC LSE/War Room Audits 07/07/2024</t>
  </si>
  <si>
    <t>CRC LSE/War Room Audits 07/05/2024</t>
  </si>
  <si>
    <t>SWA Paragon</t>
  </si>
  <si>
    <t>ORSA_Intervention</t>
  </si>
  <si>
    <t>SWA_Paragon</t>
  </si>
  <si>
    <t>cb093247-116a-4bd6-a662-3fdcc72bbb3a</t>
  </si>
  <si>
    <t>7b497157-ed23-4bb5-b4da-469fc66bebe6</t>
  </si>
  <si>
    <t>ORSA Intervention</t>
  </si>
  <si>
    <t>Fleet Improvement Fund (FIF)</t>
  </si>
  <si>
    <t>SWA Paragon Weekly Misses</t>
  </si>
  <si>
    <t>FIF Monthly Misses</t>
  </si>
  <si>
    <t>Ops Month</t>
  </si>
  <si>
    <t>SWA Paragon Daily Misses</t>
  </si>
  <si>
    <t>f802b929-522f-4a51-ab67-9b288c5acc11</t>
  </si>
  <si>
    <t>311d24ac-4101-4154-a946-2f0cf3dd430a</t>
  </si>
  <si>
    <t>597d0a77-9511-4ac4-8e8f-9d87588efd13</t>
  </si>
  <si>
    <t>192c49fa-570f-4774-9035-129e7b1866a4</t>
  </si>
  <si>
    <t>3c1191c0-e3ab-44b5-ac21-249197440a38</t>
  </si>
  <si>
    <t>6e5479ba-018e-4579-9dc0-907e41311e7c</t>
  </si>
  <si>
    <t>9b93874d-37b1-4bad-9251-fb939bc10e81</t>
  </si>
  <si>
    <t>39f49c86-cc76-4b2f-bbb4-59607e10e7f4</t>
  </si>
  <si>
    <t>2601efd4-0d2b-4321-a3c6-a2f854f6f1e3</t>
  </si>
  <si>
    <t>fce3da96-b4ae-4220-80f5-5ac2e1f92b83</t>
  </si>
  <si>
    <t>f8773d65-a869-4531-9508-ec57377113bc</t>
  </si>
  <si>
    <t>061a786e-4478-41f3-9145-72bbd3fb639f</t>
  </si>
  <si>
    <t>c38059c5-3808-44af-a73f-75813f9cd1b4</t>
  </si>
  <si>
    <t>1b2dfa04-5722-44d3-8d74-2faec70a311a</t>
  </si>
  <si>
    <t>fe816400-34ff-4c7a-816f-25ab18bf2476</t>
  </si>
  <si>
    <t>5a0b2af2-1e1d-4372-80ab-295ee49cb65f</t>
  </si>
  <si>
    <t>887b1626-f2fe-409f-8045-4708f168d995</t>
  </si>
  <si>
    <t>d90ef11f-d47f-4c99-a501-c8e9303b16fb</t>
  </si>
  <si>
    <t>47815c82-540d-420e-80d9-083ffc611a81</t>
  </si>
  <si>
    <t>600f4313-8f23-40e5-8e64-5878925ade69</t>
  </si>
  <si>
    <t>3c8e4e53-8bb6-4dc0-95ed-d0403026177d</t>
  </si>
  <si>
    <t>45e7ee45-d783-4f35-bd86-b2f4fee42b07</t>
  </si>
  <si>
    <t>4cc13239-a6c6-4030-9ab7-38aae99129b8</t>
  </si>
  <si>
    <t>693a0766-101a-4275-801d-b2ccd2cd4a14</t>
  </si>
  <si>
    <t>ab61b028-8389-4230-9549-0b7736edb903</t>
  </si>
  <si>
    <t>2271cd50-ba45-4c15-8451-89c4c0f06a93</t>
  </si>
  <si>
    <t>f78df321-1f1b-49d7-bccf-5a1f652e3bc1</t>
  </si>
  <si>
    <t>5efa6872-4a9c-4df5-ac0b-2cc60961a2a2</t>
  </si>
  <si>
    <t>c2a80e71-e39d-4bad-b147-7e62be43392d</t>
  </si>
  <si>
    <t>7d9c0d26-35ef-4341-8c2c-35e04ae8732d</t>
  </si>
  <si>
    <t>ea9e7d9b-c130-40d0-9a10-f68b5cdc13cc</t>
  </si>
  <si>
    <t>6b126c05-f9aa-4e58-a247-92eb21ea760a</t>
  </si>
  <si>
    <t>0dba5b9a-9ebb-4b96-9436-981d6f1ebb2c</t>
  </si>
  <si>
    <t>12c695e4-8815-437d-86d2-087798140df9</t>
  </si>
  <si>
    <t>370f365a-3613-4924-9164-c10d16d63028</t>
  </si>
  <si>
    <t>a89903d6-eacc-467e-be3e-36dd4cac8637</t>
  </si>
  <si>
    <t>2389cb48-4ab2-4aff-869d-729baab0a8bf</t>
  </si>
  <si>
    <t>6ff1dd86-5ad9-424a-979e-bf2cc94e252b</t>
  </si>
  <si>
    <t>58b7fff0-75b0-460e-a72b-165d3c0149a3</t>
  </si>
  <si>
    <t>0aca0c4a-fd44-491f-8da3-fa8960525e02</t>
  </si>
  <si>
    <t>5ba418a9-d709-460c-905c-365638e9839e</t>
  </si>
  <si>
    <t>9283ddb9-e5ba-47d7-81ec-3ac6cac4f357</t>
  </si>
  <si>
    <t>093c0b33-6c02-41ea-8c3f-238e430bf1f4</t>
  </si>
  <si>
    <t>f7d401a0-782d-44cc-a62c-d38134e4aefa</t>
  </si>
  <si>
    <t>2923d68e-2c37-40d0-9b5d-4581ee9cae18</t>
  </si>
  <si>
    <t>a6e61a12-b635-40db-9d49-3d29b4236e9d</t>
  </si>
  <si>
    <t>da3bf6ba-4b62-4ccc-9a8c-a5220f1ef3cc</t>
  </si>
  <si>
    <t>bfb5d45f-a634-4c16-9ddd-9b9c08d1d2f9</t>
  </si>
  <si>
    <t>b32dd12d-1b1e-47e9-9975-beaa18f8c88a</t>
  </si>
  <si>
    <t>c8ae8637-ddab-47ee-9e86-92f7bf39c6a0</t>
  </si>
  <si>
    <t>8c3308e0-da16-4d8c-a30d-cb6c2b8721c4</t>
  </si>
  <si>
    <t>d69f6293-d072-4056-aecc-01200e0e5ef6</t>
  </si>
  <si>
    <t>ab005453-cc2d-48d2-8177-91a61e22163a</t>
  </si>
  <si>
    <t>155380c3-9d19-4e5c-a4ab-5a0a39e24f00</t>
  </si>
  <si>
    <t>bb7bade1-6207-427f-a985-20d1f31c8a0f</t>
  </si>
  <si>
    <t>516ddf39-c151-44b7-814b-081eb4b4b56e</t>
  </si>
  <si>
    <t>aff631ef-51e2-4fe5-b51b-ae28ec42e8e3</t>
  </si>
  <si>
    <t>8e12e052-b0b0-4077-b417-e2d1ccaa9c98</t>
  </si>
  <si>
    <t>9f81b006-a9bd-4c76-a43d-b100b3629a42</t>
  </si>
  <si>
    <t>505ac130-0f0c-4fe1-835a-cadae415066f</t>
  </si>
  <si>
    <t>0b5156f2-cf17-4488-b4c4-19602a60815a</t>
  </si>
  <si>
    <t>73e14c5c-5cf3-4609-9b9d-5acad0a9223b</t>
  </si>
  <si>
    <t>35d52219-5b9d-4467-8b0c-3369b82f51de</t>
  </si>
  <si>
    <t>32cd4ce2-6bb0-4710-b4d3-630713d5a14e</t>
  </si>
  <si>
    <t>ca23e02c-2419-45a2-87da-13b6895e1f63</t>
  </si>
  <si>
    <t>ed0a3527-879c-412e-85a7-d27a00706d8a</t>
  </si>
  <si>
    <t>af888071-a7cb-4e20-8e9f-494816e093cd</t>
  </si>
  <si>
    <t>6e0a63bc-e0e1-454f-9388-933b7e2f8265</t>
  </si>
  <si>
    <t>a32697f5-587d-4524-90d9-819cfd1cd7de</t>
  </si>
  <si>
    <t>QA Ungrounding 08/06/2024</t>
  </si>
  <si>
    <t>QA Ungrounding 08/05/2024</t>
  </si>
  <si>
    <t>QA Ungrounding 08/03/2024</t>
  </si>
  <si>
    <t>QA Ungrounding 08/04/2024</t>
  </si>
  <si>
    <t>QA Preventative Maintenance 08/06/2024</t>
  </si>
  <si>
    <t>QA Preventative Maintenance 08/05/2024</t>
  </si>
  <si>
    <t>QA Preventative Maintenance 08/03/2024</t>
  </si>
  <si>
    <t>QA Preventative Maintenance 08/04/2024</t>
  </si>
  <si>
    <t>CF VFC 08/04/2024</t>
  </si>
  <si>
    <t>CF VFC 08/06/2024</t>
  </si>
  <si>
    <t>CF VFC 08/05/2024</t>
  </si>
  <si>
    <t>CF VFC 08/03/2024</t>
  </si>
  <si>
    <t>QA Reimbursement 08/06/2024</t>
  </si>
  <si>
    <t>QA Reimbursement 08/05/2024</t>
  </si>
  <si>
    <t>QA Reimbursement 08/04/2024</t>
  </si>
  <si>
    <t>QA Reimbursement 08/03/2024</t>
  </si>
  <si>
    <t>FIF Audits WK31</t>
  </si>
  <si>
    <t>FIF Audits WK25 (Pilot Test)</t>
  </si>
  <si>
    <t>QA SWA Paragon Audits 08/06/2024</t>
  </si>
  <si>
    <t>QA SWA Paragon Audits 08/05/2024</t>
  </si>
  <si>
    <t>QA SWA Paragon Audits 08/04/2024</t>
  </si>
  <si>
    <t>QA SWA Paragon Audits 08/03/2024</t>
  </si>
  <si>
    <t>QA SWA Paragon Audits 08/01/2024</t>
  </si>
  <si>
    <t>QA SWA Paragon Audits 07/31/2024</t>
  </si>
  <si>
    <t>QA SWA Paragon Audits 07/30/2024</t>
  </si>
  <si>
    <t>QA SWA Paragon Audits 07/29/2024</t>
  </si>
  <si>
    <t>QA SWA Paragon Audits 07/28/2024</t>
  </si>
  <si>
    <t>QA SWA Paragon Audits 08/02/2024</t>
  </si>
  <si>
    <t>QA SWA Paragon Audits 07/27/2024</t>
  </si>
  <si>
    <t>QA SWA Paragon Audits 07/26/2024</t>
  </si>
  <si>
    <t>QA SWA Paragon Audits 07/25/2024</t>
  </si>
  <si>
    <t>QA SWA Paragon Audits 07/23/2024</t>
  </si>
  <si>
    <t>QA SWA Paragon Audits 07/24/2024</t>
  </si>
  <si>
    <t>QA SWA Paragon Audits 07/22/2024</t>
  </si>
  <si>
    <t>QA SWA Paragon Audits 07/21/2024</t>
  </si>
  <si>
    <t>QA SWA Paragon Audits 07/19/2024</t>
  </si>
  <si>
    <t>QA SWA Paragon Audits 07/20/2024</t>
  </si>
  <si>
    <t>QA SWA Paragon Audits 07/18/2024</t>
  </si>
  <si>
    <t>QA SWA Paragon Audits 07/17/2024</t>
  </si>
  <si>
    <t>QA SWA Paragon Audits 07/16/2024</t>
  </si>
  <si>
    <t>QA SWA Paragon Audits 07/15/2024</t>
  </si>
  <si>
    <t>QA SWA Paragon Audits 07/14/2024</t>
  </si>
  <si>
    <t>QA SWA Paragon Audits 07/13/2024</t>
  </si>
  <si>
    <t>QA SWA Paragon Audits 07/12/2024</t>
  </si>
  <si>
    <t>QA SWA Paragon Audits 07/11/2024</t>
  </si>
  <si>
    <t>QA SWA Paragon Audits 07/10/2024</t>
  </si>
  <si>
    <t>ORSA Intervention - QA Weekly Audit Dashboard  [ 2024 ]</t>
  </si>
  <si>
    <t>ORSA Miss</t>
  </si>
  <si>
    <t>ORSA - Intervention Upload Request - Valid - Week 29</t>
  </si>
  <si>
    <t>ORSA - Intervention Upload Request - Invalid - Week 29</t>
  </si>
  <si>
    <t>ORSA - Intervention Upload Request - Valid - Week 28</t>
  </si>
  <si>
    <t>ORSA - Intervention Upload Request - Invalid - Week 28</t>
  </si>
  <si>
    <t>ORSA - Intervention Upload Request - Valids - Week 27</t>
  </si>
  <si>
    <t>ORSA - Intervention Upload Request - Invalids - Week 27</t>
  </si>
  <si>
    <t>ORSA - Intervention Upload Request - Valids - Week 26</t>
  </si>
  <si>
    <t>ORSA - Intervention Upload Request - Invalids - Week 26</t>
  </si>
  <si>
    <t>ORSA - Intervention Upload Request - Valids - Week 25</t>
  </si>
  <si>
    <t>ORSA - Intervention Upload Request - Invalids - Week 25</t>
  </si>
  <si>
    <t>ORSA - Intervention Upload Request - Valids - Week 24</t>
  </si>
  <si>
    <t>ORSA - Intervention Upload Request - Invalids - Week 24</t>
  </si>
  <si>
    <t>ORSA - Intervention Upload Request - Valids - Week 23</t>
  </si>
  <si>
    <t>ORSA - Intervention Upload Request - Invalids - Week 23</t>
  </si>
  <si>
    <t>ORSA - Intervention Upload Request - Valids - Week 17</t>
  </si>
  <si>
    <t>ORSA - Intervention Upload Request - Valids - Week 16</t>
  </si>
  <si>
    <t>ORSA - Intervention Upload Request - Invalids - Week 16</t>
  </si>
  <si>
    <t>ORSA - Intervention Upload Request - Valids - Week 15</t>
  </si>
  <si>
    <t>ORSA - Intervention Upload Request - Valids - Week 14</t>
  </si>
  <si>
    <t>ORSA - Intervention Upload Request - Invalids - Week 14</t>
  </si>
  <si>
    <t>ORSA - Intervention Upload Request - Valids - Week 13</t>
  </si>
  <si>
    <t>WTD-1</t>
  </si>
  <si>
    <t>MTD-1</t>
  </si>
  <si>
    <t>ORSA Intervention Monthly Misses</t>
  </si>
  <si>
    <t>ORSA Intervention Weekly Misses</t>
  </si>
  <si>
    <t>AFS_Backlog</t>
  </si>
  <si>
    <t>3f442ae5-6ab7-45c6-9eb9-911d8acc80b8</t>
  </si>
  <si>
    <t>AFS Backlog</t>
  </si>
  <si>
    <t>Week Number</t>
  </si>
  <si>
    <t>Audited Volume</t>
  </si>
  <si>
    <t>Total Misses</t>
  </si>
  <si>
    <t>CI Misses</t>
  </si>
  <si>
    <t>Operator Follow-up Misses</t>
  </si>
  <si>
    <t>False Resolution Misses</t>
  </si>
  <si>
    <t>SLA Misses</t>
  </si>
  <si>
    <t>Total DPMO</t>
  </si>
  <si>
    <t>CI DPMO</t>
  </si>
  <si>
    <t>Month Number</t>
  </si>
  <si>
    <t>AFS Backlog Weekly Misses</t>
  </si>
  <si>
    <t>AFS Backlog Daily Misses</t>
  </si>
  <si>
    <t>Total Audited</t>
  </si>
  <si>
    <t>SWA</t>
  </si>
  <si>
    <t>MOPAR Manual Captures</t>
  </si>
  <si>
    <t>MOPAR Manual Captures Weekly Misses</t>
  </si>
  <si>
    <t>MOPAR Manual Captures Daily Misses</t>
  </si>
  <si>
    <t>MOPAR_Manual_Captures</t>
  </si>
  <si>
    <t>561d60b2-bebe-47dc-b70e-a99142bc8f50</t>
  </si>
  <si>
    <t>AA didn’t update the root cause field accurately prior to closing when the vehicle was not Amazon owner or Amazon leased</t>
  </si>
  <si>
    <t xml:space="preserve">AA didn’t update the root cause field accurately prior to closing the newest duplicate case </t>
  </si>
  <si>
    <t>The Vehicle Mileage in salesforce doesn’t match what’s in Geotab</t>
  </si>
  <si>
    <t>AA didn’t update the case status accurately after sending the 1st Response 48 hours script for Amerit or Goodyear</t>
  </si>
  <si>
    <t>AA didn’t accurately update the route ID or invoice number or didn’t update them at all</t>
  </si>
  <si>
    <t>AA didn’t update the disputed reliability report score at all or inaccurately updated it</t>
  </si>
  <si>
    <t>AA didn’t accurately complete the vendor business fields in salesforce</t>
  </si>
  <si>
    <t>AA didn’t close the newest duplicate case with the accurate script or didn’t send a script at all</t>
  </si>
  <si>
    <t>AA didn’t close the case when the vehicle was not Amazon owned or Amazon leased</t>
  </si>
  <si>
    <t>AA didn’t close the newest duplicate case</t>
  </si>
  <si>
    <t>AA didn’t send an accurate script when the 3C6 or 3C7 vehicle issue was covered and within the miles listed on the quip</t>
  </si>
  <si>
    <t>AA didn’t send an accurate script or update the case status accurately or at all when the dealership was not OEM approved or when there was pushback from the DSP</t>
  </si>
  <si>
    <t>AA didn’t accurately update the case status or send the appropriate script when the case couldn’t be handled by CO or wasn’t related to warranty</t>
  </si>
  <si>
    <t>Most misses come out to be customer impacting; find CI misses on the CI_NCI tab. When adding new misses place a comma at the end of the sentence.</t>
  </si>
  <si>
    <t>AA didn’t attach any documentation to the SIM</t>
  </si>
  <si>
    <t>AA Approved but VIN doesn’t match with what’s on the documentation/no VIN number</t>
  </si>
  <si>
    <t>AA Rejected with the right documentation and a matching VIN</t>
  </si>
  <si>
    <t>AA Approved but the type of repairs don’t match the defect</t>
  </si>
  <si>
    <t>AA Approved when DOT inspection was not passed</t>
  </si>
  <si>
    <t>AA Approved with missing inspection/repair date/repair date is before source date for AMERIT</t>
  </si>
  <si>
    <t>AA Approved with missing signature and date</t>
  </si>
  <si>
    <t>CI PLACEHOLDER</t>
  </si>
  <si>
    <t>ALL BLANK VALUES MUST BE FILLED WITH "CI PLACEHOLDER"</t>
  </si>
  <si>
    <t>AA didn’t correctly calculate [Count of Active Cards] or [Target Card Count]</t>
  </si>
  <si>
    <t>AA didn’t send the correct Email Template for scenario/action</t>
  </si>
  <si>
    <t>AA sent an incorrectly completed Email or Email contains grammatical/formatting errors</t>
  </si>
  <si>
    <t>AA did not perform initial response</t>
  </si>
  <si>
    <t>AA didn't action the case within 24 hours of initial case assignment / Action case within 24hrs after a follow-up</t>
  </si>
  <si>
    <t>AA didn't send a correctly completed DSP follow-up email template after 2 business days from the time the card IDs/Info needed template was sent</t>
  </si>
  <si>
    <t>AA didn't send a correctly completed case closure notification email template after two business days from the time the DSP follow-up email template was sent</t>
  </si>
  <si>
    <t>AA didn’t escalate &amp; reassign to the GFP Fleet Senior PMS (Bradly/Emmett) when they needed to</t>
  </si>
  <si>
    <t>AA sent an email with grammatical errors/not all the required sections in the template were completed</t>
  </si>
  <si>
    <t>AA didn’t exclude the non-reimbursable items (anything other than fuel and DEF) when determining the reimbursable value</t>
  </si>
  <si>
    <t>AA successfully reimbursed items on a receipt for purchases made on a VFC</t>
  </si>
  <si>
    <t>AA didn’t accurately record the reimbursement in the CO Reimbursement Tracker</t>
  </si>
  <si>
    <t>AA had incorrect reimbursable values</t>
  </si>
  <si>
    <t>AA didn’t send an “Escalation” email follow-up to the DSP when they found a DSP that operates outside the US</t>
  </si>
  <si>
    <t>AA didn’t send an “Escalation” email follow-up to the DSP when they found a request with a receipt older than 90 days</t>
  </si>
  <si>
    <t>AA didn’t send a first “DSP Notice of receipt” email template when they came across a case without enough information/with purchases made on a VFC/when there was no response from the DSP</t>
  </si>
  <si>
    <t>AA didn’t send a “reimbursement denial notice” follow-up to the DSP when there was an excess transaction/excess tank capacity unleaded (above 32 gallons) or Diesel (above 45 gallons)</t>
  </si>
  <si>
    <t>AA didn’t send a “reimbursement denial notice” follow-up to the DSP for the non-reimbursable items on the receipt</t>
  </si>
  <si>
    <t>AA didn’t send a correct “DSP Notice reimbursement submission” when it was a successful reimbursement</t>
  </si>
  <si>
    <t>AA didn’t send the first follow-up the same day they were assigned the case/within 1 business day</t>
  </si>
  <si>
    <t>AA didn’t send a second follow-up 2 business days after the sending the first</t>
  </si>
  <si>
    <t>AA didn’t send a third follow-up 2 business days after sending the second follow-up  Case Closure notice</t>
  </si>
  <si>
    <t>AA transferred case to the wrong queue</t>
  </si>
  <si>
    <t>AA responded to Shipper's message instead of transferring to correct queue</t>
  </si>
  <si>
    <t>AA actioned the case instead of transferring to SPS when case was Not same-day date</t>
  </si>
  <si>
    <t>AA did not respond to the most recent correspondence from shipper (at time of response)</t>
  </si>
  <si>
    <t>AA's response did not answer/solve the shipper's question/escalation</t>
  </si>
  <si>
    <t>AA's response was not appropriate/professional. Grammatical Errors/Profanity</t>
  </si>
  <si>
    <t>AA did not respond to or action the case, when case action was needed.</t>
  </si>
  <si>
    <t>Associate did not complete the correspondence and action within 30 minutes</t>
  </si>
  <si>
    <t>eb177876-5b04-4bb1-9e78-f2dc2022f9f5</t>
  </si>
  <si>
    <t>9750fdba-b89c-4b12-876a-319428eb518c</t>
  </si>
  <si>
    <t>99d6637f-c3dc-4933-83bf-ca3e5df70c73</t>
  </si>
  <si>
    <t>65009ac5-be71-472c-afb8-6e733736fc1b</t>
  </si>
  <si>
    <t>b9fb716f-d41e-44d2-a4eb-b852e26c1922</t>
  </si>
  <si>
    <t>9b332e16-7595-4253-9467-f3f40b2dbb75</t>
  </si>
  <si>
    <t>f5471c02-95d7-43f7-9d4c-9e31c65ad223</t>
  </si>
  <si>
    <t>cd169747-dbaa-4fdc-8b3e-3b0c4eae2f62</t>
  </si>
  <si>
    <t>b225edbf-71c6-4d6f-8ae4-8c8c48585fb1</t>
  </si>
  <si>
    <t>d272ab73-a7e3-4dee-b0ce-45535608d1dd</t>
  </si>
  <si>
    <t>8b8e77ee-1206-4f06-aef7-c1dff622cb4d</t>
  </si>
  <si>
    <t>87c559b9-e852-4f32-a266-671312d3309a</t>
  </si>
  <si>
    <t>e5836279-53ca-4dc3-a4bd-6dba5db51af8</t>
  </si>
  <si>
    <t>5a6e58fb-b1ec-449a-90ae-110fee5f1c5b</t>
  </si>
  <si>
    <t>8f178435-c415-4064-8ca0-204e6d428d55</t>
  </si>
  <si>
    <t>da35c180-47b8-4265-b111-d8e90e1b77fd</t>
  </si>
  <si>
    <t>82ef48d9-9bc8-41b8-9704-d57c7446aca3</t>
  </si>
  <si>
    <t>c89afd43-59ac-4a1a-b62f-5c508180b7cc</t>
  </si>
  <si>
    <t>995be600-7aea-4a46-9271-e50e4e0d61c3</t>
  </si>
  <si>
    <t>bf776ab8-c8e2-4f49-b133-8125769e72ef</t>
  </si>
  <si>
    <t>9b552388-a859-4fdc-a171-c42430b7333e</t>
  </si>
  <si>
    <t>c885d8f8-ee02-4396-bcc4-d8654353a2be</t>
  </si>
  <si>
    <t>078c3130-11b1-4c3b-b648-5f8e89c121cd</t>
  </si>
  <si>
    <t>7237409f-4b4d-4b12-bd6f-55a920072764</t>
  </si>
  <si>
    <t>d32c744d-1271-47cf-b90a-139d1ae430bb</t>
  </si>
  <si>
    <t>ecb0f911-7afe-42b8-9231-85df19a33a60</t>
  </si>
  <si>
    <t>745504ce-1258-4dbd-a680-d9ac9d8ce249</t>
  </si>
  <si>
    <t>117fa996-003f-4385-992a-562fd47ebb1a</t>
  </si>
  <si>
    <t>e76e9667-2741-46cf-9da4-526fe968e016</t>
  </si>
  <si>
    <t>2acd0a9f-bc11-4724-83f7-0fc37ba38f0c</t>
  </si>
  <si>
    <t>dc4e5ded-a43f-400a-848b-ab864f644af9</t>
  </si>
  <si>
    <t>06c1d683-2dae-4cbc-8c55-d5c9aebf97e7</t>
  </si>
  <si>
    <t>b0963097-6c92-4459-83e4-8c7f95d696eb</t>
  </si>
  <si>
    <t>b3489673-899a-4c62-8143-aaf1c02c689d</t>
  </si>
  <si>
    <t>099ea618-91e3-4703-8d4e-a3f008156276</t>
  </si>
  <si>
    <t>fc82230e-7b21-45b7-9409-24f30d7bc030</t>
  </si>
  <si>
    <t>28a8f25b-157f-43ab-a7d8-0a50bad4a89f</t>
  </si>
  <si>
    <t>491f9bc3-f487-4289-a275-f1d59e0acc67</t>
  </si>
  <si>
    <t>5961e839-cf5e-4532-9cfa-249ca5cb44ce</t>
  </si>
  <si>
    <t>50e57350-bf95-4513-8af3-fb9191ec9971</t>
  </si>
  <si>
    <t>4bb59180-8f56-451e-a848-ed8560ba2675</t>
  </si>
  <si>
    <t>27c6894c-83e2-4961-a25c-87b06ed44e1a</t>
  </si>
  <si>
    <t>715a9471-b084-4d16-829e-961460ec5835</t>
  </si>
  <si>
    <t>8688f5fe-b0f1-4db7-b21f-36db171f5b0a</t>
  </si>
  <si>
    <t>975d7ee3-306b-43ff-a392-8f49b194e70e</t>
  </si>
  <si>
    <t>6a86c967-5095-4a86-b507-e9a2b2743d65</t>
  </si>
  <si>
    <t>df88837c-5176-4885-bf61-9d24a58fbd60</t>
  </si>
  <si>
    <t>b1b95bf6-b5e6-48b6-a3a4-7af6e24a8345</t>
  </si>
  <si>
    <t>941e4de4-144f-4617-857e-e8d9791cf15e</t>
  </si>
  <si>
    <t>c9eddf24-19c7-4a14-89b7-79bffda87525</t>
  </si>
  <si>
    <t>bb58c6f0-9db0-4f1a-ab28-7ae18386e55c</t>
  </si>
  <si>
    <t>442c198a-9700-4b06-8616-5b8d64c0ef6c</t>
  </si>
  <si>
    <t>f26ebc08-33c9-44ce-8dc9-b6aaf05efeb9</t>
  </si>
  <si>
    <t>132bcb96-1b61-4f82-9e4e-48a7f80fb2aa</t>
  </si>
  <si>
    <t>4bc5656f-185b-4282-aa76-b6049002d903</t>
  </si>
  <si>
    <t>36ffa006-958a-48ba-b4e7-ce0bff7001e4</t>
  </si>
  <si>
    <t>00a783e1-8509-4d08-873d-e6baf622ce19</t>
  </si>
  <si>
    <t>439a8485-0b27-4c1e-8c1a-8f564b178042</t>
  </si>
  <si>
    <t>80ccf933-109a-417b-af28-f9867cb69d76</t>
  </si>
  <si>
    <t>90e0325f-6299-4d62-a740-900b89ec8d0f</t>
  </si>
  <si>
    <t>28a9f3a3-2c4e-4056-aa95-a0530c4dc6e6</t>
  </si>
  <si>
    <t>9aa970cd-caa9-479d-b8e2-77dd9778225f</t>
  </si>
  <si>
    <t>c0938868-b95f-4df7-9cde-a8a8949d4a65</t>
  </si>
  <si>
    <t>24b06465-4101-4323-b085-66284fc30a64</t>
  </si>
  <si>
    <t>d0c03a04-c767-4b34-b406-9023cf35d823</t>
  </si>
  <si>
    <t>487c526c-1718-4195-a892-c2b9e9a5db2f</t>
  </si>
  <si>
    <t>1fa0ad42-897f-46ae-9dec-208902b8fb42</t>
  </si>
  <si>
    <t>6958813e-e515-4b81-870e-8a0736de8be6</t>
  </si>
  <si>
    <t>f7a59c1c-58ae-4615-a00c-ffd00024d07b</t>
  </si>
  <si>
    <t>86b56321-6f19-4185-8b84-da98fd65dc22</t>
  </si>
  <si>
    <t>840271ba-84dc-48cc-957b-2da143f3c67b</t>
  </si>
  <si>
    <t>74e1f98e-eafc-4522-8a3f-49a5f1fc2cef</t>
  </si>
  <si>
    <t>6b71700d-9e59-4aaa-a135-e5d176e50863</t>
  </si>
  <si>
    <t>aa0fe5f5-a0a1-4a3d-825f-b841b5ace880</t>
  </si>
  <si>
    <t>dc86b4b8-e358-4bc1-93fc-f6919ccf2c4f</t>
  </si>
  <si>
    <t>390d8be6-bac4-4644-b138-8b4296bf5a9b</t>
  </si>
  <si>
    <t>2f85c4dc-0c93-4d2f-81f5-b2aae8defdd0</t>
  </si>
  <si>
    <t>88188b31-32f9-404a-ac00-b1c635e1795c</t>
  </si>
  <si>
    <t>d7ce85fd-171f-44de-9024-a58195e650ce</t>
  </si>
  <si>
    <t>f0caaf03-45f9-49f2-9195-5093594b3a9f</t>
  </si>
  <si>
    <t>23d19e8d-0adb-4d49-8a7d-383af60adc15</t>
  </si>
  <si>
    <t>c78c5d3f-35c2-4759-8f65-c67c08a6764a</t>
  </si>
  <si>
    <t>309e8934-9974-43d4-b96b-45225944d7ac</t>
  </si>
  <si>
    <t>649646ca-dffb-4fed-8f5b-c5e06b89db8e</t>
  </si>
  <si>
    <t>8dc60595-3371-406d-9250-5a929ac6ae75</t>
  </si>
  <si>
    <t>7955a8f0-83af-443e-bca5-b7ea0430fdfd</t>
  </si>
  <si>
    <t>e0910e9c-f926-47f8-8ea9-debbebe9286d</t>
  </si>
  <si>
    <t>57e71d44-e177-480b-8007-051d8a75de6d</t>
  </si>
  <si>
    <t>0dee249a-dd6b-4ae2-951d-9e1c554322a8</t>
  </si>
  <si>
    <t>9dc8d58a-5fdd-44da-9828-a7224a53604e</t>
  </si>
  <si>
    <t>84c3055e-ddd1-4737-baea-bef71897f497</t>
  </si>
  <si>
    <t>5815f985-9698-467a-b619-f167f8fe865f</t>
  </si>
  <si>
    <t>599089ea-3f75-418f-96b1-c424d39afeb9</t>
  </si>
  <si>
    <t>d754c7c4-bfb0-4ebe-8842-f3a95b619bdb</t>
  </si>
  <si>
    <t>e1c1e031-d019-4845-9a8a-7f0272b6c5de</t>
  </si>
  <si>
    <t>6252c487-5a1a-4d2e-a1e1-a60507132248</t>
  </si>
  <si>
    <t>bf06c944-3bfd-4207-8428-081089166728</t>
  </si>
  <si>
    <t>820fe8e7-f26a-437b-8103-771cf82ad375</t>
  </si>
  <si>
    <t>bd2cb898-68f3-4303-9e4a-472469f2b8bd</t>
  </si>
  <si>
    <t>0244bef1-c24c-48d4-a031-fc584bf35aee</t>
  </si>
  <si>
    <t>f92a5fa3-4dcd-4cdd-87b7-ef59b0b5eef9</t>
  </si>
  <si>
    <t>6211108c-8c19-493a-b8e7-39c018fa00bb</t>
  </si>
  <si>
    <t>823b49f3-9c42-40c7-ad65-9b5ea68eddc5</t>
  </si>
  <si>
    <t>a21bab42-8d59-4a60-a085-0658f8283a33</t>
  </si>
  <si>
    <t>51f53f88-3218-480b-8eed-b85daf1e0e5f</t>
  </si>
  <si>
    <t>77fb74be-8af4-4a6d-a94e-69e7eab34d3f</t>
  </si>
  <si>
    <t>471dcef2-76e2-4d27-bb40-32fb8dd44ce7</t>
  </si>
  <si>
    <t>6c8befb7-d648-4163-a96a-8b803dd687ae</t>
  </si>
  <si>
    <t>6102e4a1-c61a-4940-b1c8-8bf191e54cbd</t>
  </si>
  <si>
    <t>5fe5ce05-6a61-4040-9ff4-25e6ac5d3371</t>
  </si>
  <si>
    <t>d033417b-6508-4899-b346-c0e59975552e</t>
  </si>
  <si>
    <t>94b2719e-3a29-47d5-b22e-dc2451fd67dd</t>
  </si>
  <si>
    <t>22532c75-85b7-48bb-ac0a-91d8198600f9</t>
  </si>
  <si>
    <t>fc9d4fa1-51fc-49cd-a295-5352fcaf03ef</t>
  </si>
  <si>
    <t>027e072e-536e-48f7-bcd0-e365d8103a34</t>
  </si>
  <si>
    <t>AFS Miss</t>
  </si>
  <si>
    <t>QA Ungrounding 10/04/2024</t>
  </si>
  <si>
    <t>QA Ungrounding 10/07/2024</t>
  </si>
  <si>
    <t>QA Ungrounding 10/06/2024</t>
  </si>
  <si>
    <t>QA Ungrounding 10/05/2024</t>
  </si>
  <si>
    <t>QA Ungrounding 09/11/2024</t>
  </si>
  <si>
    <t>QA Ungrounding 10/03/2024</t>
  </si>
  <si>
    <t>QA Ungrounding 09/28/2024</t>
  </si>
  <si>
    <t>QA Ungrounding 10/02/2024</t>
  </si>
  <si>
    <t>QA Ungrounding 10/01/2024</t>
  </si>
  <si>
    <t>QA Ungrounding 09/30/2024</t>
  </si>
  <si>
    <t>QA Ungrounding 09/29/2024</t>
  </si>
  <si>
    <t>QA Ungrounding 09/27/2024</t>
  </si>
  <si>
    <t>QA Ungrounding 09/26/2024</t>
  </si>
  <si>
    <t>QA Ungrounding 09/25/2024</t>
  </si>
  <si>
    <t>QA Ungrounding 09/24/2024</t>
  </si>
  <si>
    <t>QA Ungrounding 09/23/2024</t>
  </si>
  <si>
    <t>QA Ungrounding 09/22/2024</t>
  </si>
  <si>
    <t>QA Ungrounding 09/21/2024</t>
  </si>
  <si>
    <t>QA Ungrounding 09/20/2024</t>
  </si>
  <si>
    <t>QA Ungrounding 09/19/2024</t>
  </si>
  <si>
    <t>QA Ungrounding 09/18/2024</t>
  </si>
  <si>
    <t>QA Ungrounding 09/16/2024</t>
  </si>
  <si>
    <t>QA Ungrounding 09/17/2024</t>
  </si>
  <si>
    <t>QA Ungrounding 09/13/2024</t>
  </si>
  <si>
    <t>QA Ungrounding 09/15/2024</t>
  </si>
  <si>
    <t>QA Ungrounding 09/14/2024</t>
  </si>
  <si>
    <t>QA Ungrounding 09/12/2024</t>
  </si>
  <si>
    <t>QA Ungrounding 09/10/2024</t>
  </si>
  <si>
    <t>QA Preventative Maintenance 10/07/2024</t>
  </si>
  <si>
    <t>QA Preventative Maintenance 10/06/2024</t>
  </si>
  <si>
    <t>QA Preventative Maintenance 10/05/2024</t>
  </si>
  <si>
    <t>QA Preventative Maintenance 10/04/2024</t>
  </si>
  <si>
    <t>QA Preventative Maintenance 10/03/2024</t>
  </si>
  <si>
    <t>QA Preventative Maintenance 10/02/2024</t>
  </si>
  <si>
    <t>QA Preventative Maintenance 10/01/2024</t>
  </si>
  <si>
    <t>QA Preventative Maintenance 09/30/2024</t>
  </si>
  <si>
    <t>QA Preventative Maintenance 09/29/2024</t>
  </si>
  <si>
    <t>QA Preventative Maintenance 09/28/2024</t>
  </si>
  <si>
    <t>QA Preventative Maintenance 09/27/2024</t>
  </si>
  <si>
    <t>QA Preventative Maintenance 09/26/2024</t>
  </si>
  <si>
    <t>QA Preventative Maintenance 09/25/2024</t>
  </si>
  <si>
    <t>QA Preventative Maintenance 09/13/2024</t>
  </si>
  <si>
    <t>QA Preventative Maintenance 09/18/2024</t>
  </si>
  <si>
    <t>QA Preventative Maintenance 09/22/2024</t>
  </si>
  <si>
    <t>QA Preventative Maintenance 09/24/2024</t>
  </si>
  <si>
    <t>QA Preventative Maintenance 09/17/2024</t>
  </si>
  <si>
    <t>QA Preventative Maintenance 09/23/2024</t>
  </si>
  <si>
    <t>QA Preventative Maintenance 09/21/2024</t>
  </si>
  <si>
    <t>QA Preventative Maintenance 09/20/2024</t>
  </si>
  <si>
    <t>QA Preventative Maintenance 09/14/2024</t>
  </si>
  <si>
    <t>QA Preventative Maintenance 09/19/2024</t>
  </si>
  <si>
    <t>QA Preventative Maintenance 09/16/2024</t>
  </si>
  <si>
    <t>QA Preventative Maintenance 09/15/2024</t>
  </si>
  <si>
    <t>QA Preventative Maintenance 09/12/2024</t>
  </si>
  <si>
    <t>QA Preventative Maintenance 09/11/2024</t>
  </si>
  <si>
    <t>QA Preventative Maintenance 09/10/2024</t>
  </si>
  <si>
    <t>CF VFC 10/06/2024</t>
  </si>
  <si>
    <t>CF VFC 10/07/2024</t>
  </si>
  <si>
    <t>CF VFC 10/03/2024</t>
  </si>
  <si>
    <t>CF VFC 09/30/2024</t>
  </si>
  <si>
    <t>CF VFC 10/05/2024</t>
  </si>
  <si>
    <t>CF VFC 10/04/2024</t>
  </si>
  <si>
    <t>CF VFC 10/02/2024</t>
  </si>
  <si>
    <t>CF VFC 10/01/2024</t>
  </si>
  <si>
    <t>CF VFC 09/29/2024</t>
  </si>
  <si>
    <t>CF VFC 09/27/2024</t>
  </si>
  <si>
    <t>CF VFC 09/26/2024</t>
  </si>
  <si>
    <t>CF VFC 09/28/2024</t>
  </si>
  <si>
    <t>CF VFC 09/25/2024</t>
  </si>
  <si>
    <t>CF VFC 09/24/2024</t>
  </si>
  <si>
    <t>CF VFC 09/23/2024</t>
  </si>
  <si>
    <t>CF VFC 09/19/2024</t>
  </si>
  <si>
    <t>CF VFC 09/22/2024</t>
  </si>
  <si>
    <t>CF VFC 09/21/2024</t>
  </si>
  <si>
    <t>CF VFC 09/20/2024</t>
  </si>
  <si>
    <t>CF VFC 09/18/2024</t>
  </si>
  <si>
    <t>CF VFC 09/17/2024</t>
  </si>
  <si>
    <t>CF VFC 09/16/2024</t>
  </si>
  <si>
    <t>CF VFC 09/11/2024</t>
  </si>
  <si>
    <t>CF VFC 09/15/2024</t>
  </si>
  <si>
    <t>CF VFC 09/14/2024</t>
  </si>
  <si>
    <t>CF VFC 09/13/2024</t>
  </si>
  <si>
    <t>CF VFC 09/12/2024</t>
  </si>
  <si>
    <t>CF VFC 09/10/2024</t>
  </si>
  <si>
    <t>QA Reimbursement 10/07/2024</t>
  </si>
  <si>
    <t>QA Reimbursement 10/06/2024</t>
  </si>
  <si>
    <t>QA Reimbursement 10/05/2024</t>
  </si>
  <si>
    <t>QA Reimbursement 10/04/2024</t>
  </si>
  <si>
    <t>QA Reimbursement 10/03/2024</t>
  </si>
  <si>
    <t>QA Reimbursement 10/02/2024</t>
  </si>
  <si>
    <t>QA Reimbursement 10/01/2024</t>
  </si>
  <si>
    <t>QA Reimbursement 09/30/2024</t>
  </si>
  <si>
    <t>QA Reimbursement 09/29/2024</t>
  </si>
  <si>
    <t>QA Reimbursement 09/27/2024</t>
  </si>
  <si>
    <t>QA Reimbursement 09/26/2024</t>
  </si>
  <si>
    <t>QA Reimbursement 09/25/2024</t>
  </si>
  <si>
    <t>QA Reimbursement 09/22/2024</t>
  </si>
  <si>
    <t>QA Reimbursement 09/20/2024</t>
  </si>
  <si>
    <t>QA Reimbursement 09/19/2024</t>
  </si>
  <si>
    <t>QA Reimbursement 09/18/2024</t>
  </si>
  <si>
    <t>QA Reimbursement 09/17/2024</t>
  </si>
  <si>
    <t>QA Reimbursement 09/10/2024</t>
  </si>
  <si>
    <t>QA Reimbursement 09/16/2024</t>
  </si>
  <si>
    <t>QA Reimbursement 09/11/2024</t>
  </si>
  <si>
    <t>QA Reimbursement 09/12/2024</t>
  </si>
  <si>
    <t>FIF Audits WK36</t>
  </si>
  <si>
    <t>FIF Audits WK35</t>
  </si>
  <si>
    <t>FIF Audits WK34</t>
  </si>
  <si>
    <t>QA Validation 09/04/2024</t>
  </si>
  <si>
    <t>FIF Audits WK33</t>
  </si>
  <si>
    <t>FIF Audits WK32</t>
  </si>
  <si>
    <t xml:space="preserve">SWA - Paragon </t>
  </si>
  <si>
    <t>Mopar Quality Miss</t>
  </si>
  <si>
    <t>[Pilot] QA Mopar: WK39</t>
  </si>
  <si>
    <t>f6d7426e-d88e-44f8-a55c-e7b8432061f7</t>
  </si>
  <si>
    <t>1dd4d284-0640-4dcf-b560-cccd99ac603c</t>
  </si>
  <si>
    <t>a19ffb35-3100-4dae-a5e7-1aee3cd439b6</t>
  </si>
  <si>
    <t>fd544813-12e8-421f-8537-dfea43f7f515</t>
  </si>
  <si>
    <t>880b6e80-8156-4365-aa8c-7a29997abafd</t>
  </si>
  <si>
    <t>18d26f8f-f116-44c4-9a83-413949082110</t>
  </si>
  <si>
    <t>4a687fbb-2d3f-4e5e-8eba-4b7d8bb156c8</t>
  </si>
  <si>
    <t>a2410288-22bd-4e3d-ad8d-7d90a3af0b90</t>
  </si>
  <si>
    <t>QA Ungrounding 10/09/2024</t>
  </si>
  <si>
    <t>QA Ungrounding 10/08/2024</t>
  </si>
  <si>
    <t>QA Preventative Maintenance 10/09/2024</t>
  </si>
  <si>
    <t>QA Preventative Maintenance 10/08/2024</t>
  </si>
  <si>
    <t>CF VFC 10/09/2024</t>
  </si>
  <si>
    <t>CF VFC 10/08/2024</t>
  </si>
  <si>
    <t>QA Reimbursement 10/09/2024</t>
  </si>
  <si>
    <t>QA Reimbursement 10/08/2024</t>
  </si>
  <si>
    <t>7c3e3d91-3cce-452e-829b-6a595896282b</t>
  </si>
  <si>
    <t>e6b8db79-d740-4bf7-99e4-eca5e75f7fe3</t>
  </si>
  <si>
    <t>5c662124-341d-42c1-b5ee-c616e96468a9</t>
  </si>
  <si>
    <t>d6d4def5-88bf-439b-a870-f98960b40429</t>
  </si>
  <si>
    <t>261024f1-f0ff-480d-ba63-382274e12d18</t>
  </si>
  <si>
    <t>d39e90a6-1aae-450f-b992-72980bbeccc0</t>
  </si>
  <si>
    <t>b414a2e2-e72e-4344-b477-ac12400f133c</t>
  </si>
  <si>
    <t>99b770a7-b8ae-4306-ae70-a5574fb3e180</t>
  </si>
  <si>
    <t>QA Ungrounding 10/11/2024</t>
  </si>
  <si>
    <t>QA Ungrounding 10/10/2024</t>
  </si>
  <si>
    <t>QA Preventative Maintenance 10/11/2024</t>
  </si>
  <si>
    <t>QA Preventative Maintenance 10/10/2024</t>
  </si>
  <si>
    <t>CF VFC 10/11/2024</t>
  </si>
  <si>
    <t>CF VFC 10/10/2024</t>
  </si>
  <si>
    <t>QA Reimbursement 10/10/2024</t>
  </si>
  <si>
    <t>QA Reimbursement 10/11/2024</t>
  </si>
  <si>
    <t>5e25f046-0384-49ef-8fa9-90573b1b496f</t>
  </si>
  <si>
    <t>fb94ba86-ac4c-4912-b582-bd6ad45fd354</t>
  </si>
  <si>
    <t>3ce050c6-f908-4638-816e-97dee508b84e</t>
  </si>
  <si>
    <t>e6414835-254e-4ffa-8f05-0b8fafc0a9cd</t>
  </si>
  <si>
    <t>8c79fe63-a1c9-48e3-8d88-5711a612dddf</t>
  </si>
  <si>
    <t>ded290c9-05ca-48d6-a79b-b88dee0f082d</t>
  </si>
  <si>
    <t>9c296a31-3cfb-4ca2-8e44-a79af6502368</t>
  </si>
  <si>
    <t>QA Ungrounding 10/13/2024</t>
  </si>
  <si>
    <t>QA Ungrounding 10/12/2024</t>
  </si>
  <si>
    <t>QA Preventative Maintenance 10/13/2024</t>
  </si>
  <si>
    <t>QA Preventative Maintenance 10/12/2024</t>
  </si>
  <si>
    <t>CF VFC 10/13/2024</t>
  </si>
  <si>
    <t>CF VFC 10/12/2024</t>
  </si>
  <si>
    <t>QA Reimbursement 10/13/2024</t>
  </si>
  <si>
    <t>89ac9ed1-7877-460d-9a79-723e5eaf7de8</t>
  </si>
  <si>
    <t>16610cd8-c8bc-4d34-841e-b5d11a4f861b</t>
  </si>
  <si>
    <t>32258696-6063-4c49-a4f3-388ae5d44fe4</t>
  </si>
  <si>
    <t>103a771e-5073-4ebd-bf40-6e38be07eb25</t>
  </si>
  <si>
    <t>a1d3d2b6-6ac4-4868-bbb4-3759f6a74a9f</t>
  </si>
  <si>
    <t>SoLAR Audited</t>
  </si>
  <si>
    <t>QA Ungrounding 10/14/2024</t>
  </si>
  <si>
    <t>QA Preventative Maintenance 10/14/2024</t>
  </si>
  <si>
    <t>CF VFC 10/14/2024</t>
  </si>
  <si>
    <t>QA Reimbursement 10/14/2024</t>
  </si>
  <si>
    <t>e6fb5ff9-9b91-4254-a1bb-2a07b4bb58dc</t>
  </si>
  <si>
    <t>f70d84b1-8865-43cc-8f25-192360bb32f8</t>
  </si>
  <si>
    <t>53ee107d-b963-43ef-bbfa-cc5fb2168d37</t>
  </si>
  <si>
    <t>8de8dca9-f0fb-474a-919d-db289de3a5ec</t>
  </si>
  <si>
    <t>QA Ungrounding 10/15/2024</t>
  </si>
  <si>
    <t>QA Preventative Maintenance 10/15/2024</t>
  </si>
  <si>
    <t>CF VFC 10/15/2024</t>
  </si>
  <si>
    <t>QA Reimbursement 10/15/2024</t>
  </si>
  <si>
    <t>1b60b1ec-4012-4df5-9a89-f01c9926c802</t>
  </si>
  <si>
    <t>709804e4-c5a6-49cb-84da-9cd182e54619</t>
  </si>
  <si>
    <t>b972141b-97ab-4683-8348-1085d7692a67</t>
  </si>
  <si>
    <t>0bb447a7-c6aa-4430-accd-d293f884cba0</t>
  </si>
  <si>
    <t>QA Ungrounding 10/16/2024</t>
  </si>
  <si>
    <t>QA Preventative Maintenance 10/16/2024</t>
  </si>
  <si>
    <t>CF VFC 10/16/2024</t>
  </si>
  <si>
    <t>QA Reimbursement 10/16/2024</t>
  </si>
  <si>
    <t>e3dd0859-ab92-4812-acbb-c3261eb78b45</t>
  </si>
  <si>
    <t>80a80e8e-a3b9-4acd-ae53-8b05a94d90db</t>
  </si>
  <si>
    <t>b5a3b018-28a2-41a4-ae7d-55d5c4e163d4</t>
  </si>
  <si>
    <t>a8c61a76-710b-4597-afb1-439ddd56bf45</t>
  </si>
  <si>
    <t>QA Ungrounding 10/17/2024</t>
  </si>
  <si>
    <t>QA Preventative Maintenance 10/17/2024</t>
  </si>
  <si>
    <t>CF VFC 10/17/2024</t>
  </si>
  <si>
    <t>QA Reimbursement 10/17/2024</t>
  </si>
  <si>
    <t>7d9f2e3b-b231-492b-a242-345eddfbd2d2</t>
  </si>
  <si>
    <t>90e9d0d2-754a-40bd-9fe2-0592f156f25f</t>
  </si>
  <si>
    <t>dded9835-326d-4f08-9a0c-226c364c554e</t>
  </si>
  <si>
    <t>e887e5be-f910-4a45-91f8-f9f463079518</t>
  </si>
  <si>
    <t>QA Ungrounding 10/18/2024</t>
  </si>
  <si>
    <t>QA Preventative Maintenance 10/18/2024</t>
  </si>
  <si>
    <t>CF VFC 10/18/2024</t>
  </si>
  <si>
    <t>QA Reimbursement 10/18/2024</t>
  </si>
  <si>
    <t>8db934ca-69a3-47f6-881d-c11128427039</t>
  </si>
  <si>
    <t>497ea08e-1185-4d8c-9822-6c15f0b4fc54</t>
  </si>
  <si>
    <t>eeef7ff6-38c8-4e57-80c8-564356fb8796</t>
  </si>
  <si>
    <t>d4b8bd7c-c1cb-4dc1-95cf-c97afa5385bf</t>
  </si>
  <si>
    <t>QA Ungrounding 10/19/2024</t>
  </si>
  <si>
    <t>QA Preventative Maintenance 10/19/2024</t>
  </si>
  <si>
    <t>CF VFC 10/19/2024</t>
  </si>
  <si>
    <t>QA Reimbursement 10/19/2024</t>
  </si>
  <si>
    <t>7fa9b4ae-eff0-4ac8-a395-c52c7aa18cfe</t>
  </si>
  <si>
    <t>ca19ddf5-d702-4c8b-8434-f76f13095f80</t>
  </si>
  <si>
    <t>9011b059-61cb-47b5-ba85-607d88363f86</t>
  </si>
  <si>
    <t>4f9e5459-ea2d-4642-9525-eb8dca672f66</t>
  </si>
  <si>
    <t>QA Ungrounding 10/20/2024</t>
  </si>
  <si>
    <t>QA Preventative Maintenance 10/20/2024</t>
  </si>
  <si>
    <t>CF VFC 10/20/2024</t>
  </si>
  <si>
    <t>QA Reimbursement 10/20/2024</t>
  </si>
  <si>
    <t>c8577361-2800-4880-86df-dcbfc323eed1</t>
  </si>
  <si>
    <t>6cee5582-e9ad-4389-add6-c0ed8cc76801</t>
  </si>
  <si>
    <t>d590da32-486b-4461-a060-85b424f05624</t>
  </si>
  <si>
    <t>QA Ungrounding 10/21/2024</t>
  </si>
  <si>
    <t>CF VFC 10/21/2024</t>
  </si>
  <si>
    <t>QA Reimbursement 10/21/2024</t>
  </si>
  <si>
    <t>c8b69d54-12b2-4597-ad6c-b424181531cb</t>
  </si>
  <si>
    <t>2fdd5da1-63ed-4985-bb64-83af5d1c55c6</t>
  </si>
  <si>
    <t>6fa22a7d-f5ef-488a-9653-7dad4b97ea4a</t>
  </si>
  <si>
    <t>QA Preventative Maintenance 10/21/2024</t>
  </si>
  <si>
    <t>CF VFC 10/22/2024</t>
  </si>
  <si>
    <t>QA Reimbursement 10/22/2024</t>
  </si>
  <si>
    <t>shaggy.0704</t>
  </si>
  <si>
    <t>fd1b4831-75d9-4294-b283-81d9895e34de</t>
  </si>
  <si>
    <t>018dd337-c5e6-42e4-bff8-495de4b6dd71</t>
  </si>
  <si>
    <t>ff607061-f43b-454c-b7a8-1377e896777c</t>
  </si>
  <si>
    <t>9e50bd15-08d1-4af3-a32c-a4d9912cb232</t>
  </si>
  <si>
    <t>bccad3f9-c138-450a-97d2-0ab5302a821e</t>
  </si>
  <si>
    <t>589aea51-1617-43cd-ad0f-03c1445dbcdf</t>
  </si>
  <si>
    <t>QA Ungrounding 10/23/2024</t>
  </si>
  <si>
    <t>QA Ungrounding 10/22/2024</t>
  </si>
  <si>
    <t>QA Preventative Maintenance 10/23/2024</t>
  </si>
  <si>
    <t>QA Preventative Maintenance 10/22/2024</t>
  </si>
  <si>
    <t>CF VFC 10/23/2024</t>
  </si>
  <si>
    <t>QA Reimbursement 10/23/2024</t>
  </si>
  <si>
    <t>NCI Misses</t>
  </si>
  <si>
    <t>NCI DPMO</t>
  </si>
  <si>
    <t>32b8c4cd-29f8-4682-a1ca-1987d2c3316a</t>
  </si>
  <si>
    <t>4401b386-5d98-4350-a534-7a5b15a70175</t>
  </si>
  <si>
    <t>53c5bcef-1ee3-4dff-9c75-82debffb591d</t>
  </si>
  <si>
    <t>7d12a50a-bc85-4e20-9da4-701c5e73dd41</t>
  </si>
  <si>
    <t>QA Ungrounding 10/24/2024</t>
  </si>
  <si>
    <t>QA Preventative Maintenance 10/24/2024</t>
  </si>
  <si>
    <t>CF VFC 10/24/2024</t>
  </si>
  <si>
    <t>QA Reimbursement 10/24/2024</t>
  </si>
  <si>
    <t>61361ea7-33f8-4c37-943e-4ca52f2b96f0</t>
  </si>
  <si>
    <t>275ad9f2-be93-4c12-a313-5d4e701bf994</t>
  </si>
  <si>
    <t>e90802b3-6fc7-4e61-8093-3849b95993f0</t>
  </si>
  <si>
    <t>29394834-504a-4426-8aba-521a59adf088</t>
  </si>
  <si>
    <t>QA Ungrounding 10/25/2024</t>
  </si>
  <si>
    <t>QA Preventative Maintenance 10/25/2024</t>
  </si>
  <si>
    <t>CF VFC 10/25/2024</t>
  </si>
  <si>
    <t>QA Reimbursement 10/25/2024</t>
  </si>
  <si>
    <t>bd74784b-fd7f-4464-93e4-36e0a587b63f</t>
  </si>
  <si>
    <t>762f8cde-f9e7-43c3-95ab-83554e6d94b7</t>
  </si>
  <si>
    <t>6f4d30a3-f02d-4f85-87bd-59eadbf473bf</t>
  </si>
  <si>
    <t>0235b6c7-adef-4759-9ab4-4731e1430546</t>
  </si>
  <si>
    <t>QA Ungrounding 10/26/2024</t>
  </si>
  <si>
    <t>QA Preventative Maintenance 10/26/2024</t>
  </si>
  <si>
    <t>CF VFC 10/26/2024</t>
  </si>
  <si>
    <t>QA Reimbursement 10/26/2024</t>
  </si>
  <si>
    <t>793ff830-feb9-4c98-8b1d-bdefc8bee008</t>
  </si>
  <si>
    <t>e9623da7-68bc-4904-be9b-a052673ad0c6</t>
  </si>
  <si>
    <t>3cdc33a4-0f35-478d-8019-970a8e0540ad</t>
  </si>
  <si>
    <t>QA Ungrounding 10/27/2024</t>
  </si>
  <si>
    <t>QA Preventative Maintenance 10/27/2024</t>
  </si>
  <si>
    <t>CF VFC 10/27/2024</t>
  </si>
  <si>
    <t>108e551e-b667-43c0-bbc0-783dabd753bc</t>
  </si>
  <si>
    <t>dfdd352d-67c5-45a1-abb9-1ab808d4cacd</t>
  </si>
  <si>
    <t>QA Ungrounding 10/28/2024</t>
  </si>
  <si>
    <t>QA Preventative Maintenance 10/28/2024</t>
  </si>
  <si>
    <t>0a6314e6-5eef-4647-8807-068c7435b5d3</t>
  </si>
  <si>
    <t>7f739964-00e2-4d04-b222-3922c70683cc</t>
  </si>
  <si>
    <t>CF VFC 10/29/2024</t>
  </si>
  <si>
    <t>QA Reimbursement 10/29/2024</t>
  </si>
  <si>
    <t>874f6812-829f-4749-a7c4-c63cc5ad6d31</t>
  </si>
  <si>
    <t>8f579b1b-dbba-4cb6-8016-398dbe76ef18</t>
  </si>
  <si>
    <t>4bf6b008-8e0f-4f84-abeb-289902ab8251</t>
  </si>
  <si>
    <t>9477b548-a255-43c8-b362-cb4f3f927276</t>
  </si>
  <si>
    <t>QA Ungrounding 10/30/2024</t>
  </si>
  <si>
    <t>QA Preventative Maintenance 10/30/2024</t>
  </si>
  <si>
    <t>CF VFC 10/30/2024</t>
  </si>
  <si>
    <t>QA Reimbursement 10/30/2024</t>
  </si>
  <si>
    <t>0da1a02d-0493-48cd-969b-3493cc625edd</t>
  </si>
  <si>
    <t>f3335a09-2403-4e02-b990-02163b538dde</t>
  </si>
  <si>
    <t>6c032a0b-7eb8-402e-b1ac-f070cebb5fe5</t>
  </si>
  <si>
    <t>73f4762c-e82e-4c72-99aa-1b23168fd979</t>
  </si>
  <si>
    <t>QA Ungrounding 10/31/2024</t>
  </si>
  <si>
    <t>QA Preventative Maintenance 10/31/2024</t>
  </si>
  <si>
    <t>CF VFC 10/31/2024</t>
  </si>
  <si>
    <t>QA Reimbursement 10/31/2024</t>
  </si>
  <si>
    <t>b87c41ba-4c83-4321-a3a1-0071a7375954</t>
  </si>
  <si>
    <t>840deb94-1fb5-4d09-95d1-cf3a6e3cfbfb</t>
  </si>
  <si>
    <t>4ab20001-ad66-4790-aaad-c9f8195d3cc9</t>
  </si>
  <si>
    <t>afdddb0f-0537-4ed5-bae4-2db3cec546e7</t>
  </si>
  <si>
    <t>b8ce43a5-a179-4dea-a6c7-fa26a20adffa</t>
  </si>
  <si>
    <t>9f791b75-3e19-4206-97b9-b87c6747091f</t>
  </si>
  <si>
    <t>e6ec5e60-75af-4859-9ef6-19974995f64a</t>
  </si>
  <si>
    <t>f2844ce0-b36c-43c0-92e7-1f0cdd6ec3c5</t>
  </si>
  <si>
    <t>QA Ungrounding 11/02/2024</t>
  </si>
  <si>
    <t>QA Ungrounding 11/01/2024</t>
  </si>
  <si>
    <t>QA Preventative Maintenance 11/02/2024</t>
  </si>
  <si>
    <t>QA Preventative Maintenance 11/01/2024</t>
  </si>
  <si>
    <t>CF VFC 11/02/2024</t>
  </si>
  <si>
    <t>CF VFC 11/01/2024</t>
  </si>
  <si>
    <t>QA Reimbursement 11/02/2024</t>
  </si>
  <si>
    <t>QA Reimbursement 11/01/2024</t>
  </si>
  <si>
    <t>57c0c3c4-4290-462e-a9f0-badcbeb86693</t>
  </si>
  <si>
    <t>7da94beb-2b19-487e-8dc6-dd1bbdb0d17d</t>
  </si>
  <si>
    <t>QA Ungrounding 11/03/2024</t>
  </si>
  <si>
    <t>QA Preventative Maintenance 11/03/2024</t>
  </si>
  <si>
    <t>400ec2fb-62e9-4e60-8ad9-0a8280a7a7a0</t>
  </si>
  <si>
    <t>b6050d53-d8f3-451e-bad5-46c861f37385</t>
  </si>
  <si>
    <t>b83f80ad-2db2-44fb-bbdd-0efcb9b883e7</t>
  </si>
  <si>
    <t>c1ed8fb7-23fb-4e05-a7f4-743d2bf8a212</t>
  </si>
  <si>
    <t>68aa8d39-721b-4b24-b29a-a05f7f0524f4</t>
  </si>
  <si>
    <t>0dad63de-799c-4c73-b2da-81469af2cf11</t>
  </si>
  <si>
    <t>45d4c32f-335d-4cb3-864d-87dafae0870f</t>
  </si>
  <si>
    <t>d1cb3f32-3ef2-44c4-8408-734fbe52366c</t>
  </si>
  <si>
    <t>55b1d700-134f-4eaf-9d31-00c59b114a23</t>
  </si>
  <si>
    <t>eba1f89b-a4ea-479d-a0f6-ba20e52ef86d</t>
  </si>
  <si>
    <t>51b83781-2bf7-42a9-bfb6-04e304824e87</t>
  </si>
  <si>
    <t>7b170227-9990-4643-b4ef-6006dbff02d9</t>
  </si>
  <si>
    <t>65c3ebaf-0842-4827-a064-531c181edb72</t>
  </si>
  <si>
    <t>QA Ungrounding 11/04/2024</t>
  </si>
  <si>
    <t>QA Ungrounding 11/06/2024</t>
  </si>
  <si>
    <t>QA Ungrounding 11/05/2024</t>
  </si>
  <si>
    <t>QA Preventative Maintenance 11/06/2024</t>
  </si>
  <si>
    <t>QA Preventative Maintenance 11/05/2024</t>
  </si>
  <si>
    <t>QA Preventative Maintenance 11/04/2024</t>
  </si>
  <si>
    <t>CF VFC 11/07/2024</t>
  </si>
  <si>
    <t>CF VFC 11/06/2024</t>
  </si>
  <si>
    <t>CF VFC 11/05/2024</t>
  </si>
  <si>
    <t>QA Reimbursement 11/07/2024</t>
  </si>
  <si>
    <t>QA Reimbursement 11/06/2024</t>
  </si>
  <si>
    <t>QA Reimbursement 11/05/2024</t>
  </si>
  <si>
    <t>QA Reimbursement 11/04/2024</t>
  </si>
  <si>
    <t>dbb5ae12-ab2c-4107-904f-407b9f3cc317</t>
  </si>
  <si>
    <t>4a08465e-b682-4611-8c47-e41423e3fa8f</t>
  </si>
  <si>
    <t>a6392ea6-e33c-42b0-a14e-73dbdfed8999</t>
  </si>
  <si>
    <t>74a910b6-265a-43cf-bb41-96876e1ca107</t>
  </si>
  <si>
    <t>cee57070-b59e-4978-8c43-13146979193b</t>
  </si>
  <si>
    <t>62433b04-a03f-4389-aff8-593a3a928dbe</t>
  </si>
  <si>
    <t>80f0b944-63e9-4e88-bae0-d84580587dc0</t>
  </si>
  <si>
    <t>03f93e89-ce3f-464e-acc0-e3b0f466deb7</t>
  </si>
  <si>
    <t>37123a86-3e36-4d68-842d-6d756029af45</t>
  </si>
  <si>
    <t>QA Ungrounding 11/09/2024</t>
  </si>
  <si>
    <t>QA Ungrounding 11/08/2024</t>
  </si>
  <si>
    <t>QA Ungrounding 11/07/2024</t>
  </si>
  <si>
    <t>QA Preventative Maintenance 11/08/2024</t>
  </si>
  <si>
    <t>QA Preventative Maintenance 11/07/2024</t>
  </si>
  <si>
    <t>CF VFC 11/09/2024</t>
  </si>
  <si>
    <t>CF VFC 11/08/2024</t>
  </si>
  <si>
    <t>QA Reimbursement 11/09/2024</t>
  </si>
  <si>
    <t>QA Reimbursement 11/08/2024</t>
  </si>
  <si>
    <t>70e6ef5f-b54b-45bc-b295-7282c47f2131</t>
  </si>
  <si>
    <t>5db759db-9786-4405-b0dc-2a571f22fef0</t>
  </si>
  <si>
    <t>02205912-c0f1-496b-89da-bed2800b86fa</t>
  </si>
  <si>
    <t>26d9b3c5-ceca-467b-96c5-44036f60bd61</t>
  </si>
  <si>
    <t>QA Ungrounding 11/10/2024</t>
  </si>
  <si>
    <t>QA Preventative Maintenance 11/10/2024</t>
  </si>
  <si>
    <t>QA Preventative Maintenance 11/09/2024</t>
  </si>
  <si>
    <t>CF VFC 11/10/2024</t>
  </si>
  <si>
    <t>302377ae-cacf-46de-807d-d4f62b69fda9</t>
  </si>
  <si>
    <t>0545882b-5f02-4a6c-88b5-4fb6c3d4c764</t>
  </si>
  <si>
    <t>cb9e5bd5-1f36-4e01-a9c1-bd8fbb2b41d3</t>
  </si>
  <si>
    <t>aa20a069-4ad0-413e-be0c-833d206f6879</t>
  </si>
  <si>
    <t>QA Ungrounding 11/11/2024</t>
  </si>
  <si>
    <t>QA Preventative Maintenance 11/11/2024</t>
  </si>
  <si>
    <t>CF VFC 11/11/2024</t>
  </si>
  <si>
    <t>QA Reimbursement 11/11/2024</t>
  </si>
  <si>
    <t>d82f03d1-2546-4335-8eba-334fcd757e36</t>
  </si>
  <si>
    <t>52bcfe6c-8b42-4371-84c2-097e2b1b51c8</t>
  </si>
  <si>
    <t>af5bd6e3-0eea-434a-ac4d-c6224057c832</t>
  </si>
  <si>
    <t>b9458595-ecc2-4173-a023-334a6bb85a61</t>
  </si>
  <si>
    <t>QA Ungrounding 11/12/2024</t>
  </si>
  <si>
    <t>QA Preventative Maintenance 11/12/2024</t>
  </si>
  <si>
    <t>CF VFC 11/12/2024</t>
  </si>
  <si>
    <t>QA Reimbursement 11/12/2024</t>
  </si>
  <si>
    <t>cdba3e48-0ee6-40a8-9438-047c029b4ff9</t>
  </si>
  <si>
    <t>999055ce-6d05-45c8-a3a7-881d796418db</t>
  </si>
  <si>
    <t>20dc323d-7264-47ff-869d-3040d78ead5f</t>
  </si>
  <si>
    <t>978ee83a-6d4b-4858-96fd-6b3f1698f6a5</t>
  </si>
  <si>
    <t>QA Ungrounding 11/13/2024</t>
  </si>
  <si>
    <t>QA Preventative Maintenance 11/13/2024</t>
  </si>
  <si>
    <t>CF VFC 11/13/2024</t>
  </si>
  <si>
    <t>QA Reimbursement 11/13/2024</t>
  </si>
  <si>
    <t>c944e1e0-b51e-443d-a552-c13f27978869</t>
  </si>
  <si>
    <t>1c3c276b-3642-42ee-a333-408e8d43303f</t>
  </si>
  <si>
    <t>1f9a97b5-6e91-4410-b73c-3cc12baa0d72</t>
  </si>
  <si>
    <t>QA Ungrounding 11/14/2024</t>
  </si>
  <si>
    <t>QA Preventative Maintenance 11/14/2024</t>
  </si>
  <si>
    <t>CF VFC 11/14/2024</t>
  </si>
  <si>
    <t>5e0ca3db-916c-4c44-bd4f-9cbf9f40e127</t>
  </si>
  <si>
    <t>52fa70c6-78de-4728-8160-3e7a7cdc7e23</t>
  </si>
  <si>
    <t>9f78b61e-659f-40e7-aa72-304a693cd769</t>
  </si>
  <si>
    <t>ae4ca440-d5ea-4e27-baf1-af2f2fe71829</t>
  </si>
  <si>
    <t>7312cc1d-7413-4dd6-9083-703dfe530c2a</t>
  </si>
  <si>
    <t>e4f0007d-9cfc-4eb4-96db-c448b7d6038b</t>
  </si>
  <si>
    <t>d216ab0b-dfae-403c-b223-55057aaba3ad</t>
  </si>
  <si>
    <t>6fb0117c-61ed-497e-a997-ee529c9f61ba</t>
  </si>
  <si>
    <t>ec47b1c0-ace0-4211-b543-874113bb8e1f</t>
  </si>
  <si>
    <t>f30121a4-eef6-43fc-a2d9-3d1c69c2579b</t>
  </si>
  <si>
    <t>de2830f5-5309-4c9c-a015-be951e977b96</t>
  </si>
  <si>
    <t>5734a95a-9b00-4b75-b267-446dd031c83d</t>
  </si>
  <si>
    <t>361a2183-a37e-4a87-b2fe-11b8ae2937ff</t>
  </si>
  <si>
    <t>9438f683-dada-47e8-a2c5-0334addabb29</t>
  </si>
  <si>
    <t>8d79db2a-2023-49bc-bbc5-4db4a65d2907</t>
  </si>
  <si>
    <t>0d98cd99-5522-4fba-a785-287a872d9296</t>
  </si>
  <si>
    <t>532bb30a-d883-4199-b9ac-8a8b2e26baf2</t>
  </si>
  <si>
    <t>3afff024-dcf8-4713-b21b-4013ce81b74d</t>
  </si>
  <si>
    <t>79204b61-3449-4bc6-a6fc-6a90310f24c5</t>
  </si>
  <si>
    <t>cca4ccc3-4ac8-4d1d-bd98-95a003bfc1e0</t>
  </si>
  <si>
    <t>fd044ca1-424e-4144-9ae0-cef687627290</t>
  </si>
  <si>
    <t>4ce46bbc-172d-4ff4-804f-a7e877bb074d</t>
  </si>
  <si>
    <t>51136777-6ca4-4158-8141-d7d55b1324f4</t>
  </si>
  <si>
    <t>7d7f6534-3c02-429c-9cf8-62a0ab1428c3</t>
  </si>
  <si>
    <t>4a53deb1-3eaf-4e4f-9624-5d8b1c1bed63</t>
  </si>
  <si>
    <t>QA Ungrounding 11/21/2024</t>
  </si>
  <si>
    <t>QA Ungrounding 11/16/2024</t>
  </si>
  <si>
    <t>QA Ungrounding 11/18/2024</t>
  </si>
  <si>
    <t>QA Ungrounding 11/20/2024</t>
  </si>
  <si>
    <t>QA Ungrounding 11/19/2024</t>
  </si>
  <si>
    <t>QA Ungrounding 11/17/2024</t>
  </si>
  <si>
    <t>QA Ungrounding 11/15/2024</t>
  </si>
  <si>
    <t>QA Preventative Maintenance 11/21/2024</t>
  </si>
  <si>
    <t>QA Preventative Maintenance 11/20/2024</t>
  </si>
  <si>
    <t>QA Preventative Maintenance 11/19/2024</t>
  </si>
  <si>
    <t>QA Preventative Maintenance 11/18/2024</t>
  </si>
  <si>
    <t>QA Preventative Maintenance 11/17/2024</t>
  </si>
  <si>
    <t>QA Preventative Maintenance 11/16/2024</t>
  </si>
  <si>
    <t>QA Preventative Maintenance 11/15/2024</t>
  </si>
  <si>
    <t>CF VFC 11/21/2024</t>
  </si>
  <si>
    <t>CF VFC 11/20/2024</t>
  </si>
  <si>
    <t>CF VFC 11/18/2024</t>
  </si>
  <si>
    <t>CF VFC 11/17/2024</t>
  </si>
  <si>
    <t>CF VFC 11/16/2024</t>
  </si>
  <si>
    <t>CF VFC 11/15/2024</t>
  </si>
  <si>
    <t>QA Reimbursement 11/21/2024</t>
  </si>
  <si>
    <t>QA Reimbursement 11/18/2024</t>
  </si>
  <si>
    <t>QA Reimbursement 11/20/2024</t>
  </si>
  <si>
    <t>QA Reimbursement 11/17/2024</t>
  </si>
  <si>
    <t>FIF Audits WK45</t>
  </si>
  <si>
    <t>f5e0d2d0-a3e1-4935-b0dd-a176bc5f7970</t>
  </si>
  <si>
    <t>13b67af1-1a0d-4e25-8775-3f5014f2a4b6</t>
  </si>
  <si>
    <t>26607f13-bbd3-48c2-9c92-617f436c5577</t>
  </si>
  <si>
    <t>b5edb5a0-a415-4b15-807e-3fef789b6452</t>
  </si>
  <si>
    <t>2d7f5c71-5cd7-4aff-9e63-6e2323cf779f</t>
  </si>
  <si>
    <t>QA Ungrounding 11/22/2024</t>
  </si>
  <si>
    <t>QA Preventative Maintenance 11/22/2024</t>
  </si>
  <si>
    <t>CF VFC 11/22/2024</t>
  </si>
  <si>
    <t>QA Reimbursement 11/22/2024</t>
  </si>
  <si>
    <t>bb5ee3b0-b3c8-4fab-97ca-aaa1715e50ab</t>
  </si>
  <si>
    <t>0977ebaa-3f28-4edf-af1b-20097f493af3</t>
  </si>
  <si>
    <t>cad9c0ec-d413-41f2-bb88-ebfed6da0e11</t>
  </si>
  <si>
    <t>a4b30133-af6b-454c-b6fb-364afb972b88</t>
  </si>
  <si>
    <t>QA Ungrounding 11/23/2024</t>
  </si>
  <si>
    <t>QA Preventative Maintenance 11/23/2024</t>
  </si>
  <si>
    <t>CF VFC 11/23/2024</t>
  </si>
  <si>
    <t>QA Validation 11/22/2024</t>
  </si>
  <si>
    <t>d2e5132c-a081-4de5-8207-5e6893962050</t>
  </si>
  <si>
    <t>33b0d098-7597-4170-84a8-c9944624755a</t>
  </si>
  <si>
    <t>9613df75-5a8a-4d24-9b7b-94b45cb34bbf</t>
  </si>
  <si>
    <t>QA Ungrounding 11/24/2024</t>
  </si>
  <si>
    <t>Preventative maintenance (PM)</t>
  </si>
  <si>
    <t>CF VFC 11/24/2024</t>
  </si>
  <si>
    <t>293c5606-1ed0-4060-aea0-05a5a5ece1fd</t>
  </si>
  <si>
    <t>fa17529d-b622-4146-915a-e99dfa0da1e0</t>
  </si>
  <si>
    <t>9ea079a9-b882-4748-ba9a-ae7a5e0ef7fd</t>
  </si>
  <si>
    <t>QA Ungrounding 11/25/2024</t>
  </si>
  <si>
    <t>QA Preventative Maintenance 11/25/2024</t>
  </si>
  <si>
    <t>CF VFC 11/25/2024</t>
  </si>
  <si>
    <t>818ec6bf-cec6-4f9b-889e-575a7547cbf1</t>
  </si>
  <si>
    <t>c1cb19e6-ed92-4f5e-ac15-4832cd049162</t>
  </si>
  <si>
    <t>8d9762e2-6582-4235-af5e-6d92ce3bde88</t>
  </si>
  <si>
    <t>QA Ungrounding 11/26/2024</t>
  </si>
  <si>
    <t>QA Preventative Maintenance 11/26/2024</t>
  </si>
  <si>
    <t>CF VFC 11/26/2024</t>
  </si>
  <si>
    <t>cef84f50-c660-4fba-84b1-54945ee708b9</t>
  </si>
  <si>
    <t>3aef518f-2e17-4f3f-9753-8ec375f46463</t>
  </si>
  <si>
    <t>7a4db81c-82ea-47c4-9c12-42f0fd8b4b18</t>
  </si>
  <si>
    <t>QA Ungrounding 11/27/2024</t>
  </si>
  <si>
    <t>QA Preventative Maintenance 11/27/2024</t>
  </si>
  <si>
    <t>CF VFC 11/27/2024</t>
  </si>
  <si>
    <t>ORSA Valids</t>
  </si>
  <si>
    <t>ORSA_Valids</t>
  </si>
  <si>
    <t>ORSA_Invalids</t>
  </si>
  <si>
    <t>d61d161f-edc3-42e1-a111-6775d7ffd7da</t>
  </si>
  <si>
    <t>2ca71341-8c50-440c-98d9-d954ffa0d275</t>
  </si>
  <si>
    <t>7066670d-5b20-45e2-93b2-5e67ddf3eb86</t>
  </si>
  <si>
    <t>85228f6b-6065-4174-b377-455345cd69ca</t>
  </si>
  <si>
    <t>3f98f996-12b5-4303-ad36-849e0306df6e</t>
  </si>
  <si>
    <t>74974f36-1f61-4a30-9a10-f51b0bd49c71</t>
  </si>
  <si>
    <t>ec1d1d88-86ab-4bb8-be11-a595b15a6286</t>
  </si>
  <si>
    <t>3409de1a-9865-4d38-ab46-575c18a64c43</t>
  </si>
  <si>
    <t>12cbecd6-2dc0-4ffd-ab0c-e8abce475e10</t>
  </si>
  <si>
    <t>c9e47523-1fb7-4639-9bbf-eea926d025f5</t>
  </si>
  <si>
    <t>bf145f0f-f410-4424-8201-28bf5aadf900</t>
  </si>
  <si>
    <t>79246a0c-89c4-48ac-88f0-c17b0806fe13</t>
  </si>
  <si>
    <t>46a477dd-8972-4b59-a11f-e682f51c24c6</t>
  </si>
  <si>
    <t>ec8ae1c6-e293-4f42-8c15-d1fbcec3a9bb</t>
  </si>
  <si>
    <t>5a08c0a6-5cb3-475b-b6b7-a2b3e213caf1</t>
  </si>
  <si>
    <t>0144fedb-5cb5-49ed-9b3a-79bda72120a8</t>
  </si>
  <si>
    <t>64c7129d-bf17-480d-9916-290815c4ba1c</t>
  </si>
  <si>
    <t>f2f9fadb-0a7c-4997-8a24-b364de745fcf</t>
  </si>
  <si>
    <t>0aeb212a-162e-4338-aa06-d124ebdc6475</t>
  </si>
  <si>
    <t>872a018d-a022-4884-bc27-d4cbf463445c</t>
  </si>
  <si>
    <t>293d5f32-3eae-452b-8559-a60ff56c5383</t>
  </si>
  <si>
    <t>fddb08b7-cf7d-4d9b-b894-7655a142803c</t>
  </si>
  <si>
    <t>a95018d4-755e-4237-b595-8f33f2c47226</t>
  </si>
  <si>
    <t>6774f537-eee7-45f9-84ff-23302101d1c8</t>
  </si>
  <si>
    <t>98f687d1-1bac-4dcc-baeb-283ecefa0f62</t>
  </si>
  <si>
    <t>0488ee22-a289-46ae-baa6-3823e46ddc43</t>
  </si>
  <si>
    <t>543a3c3f-c66d-4524-93ae-bd9d5b3bbbab</t>
  </si>
  <si>
    <t>QA ORSA DA Violation (Valids) Audits 11/27/2024</t>
  </si>
  <si>
    <t>QA ORSA DA Violation (Valids) Audits 11/26/2024</t>
  </si>
  <si>
    <t>QA ORSA DA Violation (Valids) Audits 11/25/2024</t>
  </si>
  <si>
    <t>Invalid Violation</t>
  </si>
  <si>
    <t>QA ORSA DA Violation (Valids) Audits 11/21/2024</t>
  </si>
  <si>
    <t>QA ORSA DA Violation (Valids) Audits 11/22/2024</t>
  </si>
  <si>
    <t>QA ORSA DA Violation (Valids) Audits 11/20/2024</t>
  </si>
  <si>
    <t>QA ORSA DA Violation (Valids) Audits 11/19/2024</t>
  </si>
  <si>
    <t>QA ORSA DA Violation (Valids) Audits 11/18/2024</t>
  </si>
  <si>
    <t>QA ORSA DA Violation (Valids) Audits 11/17/2024</t>
  </si>
  <si>
    <t>QA ORSA DA Violation (Valids) Audits 11/16/2024</t>
  </si>
  <si>
    <t>QA ORSA DA Violation (Valids) Audits 11/15/2024</t>
  </si>
  <si>
    <t>QA ORSA DA Violation (Valids) Audits 11/14/2024</t>
  </si>
  <si>
    <t>QA ORSA DA Violation (Valids) Audits 11/13/2024</t>
  </si>
  <si>
    <t>QA ORSA DA Violation (Valids) Audits 11/12/2024</t>
  </si>
  <si>
    <t>Netradyne</t>
  </si>
  <si>
    <t>QA ORSA DA Violation (Valids) Audits 11/11/2024</t>
  </si>
  <si>
    <t>QA ORSA DA Violation (Valids) Audits 11/09/2024</t>
  </si>
  <si>
    <t>QA ORSA DA Violation (Valids) Audits 11/06/2024</t>
  </si>
  <si>
    <t>QA ORSA DA Violation (Valids) Audits 11/05/2024</t>
  </si>
  <si>
    <t>QA ORSA DA Violation (Valids) Audits 11/04/2024</t>
  </si>
  <si>
    <t>QA ORSA DA Violation (Valids) Audits 11/02/2024</t>
  </si>
  <si>
    <t>QA ORSA DA Violation (Valids) Audits 11/01/2024</t>
  </si>
  <si>
    <t>QA ORSA DA Violation (Valids) Audits 10/30/2024</t>
  </si>
  <si>
    <t>5ef0f179-261f-4253-a90e-fc971df58521</t>
  </si>
  <si>
    <t>fff5c878-9559-4818-9095-a54617210147</t>
  </si>
  <si>
    <t>1a40da4a-28cf-465c-8782-84224448ce91</t>
  </si>
  <si>
    <t>0187b4bf-41e2-42e7-8f15-ea75742c7cb5</t>
  </si>
  <si>
    <t>86db1bff-de1b-4eb1-aaaa-39b08606469a</t>
  </si>
  <si>
    <t>88c436fb-6ae3-4e3a-8b9a-740297e8aef4</t>
  </si>
  <si>
    <t>8b1c8b2a-4b61-4bf5-85ac-2b33d49b67c3</t>
  </si>
  <si>
    <t>a63a21ee-a941-4755-af96-cef974e8b514</t>
  </si>
  <si>
    <t>f7f2c3a1-c8b9-4785-b9c6-34c165f3d54f</t>
  </si>
  <si>
    <t>ed60344e-ee5c-43e8-8e90-57d529859ccd</t>
  </si>
  <si>
    <t>6806dc4b-9641-43cf-a780-cf673946d468</t>
  </si>
  <si>
    <t>d2253102-707e-4ee5-88f7-b161244795b4</t>
  </si>
  <si>
    <t>124c89b5-f0bc-4e8a-a506-94d55656d476</t>
  </si>
  <si>
    <t>QA ORSA Invalids 11/27/2024</t>
  </si>
  <si>
    <t>QA ORSA Invalids 11/26/2024</t>
  </si>
  <si>
    <t>QA ORSA Invalids 11/21/2024</t>
  </si>
  <si>
    <t>QA ORSA Invalids 11/19/2024</t>
  </si>
  <si>
    <t>QA ORSA Invalids 11/18/2024</t>
  </si>
  <si>
    <t>QA ORSA Invalids 11/17/2024</t>
  </si>
  <si>
    <t>QA ORSA Invalids 11/16/2024</t>
  </si>
  <si>
    <t>QA ORSA Invalids 11/14/2024</t>
  </si>
  <si>
    <t>QA ORSA Invalids 11/12/2024</t>
  </si>
  <si>
    <t>QA ORSA Invalids 11/06/2024</t>
  </si>
  <si>
    <t>QA ORSA Invalids 11/05/2024</t>
  </si>
  <si>
    <t>QA ORSA Invalids 11/04/2024</t>
  </si>
  <si>
    <t>QA ORSA Invalids 11/01/2024</t>
  </si>
  <si>
    <t>ORSA Invalids</t>
  </si>
  <si>
    <t>ORSA Invalids Weekly Misses</t>
  </si>
  <si>
    <t>ORSA Invalids Daily Misses</t>
  </si>
  <si>
    <t>ORSA Valids Weekly Misses</t>
  </si>
  <si>
    <t>ORSA Valids Daily Misses</t>
  </si>
  <si>
    <t>13db0e10-1d92-4c9f-84eb-a9d4d021dc9b</t>
  </si>
  <si>
    <t>31f51b8a-3b87-44c8-85db-beb31b804a84</t>
  </si>
  <si>
    <t>4e827f9f-89bf-407e-bf3c-d576368ec0bf</t>
  </si>
  <si>
    <t>a6086851-98fe-44d7-9d51-226b643d04b0</t>
  </si>
  <si>
    <t>09e8c258-ab0a-4c6b-b316-d20b4eaa6261</t>
  </si>
  <si>
    <t>03d27f16-fe2c-4fd4-9cac-be46fcedfd70</t>
  </si>
  <si>
    <t>fb360bbc-069c-405d-b207-1f4a182f8e22</t>
  </si>
  <si>
    <t>e3d453d2-fa25-4529-9ac9-d764f1f084cc</t>
  </si>
  <si>
    <t>11969d89-0bb7-4b5a-83fe-200f00323e95</t>
  </si>
  <si>
    <t>de41115b-4382-4817-9d29-ccd55d737b3e</t>
  </si>
  <si>
    <t>89504d49-9ce0-4f86-9f7b-4758be48f533</t>
  </si>
  <si>
    <t>b6d13a3c-d576-44a0-b007-0b70d153f805</t>
  </si>
  <si>
    <t>977e96cb-845a-4ff3-ba1a-3801d32748a9</t>
  </si>
  <si>
    <t>552915c8-39d6-4826-a3d4-b92f0d880326</t>
  </si>
  <si>
    <t>6644f469-4171-42d5-be0c-11b91861f326</t>
  </si>
  <si>
    <t>2864e9a5-4f7a-4e4d-8767-8512a835a920</t>
  </si>
  <si>
    <t>de67d0a7-0265-456d-a939-d7bbaf8ff0e0</t>
  </si>
  <si>
    <t>a2f4a96f-4f79-448d-8903-9c49a96856ac</t>
  </si>
  <si>
    <t>2e788325-9c79-4d56-86b5-07f082bf6ec6</t>
  </si>
  <si>
    <t>2e0da06c-18cc-4cd0-a3f0-1e24a32e2776</t>
  </si>
  <si>
    <t>QA Ungrounding 12/01/2024</t>
  </si>
  <si>
    <t>QA Ungrounding 11/30/2024</t>
  </si>
  <si>
    <t>QA Ungrounding 11/28/2024</t>
  </si>
  <si>
    <t>QA Ungrounding 11/29/2024</t>
  </si>
  <si>
    <t>QA Preventative Maintenance 12/01/2024</t>
  </si>
  <si>
    <t>QA Preventative Maintenance 11/30/2024</t>
  </si>
  <si>
    <t>QA Preventative Maintenance 11/28/2024</t>
  </si>
  <si>
    <t>QA Preventative Maintenance 11/29/2024</t>
  </si>
  <si>
    <t>CF VFC 12/01/2024</t>
  </si>
  <si>
    <t>CF VFC 11/30/2024</t>
  </si>
  <si>
    <t>CF VFC 11/29/2024</t>
  </si>
  <si>
    <t>CF VFC 11/28/2024</t>
  </si>
  <si>
    <t>QA Reimbursement 12/01/2024</t>
  </si>
  <si>
    <t>QA Reimbursement 11/30/2024</t>
  </si>
  <si>
    <t>QA Reimbursement 11/28/2024</t>
  </si>
  <si>
    <t>QA Reimbursement 11/26/2024</t>
  </si>
  <si>
    <t>QA Reimbursement 11/29/2024</t>
  </si>
  <si>
    <t>FIF Audits WK46</t>
  </si>
  <si>
    <t>2dc8f7c4-dc5c-43c7-bc6c-f066d3590f2c</t>
  </si>
  <si>
    <t>e1adfcbe-5afa-47c0-8202-823363b00026</t>
  </si>
  <si>
    <t>8fb9b0db-0c77-455c-8b1f-b10840797045</t>
  </si>
  <si>
    <t>1d991add-cbc6-4658-87f4-47cc44395a58</t>
  </si>
  <si>
    <t>380201ac-f848-408f-bfa1-d1f694363b12</t>
  </si>
  <si>
    <t>4e855c20-b2a2-45e5-8167-8668b5f0b3a9</t>
  </si>
  <si>
    <t>QA Ungrounding 12/02/2024</t>
  </si>
  <si>
    <t>QA Preventative Maintenance 12/02/2024</t>
  </si>
  <si>
    <t>CF VFC 12/02/2024</t>
  </si>
  <si>
    <t>QA Reimbursement 12/02/2024</t>
  </si>
  <si>
    <t>QA ORSA DA Violation (Valids) Audits 12/01/2024</t>
  </si>
  <si>
    <t>QA ORSA Invalids 12/01/2024</t>
  </si>
  <si>
    <t>925322fe-ff0b-4ebb-81ef-91c20f11f9c2</t>
  </si>
  <si>
    <t>68d96231-eb61-4e1f-af9c-3bc1f209ec83</t>
  </si>
  <si>
    <t>a4e104de-f4d0-4dc5-91f7-4ef44d8c8012</t>
  </si>
  <si>
    <t>af548c0c-2c75-4be0-acee-89206a0de308</t>
  </si>
  <si>
    <t>c166381d-6cb3-4fa1-b0f5-9b52ef566259</t>
  </si>
  <si>
    <t>bba0271a-283d-4313-801a-a527a1795452</t>
  </si>
  <si>
    <t>QA Ungrounding 12/03/2024</t>
  </si>
  <si>
    <t>QA Preventative Maintenance 12/03/2024</t>
  </si>
  <si>
    <t>CF VFC 12/03/2024</t>
  </si>
  <si>
    <t>QA Reimbursement 12/03/2024</t>
  </si>
  <si>
    <t>QA ORSA DA Violation (Valids) Audits 12/02/2024</t>
  </si>
  <si>
    <t>QA ORSA Invalids 12/02/2024</t>
  </si>
  <si>
    <t>8cd78ced-d5cf-429c-947a-f34a2d2088c3</t>
  </si>
  <si>
    <t>5c035c65-765e-4a47-a874-cb81bd8169af</t>
  </si>
  <si>
    <t>b79eae3b-ca75-4cc4-b950-1cc5a89e5664</t>
  </si>
  <si>
    <t>cf4b9b39-0458-490a-b1fc-80a5f3a48934</t>
  </si>
  <si>
    <t>6fe4dd70-c7e1-4be1-99f1-774f350c974b</t>
  </si>
  <si>
    <t>fbdee42e-4927-42e7-8eb9-ebaed676c438</t>
  </si>
  <si>
    <t>QA Ungrounding 12/04/2024</t>
  </si>
  <si>
    <t>QA Preventative Maintenance 12/04/2024</t>
  </si>
  <si>
    <t>CF VFC 12/04/2024</t>
  </si>
  <si>
    <t>QA Reimbursement 12/04/2024</t>
  </si>
  <si>
    <t>QA ORSA DA Violation (Valids) Audits 12/03/2024</t>
  </si>
  <si>
    <t>QA ORSA Invalids 12/03/2024</t>
  </si>
  <si>
    <t>979c343b-ee81-4ad5-88e2-af95b05b89f1</t>
  </si>
  <si>
    <t>d4b65d52-bd1f-4190-8dd5-eaa07a75986c</t>
  </si>
  <si>
    <t>b8f88846-c041-4b89-b07c-91e0ab5ee78b</t>
  </si>
  <si>
    <t>9af4e392-2d9f-4a0f-a146-3e8a84d6e0d8</t>
  </si>
  <si>
    <t>7a7e287d-eba7-477e-96c2-f73bc2b69b11</t>
  </si>
  <si>
    <t>e933ae97-e53f-4d19-98bc-b6825415bf29</t>
  </si>
  <si>
    <t>QA Preventative Maintenance 12/05/2024</t>
  </si>
  <si>
    <t>CF VFC 12/05/2024</t>
  </si>
  <si>
    <t>QA ORSA DA Violation (Valids) Audits 12/05/2024</t>
  </si>
  <si>
    <t>QA ORSA DA Violation (Valids) Audits 12/04/2024</t>
  </si>
  <si>
    <t>QA ORSA Invalids 12/05/2024</t>
  </si>
  <si>
    <t>QA ORSA Invalids 12/04/2024</t>
  </si>
  <si>
    <t>e66e4059-bb54-4682-83a0-e07c9028e7e3</t>
  </si>
  <si>
    <t>7197afe8-246c-4a2b-b699-5698911d2e16</t>
  </si>
  <si>
    <t>5f15b630-87bb-45dc-81da-24a70337002f</t>
  </si>
  <si>
    <t>ee776a59-f076-47de-9912-f8017b948ea9</t>
  </si>
  <si>
    <t>d1374828-d04f-4dfa-adb3-77e8748a4f1d</t>
  </si>
  <si>
    <t>355cfcb5-265e-4e97-9775-a2daa2d22671</t>
  </si>
  <si>
    <t>ddf5c046-4494-4e38-b9d2-1bb005658dba</t>
  </si>
  <si>
    <t>a4a2d103-5532-497d-8b42-30ec1e0233ea</t>
  </si>
  <si>
    <t>3bbcef94-3926-4017-a2e8-eb12af9dbc5e</t>
  </si>
  <si>
    <t>9211f662-5962-4f72-ad53-bd1114df24cc</t>
  </si>
  <si>
    <t>016f7596-b635-4beb-ba9f-84683791216e</t>
  </si>
  <si>
    <t>3a8ce6ee-bbfe-46f0-9fc3-acce0a8f3394</t>
  </si>
  <si>
    <t>27f9d676-1c9d-4637-83bc-2bacdef6949a</t>
  </si>
  <si>
    <t>06b5f204-8886-4787-898c-5fd50d9d40ca</t>
  </si>
  <si>
    <t>QA Ungrounding 12/07/2024</t>
  </si>
  <si>
    <t>QA Ungrounding 12/06/2024</t>
  </si>
  <si>
    <t>QA Ungrounding 12/05/2024</t>
  </si>
  <si>
    <t>QA Preventative Maintenance 12/06/2024</t>
  </si>
  <si>
    <t>QA Preventative Maintenance 12/07/2024</t>
  </si>
  <si>
    <t>CF VFC 12/07/2024</t>
  </si>
  <si>
    <t>CF VFC 12/06/2024</t>
  </si>
  <si>
    <t>QA Reimbursement 12/06/2024</t>
  </si>
  <si>
    <t>QA Reimbursement 12/07/2024</t>
  </si>
  <si>
    <t>FIF Audits WK48</t>
  </si>
  <si>
    <t>QA ORSA DA Violation (Valids) Audits 12/07/2024</t>
  </si>
  <si>
    <t>QA ORSA DA Violation (Valids) Audits 12/06/2024</t>
  </si>
  <si>
    <t>QA ORSA Invalids 12/06/2024</t>
  </si>
  <si>
    <t>a3fab323-760c-4ba6-ba3c-a3f8ba65efc7</t>
  </si>
  <si>
    <t>760ec2e3-84fb-4e4a-bd5a-7c16fe68e6d0</t>
  </si>
  <si>
    <t>5038cef1-8697-4641-81ab-a97102820729</t>
  </si>
  <si>
    <t>a516a2e3-c52a-419f-a66b-e68daa2c82bb</t>
  </si>
  <si>
    <t>bfb3fa67-4053-42b4-ba33-0fa3fbc96563</t>
  </si>
  <si>
    <t>7c253c3b-1de5-4e17-a0fc-42113baf3856</t>
  </si>
  <si>
    <t>ae926b86-cfad-4cb9-bb2f-ad3d96488c9b</t>
  </si>
  <si>
    <t>QA Ungrounding 12/08/2024</t>
  </si>
  <si>
    <t>QA Preventative Maintenance 12/08/2024</t>
  </si>
  <si>
    <t>CF VFC 12/08/2024</t>
  </si>
  <si>
    <t>QA Reimbursement 12/08/2024</t>
  </si>
  <si>
    <t>QA ORSA DA Violation (Valids) Audits 12/08/2024</t>
  </si>
  <si>
    <t>QA ORSA Invalids 12/08/2024</t>
  </si>
  <si>
    <t>QA ORSA Invalids 12/07/2024</t>
  </si>
  <si>
    <t>AA Approved with incorrect documentation attached</t>
  </si>
  <si>
    <t>The document provided does not list a date of repair</t>
  </si>
  <si>
    <t>AA Approved with incorrect documentation // with a car image submitted // repair certification form</t>
  </si>
  <si>
    <t>AA failed to complete all the required custom fields on the intake SIM</t>
  </si>
  <si>
    <t>AA Rejected with the right documentation and matching information</t>
  </si>
  <si>
    <t>AA Approved with AMERIT/Repairsmith and Vendor Invoices documentation with a missing or incorrect VIN# or missing current/out of service mileage</t>
  </si>
  <si>
    <t>AA Approved with AMERIT/Repairsmith or Vendor Invoices documentation when the type of service on the documentation doesn't match the defect</t>
  </si>
  <si>
    <t xml:space="preserve"> </t>
  </si>
  <si>
    <t>ORSA_Warnings_Miss</t>
  </si>
  <si>
    <t>ID</t>
  </si>
  <si>
    <t>Next Step Action</t>
  </si>
  <si>
    <t>a7f07430-0e2c-446a-8971-8f0fce83f982</t>
  </si>
  <si>
    <t>3772a64c-4d00-4c8b-9054-e40dc0d72043</t>
  </si>
  <si>
    <t>d19142e6-fb70-4e49-9d38-6310013b9480</t>
  </si>
  <si>
    <t>b43c11d3-01c7-4339-9649-4ac707cb5ae5</t>
  </si>
  <si>
    <t>c3fb503b-bfaa-4b3f-ab8a-305afeb8d931</t>
  </si>
  <si>
    <t>5a429a01-04c1-4793-a6fe-74fe5a51acb7</t>
  </si>
  <si>
    <t>797e3f71-f1e7-4199-8cf4-4bd4fe382eae</t>
  </si>
  <si>
    <t>9e5943cd-6152-410b-a09e-c7140b5f9306</t>
  </si>
  <si>
    <t>04e1ac7d-0e82-4a7b-9140-249fb0fc121d</t>
  </si>
  <si>
    <t>eef46f7b-c420-441d-8a56-5882468ee320</t>
  </si>
  <si>
    <t>4b81aa72-f23c-4004-a526-3bc5c4ba9543</t>
  </si>
  <si>
    <t>89d95749-6b36-4315-8774-fb902a9ab6dd</t>
  </si>
  <si>
    <t>d607ceb4-5501-466b-947b-baf350742088</t>
  </si>
  <si>
    <t>10cb13e3-d6ec-4eff-b11c-2072a40b8cf5</t>
  </si>
  <si>
    <t>eac1f24a-e4be-4b01-8869-67340c349012</t>
  </si>
  <si>
    <t>4e0aeb60-249b-44da-8bbd-427736210a24</t>
  </si>
  <si>
    <t>cdcd7ee3-ce14-4019-8f12-ff8c62234c4a</t>
  </si>
  <si>
    <t>5492f5dd-1937-4f8e-a4b9-6300a807e6c2</t>
  </si>
  <si>
    <t>a5480742-7497-4383-82dd-1e7b20db07f3</t>
  </si>
  <si>
    <t>c33456e5-eeb4-49a0-88ae-a14ce79e4995</t>
  </si>
  <si>
    <t>8ad4ae62-4fa1-4c6a-bb31-feba168dbc99</t>
  </si>
  <si>
    <t>5d41cc05-7902-4c7b-855f-b987ad522389</t>
  </si>
  <si>
    <t>1449fd82-eae6-4e8c-a779-b7da0d925bf1</t>
  </si>
  <si>
    <t>b7043289-3674-43e1-be46-1591f91c8fa2</t>
  </si>
  <si>
    <t>c8693866-6d09-494a-8f0f-c0f8ddb4fa00</t>
  </si>
  <si>
    <t>433f1935-db18-490a-acd5-0d86f9d8b42c</t>
  </si>
  <si>
    <t>d02cca4f-2f1b-473b-bfce-d936ad730b50</t>
  </si>
  <si>
    <t>166a6478-be99-4eed-98fc-5beed0ece8e2</t>
  </si>
  <si>
    <t>b34ab9a5-b098-491b-a780-90831207c5fb</t>
  </si>
  <si>
    <t>20ecb5af-d790-4cfe-b219-5669b3b49d34</t>
  </si>
  <si>
    <t>cd10e052-80cf-4e9f-8f1d-8e29ec1a035b</t>
  </si>
  <si>
    <t>032914bc-1194-4ffa-8647-fe1734382d08</t>
  </si>
  <si>
    <t>59173664-a043-475c-a274-6d2f88c31f95</t>
  </si>
  <si>
    <t>8e6c6062-e8e6-4dd1-9261-f512cfef6383</t>
  </si>
  <si>
    <t>07cece52-ed28-4696-8299-57e51b83ba0d</t>
  </si>
  <si>
    <t>b3115c63-7557-404f-b9ae-75e01486a4be</t>
  </si>
  <si>
    <t>https://issues.amazon.com/issues/V1596367520</t>
  </si>
  <si>
    <t>[WK48 11/26/24] - ORSA -Amazon Owned - SEVERE-FOLLOWING-DISTANCE [ VALID ] - kumannec | anderloz</t>
  </si>
  <si>
    <t>Invalid Violation,Marked Valid by India,ORSA Quality Deep Dive,QA Miss,</t>
  </si>
  <si>
    <t xml:space="preserve">QA Team Miss </t>
  </si>
  <si>
    <t>https://issues.amazon.com/issues/V1596367496</t>
  </si>
  <si>
    <t>[WK48 11/26/24] - ORSA -Rental - SEVERE-FOLLOWING-DISTANCE [ VALID ] - kumannec | anderloz</t>
  </si>
  <si>
    <t>IN Miss,Invalid Violation,Marked Valid by India,ORSA Quality Deep Dive,QA Miss,</t>
  </si>
  <si>
    <t>https://issues.amazon.com/issues/V1596367537</t>
  </si>
  <si>
    <t>[WK48 11/26/24] - ORSA -Amazon Leased - SEVERE-FOLLOWING-DISTANCE [ VALID ] - mukusinb | anderloz</t>
  </si>
  <si>
    <t>https://issues.amazon.com/issues/P172472199</t>
  </si>
  <si>
    <t>[WK47 11/20/24] - ORSA -Amazon Owned - SEVERE-FOLLOWING-DISTANCE [ VALID ] - raichus | anderloz</t>
  </si>
  <si>
    <t>https://issues.amazon.com/issues/P171828045</t>
  </si>
  <si>
    <t>[WK47 11/19/24] - ORSA -Rental - SEVERE-DRIVER-DISTRACTION [ VALID ] - kumannec | palmij</t>
  </si>
  <si>
    <t>IN Miss,Invalid Violation,Marked Valid by India,ORSA Quality Deep Dive,</t>
  </si>
  <si>
    <t>IN Miss</t>
  </si>
  <si>
    <t>70432a63-b60f-49fc-ab4a-c37594cfdbba</t>
  </si>
  <si>
    <t>144f2841-889a-41c7-804b-d71ab4c19011</t>
  </si>
  <si>
    <t>4546349b-c331-4406-bbf1-07c3914c6dd9</t>
  </si>
  <si>
    <t>345a6938-4e5b-4419-991d-f31d982f960d</t>
  </si>
  <si>
    <t>52017d73-c130-42f0-93ea-3341df4a3c94</t>
  </si>
  <si>
    <t>6cfd3125-b908-40c6-98e8-83d2db6fbef6</t>
  </si>
  <si>
    <t>4fbd7448-97a9-4bae-a7b3-d53a8c3c44ed</t>
  </si>
  <si>
    <t>7dc4c301-d09c-4d23-8d09-76324948bbe8</t>
  </si>
  <si>
    <t>a7b7149d-5741-4819-a19e-7f7ec682463b</t>
  </si>
  <si>
    <t>17d8c2d2-6c86-4f51-9477-a1110bf0e0ab</t>
  </si>
  <si>
    <t>cb253a68-acf9-4049-aec9-4c7260fbcd7b</t>
  </si>
  <si>
    <t>f3d5a94f-dee5-422d-bf59-20291505c0c8</t>
  </si>
  <si>
    <t>ddf84a79-f197-45b0-a5ca-482c5a402810</t>
  </si>
  <si>
    <t>9ef67f79-cce7-45c5-acda-e595455cc42b</t>
  </si>
  <si>
    <t>3fe4c525-efd2-41ab-a7db-4a7d10e78a9f</t>
  </si>
  <si>
    <t>e1bed4ff-e630-4071-bd42-cbab3b134b91</t>
  </si>
  <si>
    <t>0a5f17d8-48cf-4829-9250-7e0454ee7983</t>
  </si>
  <si>
    <t>1b4d6fd5-39a2-4df1-ae41-e059eb3c31fe</t>
  </si>
  <si>
    <t>6674f421-3942-4077-8136-b7ef37907f82</t>
  </si>
  <si>
    <t>810eb64e-5788-4512-86ce-be77f3bf3780</t>
  </si>
  <si>
    <t>823ba517-7cd3-4ae5-974e-c2d8b313259e</t>
  </si>
  <si>
    <t>e58fe91b-defd-47dc-999b-f853583706b5</t>
  </si>
  <si>
    <t>8bebc0e4-97e3-4526-9a12-cf08737966d5</t>
  </si>
  <si>
    <t>5b62c445-f31c-4aac-a09f-1864915eed8e</t>
  </si>
  <si>
    <t>e5bd532f-cc7c-48a6-80bf-4e9057d68fbb</t>
  </si>
  <si>
    <t>QA Ungrounding 12/11/2024</t>
  </si>
  <si>
    <t>QA Ungrounding 12/10/2024</t>
  </si>
  <si>
    <t>QA Ungrounding 12/09/2024</t>
  </si>
  <si>
    <t>QA Preventative Maintenance 12/11/2024</t>
  </si>
  <si>
    <t>QA Preventative Maintenance 12/10/2024</t>
  </si>
  <si>
    <t>QA Preventative Maintenance 12/09/2024</t>
  </si>
  <si>
    <t>CF VFC 12/10/2024</t>
  </si>
  <si>
    <t>CF VFC 12/09/2024</t>
  </si>
  <si>
    <t>QA Reimbursement 12/10/2024</t>
  </si>
  <si>
    <t>QA Reimbursement 12/09/2024</t>
  </si>
  <si>
    <t>FIF Audits WK49</t>
  </si>
  <si>
    <t>QA ORSA DA Violation (Valids) Audits 12/11/2024</t>
  </si>
  <si>
    <t>QA ORSA DA Violation (Valids) Audits 12/10/2024</t>
  </si>
  <si>
    <t>QA ORSA DA Violation (Valids) Audits 12/09/2024</t>
  </si>
  <si>
    <t>QA ORSA Invalids 12/11/2024</t>
  </si>
  <si>
    <t>QA ORSA Invalids 12/10/2024</t>
  </si>
  <si>
    <t>QA ORSA Invalids 12/09/2024</t>
  </si>
  <si>
    <t>QA Miss</t>
  </si>
  <si>
    <t>Marked Valid by India</t>
  </si>
  <si>
    <t>ORSA Quality Deep Dive</t>
  </si>
  <si>
    <t>2e1e5034-03e7-4b3a-be9d-c84736a5cd97</t>
  </si>
  <si>
    <t>https://issues.amazon.com/issues/P178371238</t>
  </si>
  <si>
    <t>[ WK50 - 12/9/2024 ] - [ VALID ] - [ WARNING - VALID ] - N/A | kanoah</t>
  </si>
  <si>
    <t>Invalid Violation,ORSA Miss from QA,ORSA Quality Deep Dive,</t>
  </si>
  <si>
    <t>Escalated</t>
  </si>
  <si>
    <t>bae0360b-90ae-4932-b23c-24ddd611a15c</t>
  </si>
  <si>
    <t>https://issues.amazon.com/issues/P178371240</t>
  </si>
  <si>
    <t>b1110a5e-a335-42ea-82b5-3cfb250f1d99</t>
  </si>
  <si>
    <t>https://issues.amazon.com/issues/P177429462</t>
  </si>
  <si>
    <t>[ WK49 - 12/6/2024 ] - [ INVALID ] - [ WARNING - INVALID ] -  | cristsu</t>
  </si>
  <si>
    <t>caffbb99-d235-41ad-ab5a-5fdcf3304f43</t>
  </si>
  <si>
    <t>https://issues.amazon.com/issues/P177429473</t>
  </si>
  <si>
    <t>[ WK49 - 12/6/2024 ] - [ INVALID ] - [ WARNING - INVALID ] -  | kanoah</t>
  </si>
  <si>
    <t>https://issues.amazon.com/issues/P176806816</t>
  </si>
  <si>
    <t>[ WK49 - 12/4/2024 ] - [ SEVERE-FOLLOWING-DISTANCE ] - [ WARNING - VALID ] - mukusinb | panucoip</t>
  </si>
  <si>
    <t>Invalid Violation,ORSA Miss from QA,ORSA Quality Deep Dive,QA Miss,</t>
  </si>
  <si>
    <t>https://issues.amazon.com/issues/P176806815</t>
  </si>
  <si>
    <t>[ WK49 - 12/4/2024 ] - [ SEVERE-DRIVER-DISTRACTION ] - [ WARNING - VALID ] - yadasurz | medjer</t>
  </si>
  <si>
    <t>https://issues.amazon.com/issues/P176439670</t>
  </si>
  <si>
    <t>[ WK49 - 12/3/2024 ] - [ SEVERE-SPEEDING-VIOLATIONS ] - [ WARNING - VALID ] - vachundi | loosledl</t>
  </si>
  <si>
    <t>Invalid Violation,ORSA Miss from QA,ORSA Quality Deep Dive,Escalated,</t>
  </si>
  <si>
    <t>https://issues.amazon.com/issues/V1601478408</t>
  </si>
  <si>
    <t>[ WK49 - 12/2/2024 ] - [ SEVERE-DRIVER-DISTRACTION ] - [ WARNING - VALID ] - yadasurz | palmij</t>
  </si>
  <si>
    <t>97d16a8e-2f69-422f-a165-4a55b3c79561</t>
  </si>
  <si>
    <t>https://issues.amazon.com/issues/P177429487</t>
  </si>
  <si>
    <t>9c96ce36-e445-4432-8ad0-d29029046a1f</t>
  </si>
  <si>
    <t>https://issues.amazon.com/issues/P177429497</t>
  </si>
  <si>
    <t>2bf210fb-3bf3-46c6-9f5b-780d2624b357</t>
  </si>
  <si>
    <t>https://issues.amazon.com/issues/P177429503</t>
  </si>
  <si>
    <t>Invalid Violation,ORSA Miss from QA,ORSA Quality Deep Dive,Edge Cases,Escalated,</t>
  </si>
  <si>
    <t>https://issues.amazon.com/issues/V1596367531</t>
  </si>
  <si>
    <t>[WK48 11/26/24] - ORSA -Amazon Owned - SEVERE-DRIVER-DISTRACTION [ VALID ] - vachundi | anderloz</t>
  </si>
  <si>
    <t>Invalid Violation,Marked Valid by India,ORSA Quality Deep Dive,</t>
  </si>
  <si>
    <t>https://issues.amazon.com/issues/V1596367508</t>
  </si>
  <si>
    <t>[WK48 11/26/24] - ORSA -Amazon Owned - SEVERE-SPEEDING-VIOLATIONS [ VALID ] - vachundi | tmaccar</t>
  </si>
  <si>
    <t>https://issues.amazon.com/issues/V1596367490</t>
  </si>
  <si>
    <t>[WK48 11/26/24] - ORSA -Rental - SEVERE-FOLLOWING-DISTANCE [ VALID ] - mukusinb | anderloz</t>
  </si>
  <si>
    <t>https://issues.amazon.com/issues/P177167384</t>
  </si>
  <si>
    <t>[ WK49 - 12/5/2024 ] - [ SEVERE-DRIVER-DISTRACTION  ] - [ WARNING - INVALID ] - akhinavv | arndtann</t>
  </si>
  <si>
    <t>https://issues.amazon.com/issues/P176806811</t>
  </si>
  <si>
    <t>[ WK49 - 12/4/2024 ] - [ SEVERE-SEATBELT-COMPLIANCE ] - [ WARNING - VALID ] - gajbpran | loosledl</t>
  </si>
  <si>
    <t>https://issues.amazon.com/issues/P177167381</t>
  </si>
  <si>
    <t>[ WK49 - 12/5/2024 ] - [ SEVERE-SPEEDING-VIOLATIONS  ] - [ WARNING - INVALID ] - akhinavv | ofmirand</t>
  </si>
  <si>
    <t>https://issues.amazon.com/issues/P177167382</t>
  </si>
  <si>
    <t>[ WK49 - 12/5/2024 ] - [ SEVERE-SPEEDING-VIOLATIONS  ] - [ WARNING - INVALID ] - bmadhuuu | arndtann</t>
  </si>
  <si>
    <t>https://issues.amazon.com/issues/P177167398</t>
  </si>
  <si>
    <t>[ WK49 - 12/5/2024 ] - [ SEVERE-DRIVER-DISTRACTION  ] - [ WARNING - INVALID ] - bmadhuuu | arndtann</t>
  </si>
  <si>
    <t>https://issues.amazon.com/issues/P178056501</t>
  </si>
  <si>
    <t>[ WK49 - 12/7/2024 ] - [ SEVERE-SPEEDING-VIOLATIONS  ] - [ WARNING - INVALID ] - divyagdk | ynadine</t>
  </si>
  <si>
    <t>IN Miss,Invalid Violation,ORSA Miss from QA,ORSA Quality Deep Dive,</t>
  </si>
  <si>
    <t>Quality Misses Pending</t>
  </si>
  <si>
    <t>https://issues.amazon.com/issues/P178056506</t>
  </si>
  <si>
    <t>[ WK49 - 12/7/2024 ] - [ SEVERE-SEATBELT-COMPLIANCE  ] - [ WARNING - INVALID ] - akhinavv | ynadine</t>
  </si>
  <si>
    <t>b5383e40-ce9b-4823-9de3-ffc4bf4c1dbd</t>
  </si>
  <si>
    <t>https://issues.amazon.com/issues/P178056509</t>
  </si>
  <si>
    <t>[ WK49 - 12/7/2024 ] - [ INVALID ] - [ INTERVENTION - INVALID ] -  | cristsu</t>
  </si>
  <si>
    <t>c0d3d08c-42c6-4ef5-94fa-bc7432e2b7f6</t>
  </si>
  <si>
    <t>https://issues.amazon.com/issues/P178056512</t>
  </si>
  <si>
    <t>099fe3b7-5e80-4acc-8ea6-f1d47a78f309</t>
  </si>
  <si>
    <t>https://issues.amazon.com/issues/P178056518</t>
  </si>
  <si>
    <t>7d92b354-d8f5-4afb-9824-fa216bf4d9c5</t>
  </si>
  <si>
    <t>https://issues.amazon.com/issues/P178056519</t>
  </si>
  <si>
    <t>01ed02c6-51be-453d-ac1a-eba6b24295dc</t>
  </si>
  <si>
    <t>https://issues.amazon.com/issues/P178056522</t>
  </si>
  <si>
    <t>https://issues.amazon.com/issues/P178056319</t>
  </si>
  <si>
    <t>[ WK49 - 12/7/2024 ] - [ SEVERE-SIGN-VIOLATIONS ] - [ WARNING - VALID ] - bhuwanj | qintaje</t>
  </si>
  <si>
    <t>https://issues.amazon.com/issues/P178056326</t>
  </si>
  <si>
    <t>[ WK49 - 12/7/2024 ] - [ SEVERE-DRIVER-DISTRACTION ] - [ WARNING - VALID ] - jankamvi | ynadine</t>
  </si>
  <si>
    <t>6ec8f29d-8291-4b16-acf7-26a84eb1e3fb</t>
  </si>
  <si>
    <t>https://issues.amazon.com/issues/P178053244</t>
  </si>
  <si>
    <t>[ WK50 - 12/8/2024 ] - [ INVALID ] - [ INTERVENTION - INVALID ] -  | kanoah</t>
  </si>
  <si>
    <t>757f7b26-f24a-41b7-b254-d6770e7131ba</t>
  </si>
  <si>
    <t>https://issues.amazon.com/issues/P178053240</t>
  </si>
  <si>
    <t>[ WK50 - 12/8/2024 ] - [ INVALID ] - [ INTERVENTION - INVALID ] -  | cristsu</t>
  </si>
  <si>
    <t>96e08e99-6f3d-48a2-aa87-92d180f96792</t>
  </si>
  <si>
    <t>https://issues.amazon.com/issues/P178053238</t>
  </si>
  <si>
    <t>4e0a8c6d-2b02-4df0-86c7-3b5af06063a4</t>
  </si>
  <si>
    <t>https://issues.amazon.com/issues/P178053232</t>
  </si>
  <si>
    <t>7a93ddcd-6a99-477e-b448-90ac258a0b4e</t>
  </si>
  <si>
    <t>https://issues.amazon.com/issues/P178053226</t>
  </si>
  <si>
    <t>https://issues.amazon.com/issues/P178053804</t>
  </si>
  <si>
    <t>[ WK50 - 12/8/2024 ] - [ SEVERE-TRAFFIC-LIGHT-VIOLATION  ] - [ WARNING - INVALID ] - yadasurz | ynadine</t>
  </si>
  <si>
    <t>https://issues.amazon.com/issues/P171173851</t>
  </si>
  <si>
    <t>[WK47 11/17/24] - ORSA -us - SEVERE-DRIVER-DISTRACTION [ INVALID ] - bhuwanj | palmij</t>
  </si>
  <si>
    <t>Invalid Violation,ORSA Miss from QA,ORSA Quality Deep Dive,IN Miss,</t>
  </si>
  <si>
    <t>https://issues.amazon.com/issues/P177167321</t>
  </si>
  <si>
    <t>[ WK49 - 12/5/2024 ] - [ SEVERE-SPEEDING-VIOLATIONS ] - [ WARNING - VALID ] - bhuwanj | arndtann</t>
  </si>
  <si>
    <t>f524fd43-df98-41c6-87e4-52ce388e91bf</t>
  </si>
  <si>
    <t>https://issues.amazon.com/issues/P177429505</t>
  </si>
  <si>
    <t>https://issues.amazon.com/issues/P177167401</t>
  </si>
  <si>
    <t>[ WK49 - 12/5/2024 ] - [ SEVERE-SEATBELT-COMPLIANCE  ] - [ WARNING - INVALID ] - kumannec | ofmirand</t>
  </si>
  <si>
    <t>https://issues.amazon.com/issues/P177167390</t>
  </si>
  <si>
    <t>[ WK49 - 12/5/2024 ] - [ SEVERE-DRIVER-DISTRACTION  ] - [ WARNING - INVALID ] - akhinavv | ckmichae</t>
  </si>
  <si>
    <t>https://issues.amazon.com/issues/V1596367513</t>
  </si>
  <si>
    <t>[WK48 11/26/24] - ORSA -Amazon Owned - SEVERE-FOLLOWING-DISTANCE [ VALID ] - mukusinb | anderloz</t>
  </si>
  <si>
    <t>28fffa56-771c-45d8-8c91-62175135cbdd</t>
  </si>
  <si>
    <t>https://issues.amazon.com/issues/P177429478</t>
  </si>
  <si>
    <t>79c5f192-8890-48ea-9b78-7b112447cfcb</t>
  </si>
  <si>
    <t>https://issues.amazon.com/issues/P177429476</t>
  </si>
  <si>
    <t>095048f0-fa98-4c55-b8fd-d70204f6e1c2</t>
  </si>
  <si>
    <t>https://issues.amazon.com/issues/P177429467</t>
  </si>
  <si>
    <t>98520813-a087-452d-a925-80c026b55691</t>
  </si>
  <si>
    <t>https://issues.amazon.com/issues/P177429465</t>
  </si>
  <si>
    <t>https://issues.amazon.com/issues/P177167392</t>
  </si>
  <si>
    <t>[ WK49 - 12/5/2024 ] - [ SEVERE-DRIVER-DISTRACTION  ] - [ WARNING - INVALID ] - kumannec | ckmichae</t>
  </si>
  <si>
    <t>https://issues.amazon.com/issues/P177167388</t>
  </si>
  <si>
    <t>[ WK49 - 12/5/2024 ] - [ SEVERE-SPEEDING-VIOLATIONS  ] - [ WARNING - INVALID ] - bdhinak | arndtann</t>
  </si>
  <si>
    <t>https://issues.amazon.com/issues/P177167376</t>
  </si>
  <si>
    <t>[ WK49 - 12/5/2024 ] - [ SEVERE-SPEEDING-VIOLATIONS  ] - [ WARNING - INVALID ] - bhuwanj | arndtann</t>
  </si>
  <si>
    <t>https://issues.amazon.com/issues/P177167341</t>
  </si>
  <si>
    <t>[ WK49 - 12/5/2024 ] - [ SEVERE-SEATBELT-COMPLIANCE ] - [ WARNING - VALID ] - kumannec | ofmirand</t>
  </si>
  <si>
    <t>https://issues.amazon.com/issues/P177167339</t>
  </si>
  <si>
    <t>[ WK49 - 12/5/2024 ] - [ SEVERE-DRIVER-DISTRACTION ] - [ WARNING - VALID ] - bmadhuuu | arndtann</t>
  </si>
  <si>
    <t>https://issues.amazon.com/issues/P177167334</t>
  </si>
  <si>
    <t>[ WK49 - 12/5/2024 ] - [ SEVERE-DRIVER-DISTRACTION ] - [ WARNING - VALID ] - kumannec | ckmichae</t>
  </si>
  <si>
    <t>https://issues.amazon.com/issues/P177167333</t>
  </si>
  <si>
    <t>[ WK49 - 12/5/2024 ] - [ SEVERE-DRIVER-DISTRACTION ] - [ WARNING - VALID ] - akhinavv | ckmichae</t>
  </si>
  <si>
    <t>https://issues.amazon.com/issues/P177167331</t>
  </si>
  <si>
    <t>[ WK49 - 12/5/2024 ] - [ SEVERE-SPEEDING-VIOLATIONS ] - [ WARNING - VALID ] - bdhinak | arndtann</t>
  </si>
  <si>
    <t>https://issues.amazon.com/issues/P177167329</t>
  </si>
  <si>
    <t>[ WK49 - 12/5/2024 ] - [ SEVERE-DRIVER-DISTRACTION ] - [ WARNING - VALID ] - akhinavv | arndtann</t>
  </si>
  <si>
    <t>https://issues.amazon.com/issues/P177167327</t>
  </si>
  <si>
    <t>[ WK49 - 12/5/2024 ] - [ SEVERE-SPEEDING-VIOLATIONS ] - [ WARNING - VALID ] - bmadhuuu | arndtann</t>
  </si>
  <si>
    <t>https://issues.amazon.com/issues/P177167324</t>
  </si>
  <si>
    <t>[ WK49 - 12/5/2024 ] - [ SEVERE-SPEEDING-VIOLATIONS ] - [ WARNING - VALID ] - akhinavv | ofmirand</t>
  </si>
  <si>
    <t>https://issues.amazon.com/issues/P170859884</t>
  </si>
  <si>
    <t>[WK46 11/16/24] - ORSA -us - SEVERE-SPEEDING-VIOLATIONS [ INVALID ] - bmadhuuu | loosledl</t>
  </si>
  <si>
    <t>Invalid Violation,ORSA Miss from QA,ORSA Quality Deep Dive,LMAQ,</t>
  </si>
  <si>
    <t>https://issues.amazon.com/issues/P170429241</t>
  </si>
  <si>
    <t>[WK46 11/14/24] - ORSA -us - SEVERE-FOLLOWING-DISTANCE [ VALID ] - mukusinb | anderloz</t>
  </si>
  <si>
    <t>https://issues.amazon.com/issues/P170624940</t>
  </si>
  <si>
    <t>[WK46 11/15/24] - ORSA -us - SEVERE-SPEEDING-VIOLATIONS [ VALID ] - bdhinak | tmaccar</t>
  </si>
  <si>
    <t>https://issues.amazon.com/issues/P173444201</t>
  </si>
  <si>
    <t>[WK48 11/24/24] - ORSA -Amazon Leased - SEVERE-DRIVER-DISTRACTION [ VALID ] - vachundi | qlebrady</t>
  </si>
  <si>
    <t>https://issues.amazon.com/issues/P173789177</t>
  </si>
  <si>
    <t>[WK48 11/25/24] - ORSA -Amazon Leased - SEVERE-DRIVER-DISTRACTION [ VALID ] - divyagdk | palmij</t>
  </si>
  <si>
    <t>https://issues.amazon.com/issues/P170429239</t>
  </si>
  <si>
    <t>[WK46 11/14/24] - ORSA -us - SEVERE-SEATBELT-COMPLIANCE [ VALID ] - gajbpran | medjer</t>
  </si>
  <si>
    <t>https://issues.amazon.com/issues/P170429236</t>
  </si>
  <si>
    <t>[WK46 11/14/24] - ORSA -us - SEVERE-SPEEDING-VIOLATIONS [ VALID ] - kumannec | medjer</t>
  </si>
  <si>
    <t>https://issues.amazon.com/issues/P170429237</t>
  </si>
  <si>
    <t>[WK46 11/14/24] - ORSA -us - SEVERE-SPEEDING-VIOLATIONS [ VALID ] - kumannec | anderloz</t>
  </si>
  <si>
    <t>749e13f1-4489-4e9f-b867-914f505e5ccb</t>
  </si>
  <si>
    <t>1052fe82-4a04-422f-8185-a2e189cd4137</t>
  </si>
  <si>
    <t>2138bb64-1020-4b69-bfa0-2728ea922797</t>
  </si>
  <si>
    <t>f45dcac6-b438-4eec-abdf-09e0fa47fb99</t>
  </si>
  <si>
    <t>ORSA Miss from QA</t>
  </si>
  <si>
    <t>Edge Cases</t>
  </si>
  <si>
    <t>LMAQ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</si>
</sst>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;@"/>
    <numFmt numFmtId="165" formatCode="0_);[Red]\(0\)"/>
    <numFmt numFmtId="166" formatCode="mm/dd/yyyy;@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8"/>
      <color rgb="FF000000"/>
      <name val="Calibri"/>
      <family val="2"/>
    </font>
    <font>
      <b/>
      <sz val="8"/>
      <color rgb="FFFFFFFF"/>
      <name val="Calibri"/>
      <family val="2"/>
    </font>
    <font>
      <sz val="8"/>
      <color rgb="FF000000"/>
      <name val="Calibri"/>
      <family val="2"/>
    </font>
    <font>
      <sz val="8"/>
      <color rgb="FFFF0000"/>
      <name val="Calibri"/>
      <family val="2"/>
    </font>
    <font>
      <u/>
      <sz val="8"/>
      <color rgb="FF0563C1"/>
      <name val="Calibri"/>
      <family val="2"/>
    </font>
    <font>
      <i/>
      <sz val="8"/>
      <color theme="1"/>
      <name val="Calibri"/>
      <family val="2"/>
    </font>
    <font>
      <b/>
      <sz val="11"/>
      <color rgb="FFFFFFFF"/>
      <name val="Calibri"/>
      <family val="2"/>
    </font>
    <font>
      <sz val="8"/>
      <color rgb="FFFFFFFF"/>
      <name val="Calibri"/>
      <family val="2"/>
    </font>
    <font>
      <b/>
      <sz val="20"/>
      <color rgb="FFFFFFFF"/>
      <name val="Calibri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b/>
      <sz val="10"/>
      <color theme="0"/>
      <name val="Calibri"/>
      <family val="2"/>
    </font>
    <font>
      <sz val="10"/>
      <color rgb="FF0563C1"/>
      <name val="Calibri"/>
      <family val="2"/>
    </font>
    <font>
      <sz val="10"/>
      <name val="Calibri"/>
      <family val="2"/>
      <scheme val="minor"/>
    </font>
    <font>
      <sz val="10"/>
      <name val="Calibri"/>
      <family val="2"/>
    </font>
    <font>
      <strike/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</font>
    <font>
      <b/>
      <sz val="12"/>
      <color theme="0"/>
      <name val="Calibri"/>
      <family val="2"/>
    </font>
    <font>
      <b/>
      <sz val="10"/>
      <name val="Calibri"/>
      <family val="2"/>
    </font>
    <font>
      <b/>
      <sz val="12"/>
      <name val="Calibri"/>
      <family val="2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rgb="FF1453A0"/>
        <bgColor indexed="64"/>
      </patternFill>
    </fill>
    <fill>
      <patternFill patternType="solid">
        <fgColor rgb="FFF2F3D9"/>
        <bgColor indexed="64"/>
      </patternFill>
    </fill>
    <fill>
      <patternFill patternType="solid">
        <fgColor rgb="FFF2BB0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indexed="64"/>
      </bottom>
      <diagonal/>
    </border>
    <border>
      <left style="medium">
        <color theme="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3">
    <xf numFmtId="0" fontId="0" fillId="0" borderId="0" xfId="0"/>
    <xf numFmtId="0" fontId="20" fillId="0" borderId="0" xfId="0" applyFont="1"/>
    <xf numFmtId="0" fontId="20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Alignment="1">
      <alignment vertical="top"/>
    </xf>
    <xf numFmtId="14" fontId="23" fillId="0" borderId="0" xfId="0" applyNumberFormat="1" applyFont="1" applyAlignment="1">
      <alignment vertical="top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 wrapText="1"/>
    </xf>
    <xf numFmtId="1" fontId="26" fillId="0" borderId="0" xfId="0" applyNumberFormat="1" applyFont="1" applyAlignment="1">
      <alignment vertical="center" wrapText="1"/>
    </xf>
    <xf numFmtId="1" fontId="27" fillId="0" borderId="0" xfId="0" applyNumberFormat="1" applyFont="1" applyAlignment="1">
      <alignment vertical="center" wrapText="1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1" fontId="26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top"/>
    </xf>
    <xf numFmtId="0" fontId="21" fillId="0" borderId="0" xfId="0" applyFont="1"/>
    <xf numFmtId="0" fontId="29" fillId="0" borderId="0" xfId="0" applyFont="1" applyAlignment="1">
      <alignment vertical="center"/>
    </xf>
    <xf numFmtId="0" fontId="20" fillId="0" borderId="0" xfId="0" applyFont="1" applyAlignment="1">
      <alignment horizontal="right"/>
    </xf>
    <xf numFmtId="0" fontId="20" fillId="0" borderId="0" xfId="0" applyFont="1" applyAlignment="1">
      <alignment horizontal="left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1" fontId="34" fillId="0" borderId="15" xfId="0" applyNumberFormat="1" applyFont="1" applyBorder="1" applyAlignment="1">
      <alignment horizontal="center" vertical="center"/>
    </xf>
    <xf numFmtId="1" fontId="34" fillId="35" borderId="21" xfId="0" applyNumberFormat="1" applyFont="1" applyFill="1" applyBorder="1" applyAlignment="1">
      <alignment horizontal="center" vertical="center" wrapText="1"/>
    </xf>
    <xf numFmtId="1" fontId="34" fillId="35" borderId="26" xfId="0" applyNumberFormat="1" applyFont="1" applyFill="1" applyBorder="1" applyAlignment="1">
      <alignment horizontal="center" vertical="center" wrapText="1"/>
    </xf>
    <xf numFmtId="1" fontId="34" fillId="0" borderId="18" xfId="0" applyNumberFormat="1" applyFont="1" applyBorder="1" applyAlignment="1">
      <alignment horizontal="center" vertical="center"/>
    </xf>
    <xf numFmtId="1" fontId="34" fillId="35" borderId="18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39" fillId="0" borderId="0" xfId="0" applyFont="1"/>
    <xf numFmtId="0" fontId="22" fillId="33" borderId="11" xfId="0" applyFont="1" applyFill="1" applyBorder="1" applyAlignment="1">
      <alignment horizontal="left"/>
    </xf>
    <xf numFmtId="0" fontId="22" fillId="33" borderId="12" xfId="0" applyFont="1" applyFill="1" applyBorder="1" applyAlignment="1">
      <alignment horizontal="left"/>
    </xf>
    <xf numFmtId="0" fontId="19" fillId="36" borderId="12" xfId="0" applyFont="1" applyFill="1" applyBorder="1" applyAlignment="1">
      <alignment horizontal="left"/>
    </xf>
    <xf numFmtId="0" fontId="19" fillId="34" borderId="12" xfId="0" applyFont="1" applyFill="1" applyBorder="1" applyAlignment="1">
      <alignment horizontal="left"/>
    </xf>
    <xf numFmtId="0" fontId="19" fillId="34" borderId="19" xfId="0" applyFont="1" applyFill="1" applyBorder="1" applyAlignment="1">
      <alignment horizontal="left"/>
    </xf>
    <xf numFmtId="0" fontId="20" fillId="38" borderId="13" xfId="0" applyNumberFormat="1" applyFont="1" applyFill="1" applyBorder="1" applyAlignment="1">
      <alignment horizontal="center"/>
    </xf>
    <xf numFmtId="0" fontId="20" fillId="38" borderId="27" xfId="0" applyNumberFormat="1" applyFont="1" applyFill="1" applyBorder="1" applyAlignment="1">
      <alignment horizontal="center"/>
    </xf>
    <xf numFmtId="0" fontId="19" fillId="37" borderId="24" xfId="0" applyFont="1" applyFill="1" applyBorder="1" applyAlignment="1">
      <alignment horizontal="center" vertical="center"/>
    </xf>
    <xf numFmtId="0" fontId="19" fillId="36" borderId="28" xfId="0" applyFont="1" applyFill="1" applyBorder="1" applyAlignment="1">
      <alignment horizontal="center" vertical="center"/>
    </xf>
    <xf numFmtId="0" fontId="18" fillId="38" borderId="24" xfId="0" applyFont="1" applyFill="1" applyBorder="1" applyAlignment="1">
      <alignment horizontal="center" vertical="center"/>
    </xf>
    <xf numFmtId="0" fontId="18" fillId="38" borderId="29" xfId="0" applyFont="1" applyFill="1" applyBorder="1" applyAlignment="1">
      <alignment horizontal="center" vertical="center"/>
    </xf>
    <xf numFmtId="0" fontId="19" fillId="36" borderId="14" xfId="0" applyFont="1" applyFill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11" fontId="0" fillId="0" borderId="31" xfId="0" applyNumberFormat="1" applyBorder="1"/>
    <xf numFmtId="0" fontId="0" fillId="0" borderId="33" xfId="0" applyBorder="1"/>
    <xf numFmtId="0" fontId="0" fillId="0" borderId="27" xfId="0" applyBorder="1"/>
    <xf numFmtId="0" fontId="40" fillId="40" borderId="11" xfId="0" applyFont="1" applyFill="1" applyBorder="1"/>
    <xf numFmtId="0" fontId="40" fillId="40" borderId="19" xfId="0" applyFont="1" applyFill="1" applyBorder="1"/>
    <xf numFmtId="11" fontId="0" fillId="0" borderId="33" xfId="0" applyNumberFormat="1" applyBorder="1"/>
    <xf numFmtId="0" fontId="20" fillId="38" borderId="34" xfId="0" applyNumberFormat="1" applyFont="1" applyFill="1" applyBorder="1" applyAlignment="1">
      <alignment horizontal="center"/>
    </xf>
    <xf numFmtId="0" fontId="20" fillId="38" borderId="32" xfId="0" applyNumberFormat="1" applyFont="1" applyFill="1" applyBorder="1" applyAlignment="1">
      <alignment horizontal="center"/>
    </xf>
    <xf numFmtId="0" fontId="20" fillId="38" borderId="36" xfId="0" applyNumberFormat="1" applyFont="1" applyFill="1" applyBorder="1" applyAlignment="1">
      <alignment horizontal="center"/>
    </xf>
    <xf numFmtId="0" fontId="20" fillId="38" borderId="35" xfId="0" applyNumberFormat="1" applyFont="1" applyFill="1" applyBorder="1" applyAlignment="1">
      <alignment horizontal="center"/>
    </xf>
    <xf numFmtId="0" fontId="0" fillId="0" borderId="37" xfId="0" applyBorder="1"/>
    <xf numFmtId="1" fontId="34" fillId="0" borderId="23" xfId="0" applyNumberFormat="1" applyFont="1" applyBorder="1" applyAlignment="1">
      <alignment horizontal="center" vertical="center"/>
    </xf>
    <xf numFmtId="1" fontId="34" fillId="0" borderId="38" xfId="0" applyNumberFormat="1" applyFont="1" applyBorder="1" applyAlignment="1">
      <alignment horizontal="center" vertical="center"/>
    </xf>
    <xf numFmtId="1" fontId="34" fillId="35" borderId="24" xfId="0" applyNumberFormat="1" applyFont="1" applyFill="1" applyBorder="1" applyAlignment="1">
      <alignment horizontal="center" vertical="center" wrapText="1"/>
    </xf>
    <xf numFmtId="1" fontId="34" fillId="35" borderId="14" xfId="0" applyNumberFormat="1" applyFont="1" applyFill="1" applyBorder="1" applyAlignment="1">
      <alignment horizontal="center" vertical="center" wrapText="1"/>
    </xf>
    <xf numFmtId="0" fontId="18" fillId="38" borderId="39" xfId="0" applyFont="1" applyFill="1" applyBorder="1" applyAlignment="1">
      <alignment horizontal="center" vertical="center"/>
    </xf>
    <xf numFmtId="0" fontId="20" fillId="0" borderId="23" xfId="0" applyFont="1" applyBorder="1"/>
    <xf numFmtId="0" fontId="20" fillId="0" borderId="41" xfId="0" applyFont="1" applyBorder="1"/>
    <xf numFmtId="0" fontId="20" fillId="0" borderId="43" xfId="0" applyFont="1" applyBorder="1"/>
    <xf numFmtId="0" fontId="20" fillId="0" borderId="42" xfId="0" applyFont="1" applyBorder="1"/>
    <xf numFmtId="0" fontId="20" fillId="0" borderId="45" xfId="0" applyFont="1" applyBorder="1"/>
    <xf numFmtId="0" fontId="34" fillId="0" borderId="48" xfId="0" applyFont="1" applyBorder="1" applyAlignment="1">
      <alignment horizontal="center" vertical="center"/>
    </xf>
    <xf numFmtId="14" fontId="34" fillId="0" borderId="48" xfId="0" applyNumberFormat="1" applyFont="1" applyBorder="1" applyAlignment="1">
      <alignment horizontal="center" vertical="center"/>
    </xf>
    <xf numFmtId="0" fontId="34" fillId="35" borderId="47" xfId="0" applyFont="1" applyFill="1" applyBorder="1" applyAlignment="1">
      <alignment horizontal="center" vertical="center"/>
    </xf>
    <xf numFmtId="14" fontId="34" fillId="0" borderId="47" xfId="0" applyNumberFormat="1" applyFont="1" applyBorder="1" applyAlignment="1">
      <alignment horizontal="center" vertical="center"/>
    </xf>
    <xf numFmtId="0" fontId="20" fillId="0" borderId="46" xfId="0" applyFont="1" applyBorder="1"/>
    <xf numFmtId="1" fontId="34" fillId="0" borderId="22" xfId="0" applyNumberFormat="1" applyFont="1" applyBorder="1" applyAlignment="1">
      <alignment horizontal="center" vertical="center"/>
    </xf>
    <xf numFmtId="0" fontId="0" fillId="41" borderId="37" xfId="0" applyFill="1" applyBorder="1"/>
    <xf numFmtId="0" fontId="0" fillId="42" borderId="37" xfId="0" applyFont="1" applyFill="1" applyBorder="1"/>
    <xf numFmtId="0" fontId="0" fillId="41" borderId="37" xfId="0" applyFont="1" applyFill="1" applyBorder="1"/>
    <xf numFmtId="14" fontId="20" fillId="38" borderId="13" xfId="0" applyNumberFormat="1" applyFont="1" applyFill="1" applyBorder="1" applyAlignment="1">
      <alignment horizontal="center"/>
    </xf>
    <xf numFmtId="164" fontId="20" fillId="39" borderId="26" xfId="0" applyNumberFormat="1" applyFont="1" applyFill="1" applyBorder="1" applyAlignment="1">
      <alignment horizontal="center" vertical="center"/>
    </xf>
    <xf numFmtId="164" fontId="18" fillId="38" borderId="14" xfId="0" applyNumberFormat="1" applyFont="1" applyFill="1" applyBorder="1" applyAlignment="1">
      <alignment horizontal="center" vertical="center"/>
    </xf>
    <xf numFmtId="164" fontId="18" fillId="38" borderId="30" xfId="0" applyNumberFormat="1" applyFont="1" applyFill="1" applyBorder="1" applyAlignment="1">
      <alignment horizontal="center" vertical="center"/>
    </xf>
    <xf numFmtId="164" fontId="18" fillId="38" borderId="39" xfId="0" applyNumberFormat="1" applyFont="1" applyFill="1" applyBorder="1" applyAlignment="1">
      <alignment horizontal="center" vertical="center"/>
    </xf>
    <xf numFmtId="165" fontId="34" fillId="0" borderId="48" xfId="0" applyNumberFormat="1" applyFont="1" applyBorder="1" applyAlignment="1">
      <alignment horizontal="center" vertical="center"/>
    </xf>
    <xf numFmtId="1" fontId="34" fillId="35" borderId="22" xfId="0" applyNumberFormat="1" applyFont="1" applyFill="1" applyBorder="1" applyAlignment="1">
      <alignment horizontal="center" vertical="center"/>
    </xf>
    <xf numFmtId="1" fontId="34" fillId="0" borderId="49" xfId="0" applyNumberFormat="1" applyFont="1" applyBorder="1" applyAlignment="1">
      <alignment horizontal="center" vertical="center"/>
    </xf>
    <xf numFmtId="0" fontId="36" fillId="0" borderId="50" xfId="0" applyFont="1" applyBorder="1" applyAlignment="1">
      <alignment vertical="top"/>
    </xf>
    <xf numFmtId="164" fontId="19" fillId="36" borderId="12" xfId="0" applyNumberFormat="1" applyFont="1" applyFill="1" applyBorder="1" applyAlignment="1">
      <alignment horizontal="left"/>
    </xf>
    <xf numFmtId="164" fontId="20" fillId="38" borderId="13" xfId="0" applyNumberFormat="1" applyFont="1" applyFill="1" applyBorder="1" applyAlignment="1">
      <alignment horizontal="center"/>
    </xf>
    <xf numFmtId="164" fontId="0" fillId="0" borderId="0" xfId="0" applyNumberFormat="1"/>
    <xf numFmtId="14" fontId="19" fillId="36" borderId="12" xfId="0" applyNumberFormat="1" applyFont="1" applyFill="1" applyBorder="1" applyAlignment="1">
      <alignment horizontal="left"/>
    </xf>
    <xf numFmtId="166" fontId="19" fillId="36" borderId="12" xfId="0" applyNumberFormat="1" applyFont="1" applyFill="1" applyBorder="1" applyAlignment="1">
      <alignment horizontal="left"/>
    </xf>
    <xf numFmtId="166" fontId="20" fillId="38" borderId="13" xfId="0" applyNumberFormat="1" applyFont="1" applyFill="1" applyBorder="1" applyAlignment="1">
      <alignment horizontal="center"/>
    </xf>
    <xf numFmtId="166" fontId="0" fillId="0" borderId="0" xfId="0" applyNumberFormat="1"/>
    <xf numFmtId="166" fontId="20" fillId="38" borderId="34" xfId="0" applyNumberFormat="1" applyFont="1" applyFill="1" applyBorder="1" applyAlignment="1">
      <alignment horizontal="center"/>
    </xf>
    <xf numFmtId="164" fontId="20" fillId="38" borderId="36" xfId="0" applyNumberFormat="1" applyFont="1" applyFill="1" applyBorder="1" applyAlignment="1">
      <alignment horizontal="center"/>
    </xf>
    <xf numFmtId="0" fontId="20" fillId="0" borderId="0" xfId="0" applyFont="1" applyBorder="1"/>
    <xf numFmtId="1" fontId="27" fillId="0" borderId="0" xfId="0" applyNumberFormat="1" applyFont="1" applyFill="1" applyAlignment="1">
      <alignment vertical="center" wrapText="1"/>
    </xf>
    <xf numFmtId="0" fontId="20" fillId="0" borderId="0" xfId="0" applyFont="1" applyFill="1"/>
    <xf numFmtId="0" fontId="18" fillId="38" borderId="51" xfId="0" applyFont="1" applyFill="1" applyBorder="1" applyAlignment="1">
      <alignment horizontal="center" vertical="center"/>
    </xf>
    <xf numFmtId="0" fontId="25" fillId="43" borderId="44" xfId="0" applyFont="1" applyFill="1" applyBorder="1" applyAlignment="1">
      <alignment wrapText="1"/>
    </xf>
    <xf numFmtId="0" fontId="25" fillId="0" borderId="0" xfId="0" applyFont="1" applyFill="1" applyAlignment="1">
      <alignment vertical="center"/>
    </xf>
    <xf numFmtId="14" fontId="34" fillId="0" borderId="22" xfId="0" applyNumberFormat="1" applyFont="1" applyBorder="1" applyAlignment="1">
      <alignment horizontal="center" vertical="center"/>
    </xf>
    <xf numFmtId="0" fontId="20" fillId="46" borderId="29" xfId="0" applyFont="1" applyFill="1" applyBorder="1" applyAlignment="1">
      <alignment horizontal="center" vertical="center"/>
    </xf>
    <xf numFmtId="164" fontId="20" fillId="46" borderId="30" xfId="0" applyNumberFormat="1" applyFont="1" applyFill="1" applyBorder="1" applyAlignment="1">
      <alignment horizontal="center" vertical="center"/>
    </xf>
    <xf numFmtId="0" fontId="18" fillId="46" borderId="29" xfId="0" applyFont="1" applyFill="1" applyBorder="1" applyAlignment="1">
      <alignment horizontal="center" vertical="center"/>
    </xf>
    <xf numFmtId="164" fontId="18" fillId="46" borderId="30" xfId="0" applyNumberFormat="1" applyFont="1" applyFill="1" applyBorder="1" applyAlignment="1">
      <alignment horizontal="center" vertical="center"/>
    </xf>
    <xf numFmtId="0" fontId="20" fillId="46" borderId="25" xfId="0" applyFont="1" applyFill="1" applyBorder="1" applyAlignment="1">
      <alignment horizontal="center" vertical="center"/>
    </xf>
    <xf numFmtId="164" fontId="20" fillId="46" borderId="40" xfId="0" applyNumberFormat="1" applyFont="1" applyFill="1" applyBorder="1" applyAlignment="1">
      <alignment horizontal="center" vertical="center"/>
    </xf>
    <xf numFmtId="0" fontId="20" fillId="46" borderId="53" xfId="0" applyFont="1" applyFill="1" applyBorder="1" applyAlignment="1">
      <alignment horizontal="center" vertical="center"/>
    </xf>
    <xf numFmtId="164" fontId="20" fillId="46" borderId="53" xfId="0" applyNumberFormat="1" applyFont="1" applyFill="1" applyBorder="1" applyAlignment="1">
      <alignment horizontal="center" vertical="center"/>
    </xf>
    <xf numFmtId="0" fontId="17" fillId="47" borderId="0" xfId="0" applyFont="1" applyFill="1" applyAlignment="1">
      <alignment horizontal="center"/>
    </xf>
    <xf numFmtId="1" fontId="34" fillId="0" borderId="23" xfId="0" applyNumberFormat="1" applyFont="1" applyBorder="1" applyAlignment="1">
      <alignment horizontal="center" vertical="center"/>
    </xf>
    <xf numFmtId="1" fontId="34" fillId="0" borderId="23" xfId="0" applyNumberFormat="1" applyFont="1" applyBorder="1" applyAlignment="1">
      <alignment horizontal="center" vertical="center"/>
    </xf>
    <xf numFmtId="0" fontId="20" fillId="46" borderId="51" xfId="0" applyFont="1" applyFill="1" applyBorder="1" applyAlignment="1">
      <alignment horizontal="center" vertical="center"/>
    </xf>
    <xf numFmtId="164" fontId="20" fillId="46" borderId="39" xfId="0" applyNumberFormat="1" applyFont="1" applyFill="1" applyBorder="1" applyAlignment="1">
      <alignment horizontal="center" vertical="center"/>
    </xf>
    <xf numFmtId="0" fontId="17" fillId="47" borderId="0" xfId="0" applyFont="1" applyFill="1" applyAlignment="1">
      <alignment horizontal="center"/>
    </xf>
    <xf numFmtId="0" fontId="0" fillId="0" borderId="0" xfId="0" applyAlignment="1">
      <alignment wrapText="1"/>
    </xf>
    <xf numFmtId="0" fontId="33" fillId="43" borderId="24" xfId="0" applyFont="1" applyFill="1" applyBorder="1" applyAlignment="1">
      <alignment horizontal="center" vertical="center" wrapText="1"/>
    </xf>
    <xf numFmtId="0" fontId="33" fillId="43" borderId="10" xfId="0" applyFont="1" applyFill="1" applyBorder="1" applyAlignment="1">
      <alignment horizontal="center" vertical="center" wrapText="1"/>
    </xf>
    <xf numFmtId="0" fontId="33" fillId="43" borderId="20" xfId="0" applyFont="1" applyFill="1" applyBorder="1" applyAlignment="1">
      <alignment horizontal="center" vertical="center" wrapText="1"/>
    </xf>
    <xf numFmtId="0" fontId="33" fillId="43" borderId="15" xfId="0" applyFont="1" applyFill="1" applyBorder="1" applyAlignment="1">
      <alignment horizontal="center" vertical="center" wrapText="1"/>
    </xf>
    <xf numFmtId="0" fontId="34" fillId="44" borderId="21" xfId="0" applyFont="1" applyFill="1" applyBorder="1" applyAlignment="1">
      <alignment horizontal="center" vertical="center" wrapText="1"/>
    </xf>
    <xf numFmtId="0" fontId="34" fillId="44" borderId="23" xfId="0" applyFont="1" applyFill="1" applyBorder="1" applyAlignment="1">
      <alignment horizontal="center" vertical="center" wrapText="1"/>
    </xf>
    <xf numFmtId="0" fontId="25" fillId="41" borderId="21" xfId="0" applyFont="1" applyFill="1" applyBorder="1" applyAlignment="1">
      <alignment horizontal="center" vertical="center"/>
    </xf>
    <xf numFmtId="0" fontId="25" fillId="41" borderId="22" xfId="0" applyFont="1" applyFill="1" applyBorder="1" applyAlignment="1">
      <alignment horizontal="center" vertical="center"/>
    </xf>
    <xf numFmtId="0" fontId="25" fillId="41" borderId="23" xfId="0" applyFont="1" applyFill="1" applyBorder="1" applyAlignment="1">
      <alignment horizontal="center" vertical="center"/>
    </xf>
    <xf numFmtId="1" fontId="34" fillId="0" borderId="21" xfId="0" applyNumberFormat="1" applyFont="1" applyBorder="1" applyAlignment="1">
      <alignment horizontal="center" vertical="center"/>
    </xf>
    <xf numFmtId="1" fontId="34" fillId="0" borderId="23" xfId="0" applyNumberFormat="1" applyFont="1" applyBorder="1" applyAlignment="1">
      <alignment horizontal="center" vertical="center"/>
    </xf>
    <xf numFmtId="0" fontId="35" fillId="37" borderId="17" xfId="0" applyFont="1" applyFill="1" applyBorder="1" applyAlignment="1">
      <alignment horizontal="center" vertical="center" wrapText="1"/>
    </xf>
    <xf numFmtId="0" fontId="35" fillId="37" borderId="0" xfId="0" applyFont="1" applyFill="1" applyBorder="1" applyAlignment="1">
      <alignment horizontal="center" vertical="center" wrapText="1"/>
    </xf>
    <xf numFmtId="0" fontId="35" fillId="37" borderId="18" xfId="0" applyFont="1" applyFill="1" applyBorder="1" applyAlignment="1">
      <alignment horizontal="center" vertical="center" wrapText="1"/>
    </xf>
    <xf numFmtId="0" fontId="20" fillId="0" borderId="21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35" fillId="37" borderId="0" xfId="0" applyFont="1" applyFill="1" applyAlignment="1">
      <alignment horizontal="center" vertical="center" wrapText="1"/>
    </xf>
    <xf numFmtId="0" fontId="35" fillId="37" borderId="10" xfId="0" applyFont="1" applyFill="1" applyBorder="1" applyAlignment="1">
      <alignment horizontal="center" vertical="center" wrapText="1"/>
    </xf>
    <xf numFmtId="0" fontId="35" fillId="37" borderId="16" xfId="0" applyFont="1" applyFill="1" applyBorder="1" applyAlignment="1">
      <alignment horizontal="center" vertical="center" wrapText="1"/>
    </xf>
    <xf numFmtId="0" fontId="35" fillId="37" borderId="15" xfId="0" applyFont="1" applyFill="1" applyBorder="1" applyAlignment="1">
      <alignment horizontal="center" vertical="center" wrapText="1"/>
    </xf>
    <xf numFmtId="0" fontId="43" fillId="44" borderId="21" xfId="0" applyFont="1" applyFill="1" applyBorder="1" applyAlignment="1">
      <alignment horizontal="center" vertical="center"/>
    </xf>
    <xf numFmtId="0" fontId="43" fillId="44" borderId="22" xfId="0" applyFont="1" applyFill="1" applyBorder="1" applyAlignment="1">
      <alignment horizontal="center" vertical="center"/>
    </xf>
    <xf numFmtId="0" fontId="43" fillId="44" borderId="23" xfId="0" applyFont="1" applyFill="1" applyBorder="1" applyAlignment="1">
      <alignment horizontal="center" vertical="center"/>
    </xf>
    <xf numFmtId="0" fontId="35" fillId="37" borderId="44" xfId="0" applyFont="1" applyFill="1" applyBorder="1" applyAlignment="1">
      <alignment horizontal="center" vertical="center" wrapText="1"/>
    </xf>
    <xf numFmtId="0" fontId="35" fillId="37" borderId="46" xfId="0" applyFont="1" applyFill="1" applyBorder="1" applyAlignment="1">
      <alignment horizontal="center" vertical="center" wrapText="1"/>
    </xf>
    <xf numFmtId="0" fontId="35" fillId="37" borderId="47" xfId="0" applyFont="1" applyFill="1" applyBorder="1" applyAlignment="1">
      <alignment horizontal="center" vertical="center" wrapText="1"/>
    </xf>
    <xf numFmtId="0" fontId="44" fillId="45" borderId="21" xfId="0" applyFont="1" applyFill="1" applyBorder="1" applyAlignment="1">
      <alignment horizontal="center" vertical="center"/>
    </xf>
    <xf numFmtId="0" fontId="44" fillId="45" borderId="22" xfId="0" applyFont="1" applyFill="1" applyBorder="1" applyAlignment="1">
      <alignment horizontal="center" vertical="center"/>
    </xf>
    <xf numFmtId="0" fontId="44" fillId="45" borderId="23" xfId="0" applyFont="1" applyFill="1" applyBorder="1" applyAlignment="1">
      <alignment horizontal="center" vertical="center"/>
    </xf>
    <xf numFmtId="1" fontId="20" fillId="0" borderId="21" xfId="0" applyNumberFormat="1" applyFont="1" applyBorder="1" applyAlignment="1">
      <alignment horizontal="center" vertical="center"/>
    </xf>
    <xf numFmtId="1" fontId="20" fillId="0" borderId="22" xfId="0" applyNumberFormat="1" applyFont="1" applyBorder="1" applyAlignment="1">
      <alignment horizontal="center" vertical="center"/>
    </xf>
    <xf numFmtId="1" fontId="20" fillId="0" borderId="23" xfId="0" applyNumberFormat="1" applyFont="1" applyBorder="1" applyAlignment="1">
      <alignment horizontal="center" vertical="center"/>
    </xf>
    <xf numFmtId="0" fontId="43" fillId="44" borderId="20" xfId="0" applyFont="1" applyFill="1" applyBorder="1" applyAlignment="1">
      <alignment horizontal="center" vertical="center"/>
    </xf>
    <xf numFmtId="0" fontId="43" fillId="44" borderId="18" xfId="0" applyFont="1" applyFill="1" applyBorder="1" applyAlignment="1">
      <alignment horizontal="center" vertical="center"/>
    </xf>
    <xf numFmtId="0" fontId="43" fillId="44" borderId="15" xfId="0" applyFont="1" applyFill="1" applyBorder="1" applyAlignment="1">
      <alignment horizontal="center" vertical="center"/>
    </xf>
    <xf numFmtId="0" fontId="35" fillId="37" borderId="44" xfId="0" applyFont="1" applyFill="1" applyBorder="1" applyAlignment="1">
      <alignment horizontal="center" vertical="center"/>
    </xf>
    <xf numFmtId="0" fontId="35" fillId="37" borderId="46" xfId="0" applyFont="1" applyFill="1" applyBorder="1" applyAlignment="1">
      <alignment horizontal="center" vertical="center"/>
    </xf>
    <xf numFmtId="0" fontId="35" fillId="37" borderId="47" xfId="0" applyFont="1" applyFill="1" applyBorder="1" applyAlignment="1">
      <alignment horizontal="center" vertical="center"/>
    </xf>
    <xf numFmtId="0" fontId="34" fillId="0" borderId="21" xfId="0" applyFont="1" applyBorder="1" applyAlignment="1">
      <alignment horizontal="center" vertical="center"/>
    </xf>
    <xf numFmtId="0" fontId="34" fillId="0" borderId="22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14" fontId="41" fillId="0" borderId="21" xfId="0" applyNumberFormat="1" applyFont="1" applyFill="1" applyBorder="1" applyAlignment="1">
      <alignment horizontal="center" vertical="center"/>
    </xf>
    <xf numFmtId="14" fontId="41" fillId="0" borderId="22" xfId="0" applyNumberFormat="1" applyFont="1" applyFill="1" applyBorder="1" applyAlignment="1">
      <alignment horizontal="center" vertical="center"/>
    </xf>
    <xf numFmtId="14" fontId="41" fillId="0" borderId="23" xfId="0" applyNumberFormat="1" applyFont="1" applyFill="1" applyBorder="1" applyAlignment="1">
      <alignment horizontal="center" vertical="center"/>
    </xf>
    <xf numFmtId="0" fontId="33" fillId="43" borderId="16" xfId="0" applyFont="1" applyFill="1" applyBorder="1" applyAlignment="1">
      <alignment horizontal="center" vertical="center" wrapText="1"/>
    </xf>
    <xf numFmtId="0" fontId="34" fillId="44" borderId="24" xfId="0" applyFont="1" applyFill="1" applyBorder="1" applyAlignment="1">
      <alignment horizontal="center" vertical="center" wrapText="1"/>
    </xf>
    <xf numFmtId="0" fontId="34" fillId="44" borderId="10" xfId="0" applyFont="1" applyFill="1" applyBorder="1" applyAlignment="1">
      <alignment horizontal="center" vertical="center" wrapText="1"/>
    </xf>
    <xf numFmtId="0" fontId="36" fillId="0" borderId="20" xfId="0" applyFont="1" applyBorder="1" applyAlignment="1">
      <alignment horizontal="center" vertical="top"/>
    </xf>
    <xf numFmtId="0" fontId="36" fillId="0" borderId="18" xfId="0" applyFont="1" applyBorder="1" applyAlignment="1">
      <alignment horizontal="center" vertical="top"/>
    </xf>
    <xf numFmtId="0" fontId="36" fillId="0" borderId="52" xfId="0" applyFont="1" applyBorder="1" applyAlignment="1">
      <alignment horizontal="center" vertical="top"/>
    </xf>
    <xf numFmtId="0" fontId="38" fillId="0" borderId="24" xfId="0" applyFont="1" applyBorder="1" applyAlignment="1">
      <alignment horizontal="left" vertical="top" wrapText="1"/>
    </xf>
    <xf numFmtId="0" fontId="38" fillId="0" borderId="17" xfId="0" applyFont="1" applyBorder="1" applyAlignment="1">
      <alignment horizontal="left" vertical="top" wrapText="1"/>
    </xf>
    <xf numFmtId="0" fontId="38" fillId="0" borderId="10" xfId="0" applyFont="1" applyBorder="1" applyAlignment="1">
      <alignment horizontal="left" vertical="top" wrapText="1"/>
    </xf>
    <xf numFmtId="0" fontId="42" fillId="43" borderId="21" xfId="0" applyFont="1" applyFill="1" applyBorder="1" applyAlignment="1">
      <alignment horizontal="left" vertical="center"/>
    </xf>
    <xf numFmtId="0" fontId="42" fillId="43" borderId="22" xfId="0" applyFont="1" applyFill="1" applyBorder="1" applyAlignment="1">
      <alignment horizontal="left" vertical="center"/>
    </xf>
    <xf numFmtId="0" fontId="42" fillId="43" borderId="23" xfId="0" applyFont="1" applyFill="1" applyBorder="1" applyAlignment="1">
      <alignment horizontal="left" vertical="center"/>
    </xf>
    <xf numFmtId="14" fontId="34" fillId="0" borderId="21" xfId="0" applyNumberFormat="1" applyFont="1" applyBorder="1" applyAlignment="1">
      <alignment horizontal="center" vertical="center"/>
    </xf>
    <xf numFmtId="14" fontId="34" fillId="0" borderId="22" xfId="0" applyNumberFormat="1" applyFont="1" applyBorder="1" applyAlignment="1">
      <alignment horizontal="center" vertical="center"/>
    </xf>
    <xf numFmtId="14" fontId="34" fillId="0" borderId="23" xfId="0" applyNumberFormat="1" applyFont="1" applyBorder="1" applyAlignment="1">
      <alignment horizontal="center" vertical="center"/>
    </xf>
    <xf numFmtId="0" fontId="44" fillId="45" borderId="21" xfId="0" applyFont="1" applyFill="1" applyBorder="1" applyAlignment="1">
      <alignment horizontal="left" vertical="center"/>
    </xf>
    <xf numFmtId="0" fontId="44" fillId="45" borderId="22" xfId="0" applyFont="1" applyFill="1" applyBorder="1" applyAlignment="1">
      <alignment horizontal="left" vertical="center"/>
    </xf>
    <xf numFmtId="0" fontId="44" fillId="45" borderId="23" xfId="0" applyFont="1" applyFill="1" applyBorder="1" applyAlignment="1">
      <alignment horizontal="left" vertical="center"/>
    </xf>
    <xf numFmtId="14" fontId="37" fillId="0" borderId="21" xfId="0" applyNumberFormat="1" applyFont="1" applyBorder="1" applyAlignment="1">
      <alignment horizontal="left" vertical="top" wrapText="1"/>
    </xf>
    <xf numFmtId="14" fontId="37" fillId="0" borderId="22" xfId="0" applyNumberFormat="1" applyFont="1" applyBorder="1" applyAlignment="1">
      <alignment horizontal="left" vertical="top"/>
    </xf>
    <xf numFmtId="14" fontId="37" fillId="0" borderId="23" xfId="0" applyNumberFormat="1" applyFont="1" applyBorder="1" applyAlignment="1">
      <alignment horizontal="left" vertical="top"/>
    </xf>
    <xf numFmtId="0" fontId="35" fillId="37" borderId="24" xfId="0" applyFont="1" applyFill="1" applyBorder="1" applyAlignment="1">
      <alignment horizontal="center" vertical="center"/>
    </xf>
    <xf numFmtId="0" fontId="35" fillId="37" borderId="17" xfId="0" applyFont="1" applyFill="1" applyBorder="1" applyAlignment="1">
      <alignment horizontal="center" vertical="center"/>
    </xf>
    <xf numFmtId="0" fontId="35" fillId="37" borderId="20" xfId="0" applyFont="1" applyFill="1" applyBorder="1" applyAlignment="1">
      <alignment horizontal="center" vertical="center"/>
    </xf>
    <xf numFmtId="0" fontId="35" fillId="37" borderId="18" xfId="0" applyFont="1" applyFill="1" applyBorder="1" applyAlignment="1">
      <alignment horizontal="center" vertical="center"/>
    </xf>
    <xf numFmtId="0" fontId="25" fillId="43" borderId="17" xfId="0" applyFont="1" applyFill="1" applyBorder="1" applyAlignment="1">
      <alignment horizontal="center" wrapText="1"/>
    </xf>
    <xf numFmtId="0" fontId="25" fillId="43" borderId="10" xfId="0" applyFont="1" applyFill="1" applyBorder="1" applyAlignment="1">
      <alignment horizontal="center" wrapText="1"/>
    </xf>
    <xf numFmtId="0" fontId="32" fillId="43" borderId="25" xfId="0" applyFont="1" applyFill="1" applyBorder="1" applyAlignment="1">
      <alignment horizontal="left" wrapText="1"/>
    </xf>
    <xf numFmtId="0" fontId="32" fillId="43" borderId="0" xfId="0" applyFont="1" applyFill="1" applyAlignment="1">
      <alignment horizontal="left" wrapText="1"/>
    </xf>
    <xf numFmtId="0" fontId="32" fillId="43" borderId="16" xfId="0" applyFont="1" applyFill="1" applyBorder="1" applyAlignment="1">
      <alignment horizontal="left" wrapText="1"/>
    </xf>
    <xf numFmtId="0" fontId="32" fillId="43" borderId="20" xfId="0" applyFont="1" applyFill="1" applyBorder="1" applyAlignment="1">
      <alignment horizontal="left" wrapText="1"/>
    </xf>
    <xf numFmtId="0" fontId="32" fillId="43" borderId="18" xfId="0" applyFont="1" applyFill="1" applyBorder="1" applyAlignment="1">
      <alignment horizontal="left" wrapText="1"/>
    </xf>
    <xf numFmtId="0" fontId="32" fillId="43" borderId="15" xfId="0" applyFont="1" applyFill="1" applyBorder="1" applyAlignment="1">
      <alignment horizontal="left" wrapText="1"/>
    </xf>
    <xf numFmtId="0" fontId="16" fillId="33" borderId="21" xfId="0" applyFont="1" applyFill="1" applyBorder="1" applyAlignment="1">
      <alignment horizontal="center"/>
    </xf>
    <xf numFmtId="0" fontId="16" fillId="33" borderId="23" xfId="0" applyFont="1" applyFill="1" applyBorder="1" applyAlignment="1">
      <alignment horizontal="center"/>
    </xf>
    <xf numFmtId="0" fontId="17" fillId="47" borderId="0" xfId="0" applyFont="1" applyFill="1" applyAlignment="1">
      <alignment horizontal="center"/>
    </xf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38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mm/dd/yy;@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fill>
        <patternFill patternType="solid">
          <fgColor rgb="FFE2EFDA"/>
          <bgColor rgb="FFE2EFDA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mm/dd/yy;@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mm/dd/yy;@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fill>
        <patternFill patternType="solid">
          <fgColor rgb="FFE2EFDA"/>
          <bgColor rgb="FFE2EFDA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m/d/yyyy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fill>
        <patternFill patternType="solid">
          <fgColor rgb="FFE2EFDA"/>
          <bgColor rgb="FFE2EFDA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mm/dd/yy;@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fill>
        <patternFill patternType="solid">
          <fgColor rgb="FFE2EFDA"/>
          <bgColor rgb="FFE2EFDA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mm/dd/yy;@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fill>
        <patternFill patternType="solid">
          <fgColor rgb="FFE2EFDA"/>
          <bgColor rgb="FFE2EFDA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mm/dd/yy;@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fill>
        <patternFill patternType="solid">
          <fgColor rgb="FFE2EFDA"/>
          <bgColor rgb="FFE2EFDA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mm/dd/yy;@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fill>
        <patternFill patternType="solid">
          <fgColor rgb="FFE2EFDA"/>
          <bgColor rgb="FFE2EFDA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m/d/yyyy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fill>
        <patternFill patternType="solid">
          <fgColor rgb="FFE2EFDA"/>
          <bgColor rgb="FFE2EFDA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mm/dd/yy;@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mm/dd/yy;@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6" formatCode="mm/dd/yyyy;@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6" formatCode="mm/dd/yyyy;@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m/d/yyyy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fill>
        <patternFill patternType="solid">
          <fgColor rgb="FFE2EFDA"/>
          <bgColor rgb="FFE2EFDA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6" formatCode="mm/dd/yyyy;@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2BB05"/>
      <color rgb="FFF2F3D9"/>
      <color rgb="FF1453A0"/>
      <color rgb="FF390040"/>
      <color rgb="FFD90368"/>
      <color rgb="FFFF6700"/>
      <color rgb="FFACAD94"/>
      <color rgb="FFD8E4FF"/>
      <color rgb="FF81C3D7"/>
      <color rgb="FF3B0D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AFS 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Report'!$H$49:$H$51</c:f>
              <c:strCache>
                <c:ptCount val="3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Report'!$A$52:$A$55</c:f>
              <c:numCache>
                <c:formatCode>General</c:formatCode>
                <c:ptCount val="4"/>
                <c:pt idx="0">
                  <c:v>47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</c:numCache>
            </c:numRef>
          </c:cat>
          <c:val>
            <c:numRef>
              <c:f>'CO Daily Flash Report'!$H$52:$H$55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D-4F26-993E-743E1B95F6BC}"/>
            </c:ext>
          </c:extLst>
        </c:ser>
        <c:ser>
          <c:idx val="1"/>
          <c:order val="1"/>
          <c:tx>
            <c:strRef>
              <c:f>'CO Daily Flash Report'!$J$49:$J$51</c:f>
              <c:strCache>
                <c:ptCount val="3"/>
                <c:pt idx="0">
                  <c:v>CI DPMO</c:v>
                </c:pt>
              </c:strCache>
            </c:strRef>
          </c:tx>
          <c:spPr>
            <a:solidFill>
              <a:srgbClr val="F2BB0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Report'!$A$52:$A$55</c:f>
              <c:numCache>
                <c:formatCode>General</c:formatCode>
                <c:ptCount val="4"/>
                <c:pt idx="0">
                  <c:v>47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</c:numCache>
            </c:numRef>
          </c:cat>
          <c:val>
            <c:numRef>
              <c:f>'CO Daily Flash Report'!$J$52:$J$55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8D-4F26-993E-743E1B95F6BC}"/>
            </c:ext>
          </c:extLst>
        </c:ser>
        <c:ser>
          <c:idx val="2"/>
          <c:order val="2"/>
          <c:tx>
            <c:strRef>
              <c:f>'CO Daily Flash Report'!$K$49:$K$51</c:f>
              <c:strCache>
                <c:ptCount val="3"/>
                <c:pt idx="0">
                  <c:v>NCI</c:v>
                </c:pt>
              </c:strCache>
            </c:strRef>
          </c:tx>
          <c:spPr>
            <a:solidFill>
              <a:sysClr val="windowText" lastClr="0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Report'!$A$52:$A$55</c:f>
              <c:numCache>
                <c:formatCode>General</c:formatCode>
                <c:ptCount val="4"/>
                <c:pt idx="0">
                  <c:v>47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</c:numCache>
            </c:numRef>
          </c:cat>
          <c:val>
            <c:numRef>
              <c:f>'CO Daily Flash Report'!$K$52:$K$55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8D-4F26-993E-743E1B95F6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cat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Algn val="ctr"/>
        <c:lblOffset val="100"/>
        <c:noMultiLvlLbl val="0"/>
      </c:cat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AFS 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Report'!$H$58:$H$60</c:f>
              <c:strCache>
                <c:ptCount val="3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Report'!$A$61:$A$67</c:f>
              <c:numCache>
                <c:formatCode>m/d/yyyy</c:formatCode>
                <c:ptCount val="7"/>
                <c:pt idx="0">
                  <c:v>45629</c:v>
                </c:pt>
                <c:pt idx="1">
                  <c:v>45630</c:v>
                </c:pt>
                <c:pt idx="2">
                  <c:v>45631</c:v>
                </c:pt>
                <c:pt idx="3">
                  <c:v>45632</c:v>
                </c:pt>
                <c:pt idx="4">
                  <c:v>45633</c:v>
                </c:pt>
                <c:pt idx="5">
                  <c:v>45634</c:v>
                </c:pt>
                <c:pt idx="6">
                  <c:v>45635</c:v>
                </c:pt>
              </c:numCache>
            </c:numRef>
          </c:cat>
          <c:val>
            <c:numRef>
              <c:f>'CO Daily Flash Report'!$H$61:$H$67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D-4F26-993E-743E1B95F6BC}"/>
            </c:ext>
          </c:extLst>
        </c:ser>
        <c:ser>
          <c:idx val="1"/>
          <c:order val="1"/>
          <c:tx>
            <c:strRef>
              <c:f>'CO Daily Flash Report'!$J$58:$J$60</c:f>
              <c:strCache>
                <c:ptCount val="3"/>
                <c:pt idx="0">
                  <c:v>CI DPMO</c:v>
                </c:pt>
              </c:strCache>
            </c:strRef>
          </c:tx>
          <c:spPr>
            <a:solidFill>
              <a:srgbClr val="F2BB0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Report'!$A$61:$A$67</c:f>
              <c:numCache>
                <c:formatCode>m/d/yyyy</c:formatCode>
                <c:ptCount val="7"/>
                <c:pt idx="0">
                  <c:v>45629</c:v>
                </c:pt>
                <c:pt idx="1">
                  <c:v>45630</c:v>
                </c:pt>
                <c:pt idx="2">
                  <c:v>45631</c:v>
                </c:pt>
                <c:pt idx="3">
                  <c:v>45632</c:v>
                </c:pt>
                <c:pt idx="4">
                  <c:v>45633</c:v>
                </c:pt>
                <c:pt idx="5">
                  <c:v>45634</c:v>
                </c:pt>
                <c:pt idx="6">
                  <c:v>45635</c:v>
                </c:pt>
              </c:numCache>
            </c:numRef>
          </c:cat>
          <c:val>
            <c:numRef>
              <c:f>'CO Daily Flash Report'!$J$61:$J$67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8D-4F26-993E-743E1B95F6BC}"/>
            </c:ext>
          </c:extLst>
        </c:ser>
        <c:ser>
          <c:idx val="2"/>
          <c:order val="2"/>
          <c:tx>
            <c:strRef>
              <c:f>'CO Daily Flash Report'!$K$58:$K$60</c:f>
              <c:strCache>
                <c:ptCount val="3"/>
                <c:pt idx="0">
                  <c:v>NCI</c:v>
                </c:pt>
              </c:strCache>
            </c:strRef>
          </c:tx>
          <c:spPr>
            <a:solidFill>
              <a:sysClr val="windowText" lastClr="0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Report'!$A$61:$A$67</c:f>
              <c:numCache>
                <c:formatCode>m/d/yyyy</c:formatCode>
                <c:ptCount val="7"/>
                <c:pt idx="0">
                  <c:v>45629</c:v>
                </c:pt>
                <c:pt idx="1">
                  <c:v>45630</c:v>
                </c:pt>
                <c:pt idx="2">
                  <c:v>45631</c:v>
                </c:pt>
                <c:pt idx="3">
                  <c:v>45632</c:v>
                </c:pt>
                <c:pt idx="4">
                  <c:v>45633</c:v>
                </c:pt>
                <c:pt idx="5">
                  <c:v>45634</c:v>
                </c:pt>
                <c:pt idx="6">
                  <c:v>45635</c:v>
                </c:pt>
              </c:numCache>
            </c:numRef>
          </c:cat>
          <c:val>
            <c:numRef>
              <c:f>'CO Daily Flash Report'!$K$61:$K$67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8D-4F26-993E-743E1B95F6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date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Offset val="100"/>
        <c:baseTimeUnit val="days"/>
      </c:date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Ungrounding 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Report'!$H$97:$H$99</c:f>
              <c:strCache>
                <c:ptCount val="3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Report'!$A$100:$A$103</c:f>
              <c:numCache>
                <c:formatCode>General</c:formatCode>
                <c:ptCount val="4"/>
                <c:pt idx="0">
                  <c:v>47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</c:numCache>
            </c:numRef>
          </c:cat>
          <c:val>
            <c:numRef>
              <c:f>'CO Daily Flash Report'!$H$100:$H$103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D-4F26-993E-743E1B95F6BC}"/>
            </c:ext>
          </c:extLst>
        </c:ser>
        <c:ser>
          <c:idx val="1"/>
          <c:order val="1"/>
          <c:tx>
            <c:strRef>
              <c:f>'CO Daily Flash Report'!$J$97:$J$99</c:f>
              <c:strCache>
                <c:ptCount val="3"/>
                <c:pt idx="0">
                  <c:v>CI DPMO</c:v>
                </c:pt>
              </c:strCache>
            </c:strRef>
          </c:tx>
          <c:spPr>
            <a:solidFill>
              <a:srgbClr val="F2BB0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Report'!$A$100:$A$103</c:f>
              <c:numCache>
                <c:formatCode>General</c:formatCode>
                <c:ptCount val="4"/>
                <c:pt idx="0">
                  <c:v>47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</c:numCache>
            </c:numRef>
          </c:cat>
          <c:val>
            <c:numRef>
              <c:f>'CO Daily Flash Report'!$J$100:$J$103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8D-4F26-993E-743E1B95F6BC}"/>
            </c:ext>
          </c:extLst>
        </c:ser>
        <c:ser>
          <c:idx val="2"/>
          <c:order val="2"/>
          <c:tx>
            <c:strRef>
              <c:f>'CO Daily Flash Report'!$K$97:$K$99</c:f>
              <c:strCache>
                <c:ptCount val="3"/>
                <c:pt idx="0">
                  <c:v>NCI</c:v>
                </c:pt>
              </c:strCache>
            </c:strRef>
          </c:tx>
          <c:spPr>
            <a:solidFill>
              <a:sysClr val="windowText" lastClr="0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Report'!$A$100:$A$103</c:f>
              <c:numCache>
                <c:formatCode>General</c:formatCode>
                <c:ptCount val="4"/>
                <c:pt idx="0">
                  <c:v>47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</c:numCache>
            </c:numRef>
          </c:cat>
          <c:val>
            <c:numRef>
              <c:f>'CO Daily Flash Report'!$K$100:$K$103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8D-4F26-993E-743E1B95F6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cat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Algn val="ctr"/>
        <c:lblOffset val="100"/>
        <c:noMultiLvlLbl val="0"/>
      </c:cat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Ungrounding 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Report'!$H$106:$H$108</c:f>
              <c:strCache>
                <c:ptCount val="3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Report'!$A$109:$A$115</c:f>
              <c:numCache>
                <c:formatCode>m/d/yyyy</c:formatCode>
                <c:ptCount val="7"/>
                <c:pt idx="0">
                  <c:v>45630</c:v>
                </c:pt>
                <c:pt idx="1">
                  <c:v>45631</c:v>
                </c:pt>
                <c:pt idx="2">
                  <c:v>45632</c:v>
                </c:pt>
                <c:pt idx="3">
                  <c:v>45633</c:v>
                </c:pt>
                <c:pt idx="4">
                  <c:v>45634</c:v>
                </c:pt>
                <c:pt idx="5">
                  <c:v>45635</c:v>
                </c:pt>
                <c:pt idx="6">
                  <c:v>45636</c:v>
                </c:pt>
              </c:numCache>
            </c:numRef>
          </c:cat>
          <c:val>
            <c:numRef>
              <c:f>'CO Daily Flash Report'!$H$109:$H$115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D-4F26-993E-743E1B95F6BC}"/>
            </c:ext>
          </c:extLst>
        </c:ser>
        <c:ser>
          <c:idx val="1"/>
          <c:order val="1"/>
          <c:tx>
            <c:strRef>
              <c:f>'CO Daily Flash Report'!$J$106:$J$108</c:f>
              <c:strCache>
                <c:ptCount val="3"/>
                <c:pt idx="0">
                  <c:v>CI DPMO</c:v>
                </c:pt>
              </c:strCache>
            </c:strRef>
          </c:tx>
          <c:spPr>
            <a:solidFill>
              <a:srgbClr val="F2BB0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Report'!$A$109:$A$115</c:f>
              <c:numCache>
                <c:formatCode>m/d/yyyy</c:formatCode>
                <c:ptCount val="7"/>
                <c:pt idx="0">
                  <c:v>45630</c:v>
                </c:pt>
                <c:pt idx="1">
                  <c:v>45631</c:v>
                </c:pt>
                <c:pt idx="2">
                  <c:v>45632</c:v>
                </c:pt>
                <c:pt idx="3">
                  <c:v>45633</c:v>
                </c:pt>
                <c:pt idx="4">
                  <c:v>45634</c:v>
                </c:pt>
                <c:pt idx="5">
                  <c:v>45635</c:v>
                </c:pt>
                <c:pt idx="6">
                  <c:v>45636</c:v>
                </c:pt>
              </c:numCache>
            </c:numRef>
          </c:cat>
          <c:val>
            <c:numRef>
              <c:f>'CO Daily Flash Report'!$J$109:$J$115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8D-4F26-993E-743E1B95F6BC}"/>
            </c:ext>
          </c:extLst>
        </c:ser>
        <c:ser>
          <c:idx val="2"/>
          <c:order val="2"/>
          <c:tx>
            <c:strRef>
              <c:f>'CO Daily Flash Report'!$K$106:$K$108</c:f>
              <c:strCache>
                <c:ptCount val="3"/>
                <c:pt idx="0">
                  <c:v>NCI</c:v>
                </c:pt>
              </c:strCache>
            </c:strRef>
          </c:tx>
          <c:spPr>
            <a:solidFill>
              <a:sysClr val="windowText" lastClr="0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Report'!$A$109:$A$115</c:f>
              <c:numCache>
                <c:formatCode>m/d/yyyy</c:formatCode>
                <c:ptCount val="7"/>
                <c:pt idx="0">
                  <c:v>45630</c:v>
                </c:pt>
                <c:pt idx="1">
                  <c:v>45631</c:v>
                </c:pt>
                <c:pt idx="2">
                  <c:v>45632</c:v>
                </c:pt>
                <c:pt idx="3">
                  <c:v>45633</c:v>
                </c:pt>
                <c:pt idx="4">
                  <c:v>45634</c:v>
                </c:pt>
                <c:pt idx="5">
                  <c:v>45635</c:v>
                </c:pt>
                <c:pt idx="6">
                  <c:v>45636</c:v>
                </c:pt>
              </c:numCache>
            </c:numRef>
          </c:cat>
          <c:val>
            <c:numRef>
              <c:f>'CO Daily Flash Report'!$K$109:$K$115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8D-4F26-993E-743E1B95F6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date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Offset val="100"/>
        <c:baseTimeUnit val="days"/>
      </c:date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PM 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Report'!$H$121:$H$123</c:f>
              <c:strCache>
                <c:ptCount val="3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Report'!$A$124:$A$127</c:f>
              <c:numCache>
                <c:formatCode>General</c:formatCode>
                <c:ptCount val="4"/>
                <c:pt idx="0">
                  <c:v>47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</c:numCache>
            </c:numRef>
          </c:cat>
          <c:val>
            <c:numRef>
              <c:f>'CO Daily Flash Report'!$H$124:$H$127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D-4F26-993E-743E1B95F6BC}"/>
            </c:ext>
          </c:extLst>
        </c:ser>
        <c:ser>
          <c:idx val="1"/>
          <c:order val="1"/>
          <c:tx>
            <c:strRef>
              <c:f>'CO Daily Flash Report'!$J$121:$J$123</c:f>
              <c:strCache>
                <c:ptCount val="3"/>
                <c:pt idx="0">
                  <c:v>CI DPMO</c:v>
                </c:pt>
              </c:strCache>
            </c:strRef>
          </c:tx>
          <c:spPr>
            <a:solidFill>
              <a:srgbClr val="F2BB0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'CO Daily Flash Report'!$J$124:$J$127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8D-4F26-993E-743E1B95F6BC}"/>
            </c:ext>
          </c:extLst>
        </c:ser>
        <c:ser>
          <c:idx val="2"/>
          <c:order val="2"/>
          <c:tx>
            <c:strRef>
              <c:f>'CO Daily Flash Report'!$K$121:$K$123</c:f>
              <c:strCache>
                <c:ptCount val="3"/>
                <c:pt idx="0">
                  <c:v>NCI</c:v>
                </c:pt>
              </c:strCache>
            </c:strRef>
          </c:tx>
          <c:spPr>
            <a:solidFill>
              <a:sysClr val="windowText" lastClr="0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'CO Daily Flash Report'!$K$124:$K$127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8D-4F26-993E-743E1B95F6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cat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Algn val="ctr"/>
        <c:lblOffset val="100"/>
        <c:noMultiLvlLbl val="0"/>
      </c:cat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PM 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Report'!$H$130:$H$132</c:f>
              <c:strCache>
                <c:ptCount val="3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Report'!$A$133:$A$139</c:f>
              <c:numCache>
                <c:formatCode>m/d/yyyy</c:formatCode>
                <c:ptCount val="7"/>
                <c:pt idx="0">
                  <c:v>45630</c:v>
                </c:pt>
                <c:pt idx="1">
                  <c:v>45631</c:v>
                </c:pt>
                <c:pt idx="2">
                  <c:v>45632</c:v>
                </c:pt>
                <c:pt idx="3">
                  <c:v>45633</c:v>
                </c:pt>
                <c:pt idx="4">
                  <c:v>45634</c:v>
                </c:pt>
                <c:pt idx="5">
                  <c:v>45635</c:v>
                </c:pt>
                <c:pt idx="6">
                  <c:v>45636</c:v>
                </c:pt>
              </c:numCache>
            </c:numRef>
          </c:cat>
          <c:val>
            <c:numRef>
              <c:f>'CO Daily Flash Report'!$H$133:$H$139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D-4F26-993E-743E1B95F6BC}"/>
            </c:ext>
          </c:extLst>
        </c:ser>
        <c:ser>
          <c:idx val="1"/>
          <c:order val="1"/>
          <c:tx>
            <c:strRef>
              <c:f>'CO Daily Flash Report'!$J$130:$J$132</c:f>
              <c:strCache>
                <c:ptCount val="3"/>
                <c:pt idx="0">
                  <c:v>CI DPMO</c:v>
                </c:pt>
              </c:strCache>
            </c:strRef>
          </c:tx>
          <c:spPr>
            <a:solidFill>
              <a:srgbClr val="F2BB0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'CO Daily Flash Report'!$J$133:$J$139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8D-4F26-993E-743E1B95F6BC}"/>
            </c:ext>
          </c:extLst>
        </c:ser>
        <c:ser>
          <c:idx val="2"/>
          <c:order val="2"/>
          <c:tx>
            <c:strRef>
              <c:f>'CO Daily Flash Report'!$K$130:$K$132</c:f>
              <c:strCache>
                <c:ptCount val="3"/>
                <c:pt idx="0">
                  <c:v>NCI</c:v>
                </c:pt>
              </c:strCache>
            </c:strRef>
          </c:tx>
          <c:spPr>
            <a:solidFill>
              <a:sysClr val="windowText" lastClr="0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'CO Daily Flash Report'!$K$133:$K$139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8D-4F26-993E-743E1B95F6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date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Offset val="100"/>
        <c:baseTimeUnit val="days"/>
      </c:date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VFC 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Report'!$I$145:$I$147</c:f>
              <c:strCache>
                <c:ptCount val="3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Report'!$A$148:$A$151</c:f>
              <c:numCache>
                <c:formatCode>General</c:formatCode>
                <c:ptCount val="4"/>
                <c:pt idx="0">
                  <c:v>47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</c:numCache>
            </c:numRef>
          </c:cat>
          <c:val>
            <c:numRef>
              <c:f>'CO Daily Flash Report'!$I$148:$I$151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D-4F26-993E-743E1B95F6BC}"/>
            </c:ext>
          </c:extLst>
        </c:ser>
        <c:ser>
          <c:idx val="1"/>
          <c:order val="1"/>
          <c:tx>
            <c:strRef>
              <c:f>'CO Daily Flash Report'!$J$145:$J$147</c:f>
              <c:strCache>
                <c:ptCount val="3"/>
                <c:pt idx="0">
                  <c:v>CI DPMO</c:v>
                </c:pt>
              </c:strCache>
            </c:strRef>
          </c:tx>
          <c:spPr>
            <a:solidFill>
              <a:srgbClr val="F2BB0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'CO Daily Flash Report'!$J$148:$J$151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8D-4F26-993E-743E1B95F6BC}"/>
            </c:ext>
          </c:extLst>
        </c:ser>
        <c:ser>
          <c:idx val="2"/>
          <c:order val="2"/>
          <c:tx>
            <c:strRef>
              <c:f>'CO Daily Flash Report'!$K$145:$K$147</c:f>
              <c:strCache>
                <c:ptCount val="3"/>
                <c:pt idx="0">
                  <c:v>NCI</c:v>
                </c:pt>
              </c:strCache>
            </c:strRef>
          </c:tx>
          <c:spPr>
            <a:solidFill>
              <a:sysClr val="windowText" lastClr="0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'CO Daily Flash Report'!$K$148:$K$151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8D-4F26-993E-743E1B95F6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cat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Algn val="ctr"/>
        <c:lblOffset val="100"/>
        <c:noMultiLvlLbl val="0"/>
      </c:cat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VFC 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Report'!$I$154:$I$156</c:f>
              <c:strCache>
                <c:ptCount val="3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Report'!$A$157:$A$163</c:f>
              <c:numCache>
                <c:formatCode>m/d/yyyy</c:formatCode>
                <c:ptCount val="7"/>
                <c:pt idx="0">
                  <c:v>45630</c:v>
                </c:pt>
                <c:pt idx="1">
                  <c:v>45631</c:v>
                </c:pt>
                <c:pt idx="2">
                  <c:v>45632</c:v>
                </c:pt>
                <c:pt idx="3">
                  <c:v>45633</c:v>
                </c:pt>
                <c:pt idx="4">
                  <c:v>45634</c:v>
                </c:pt>
                <c:pt idx="5">
                  <c:v>45635</c:v>
                </c:pt>
                <c:pt idx="6">
                  <c:v>45636</c:v>
                </c:pt>
              </c:numCache>
            </c:numRef>
          </c:cat>
          <c:val>
            <c:numRef>
              <c:f>'CO Daily Flash Report'!$I$157:$I$163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D-4F26-993E-743E1B95F6BC}"/>
            </c:ext>
          </c:extLst>
        </c:ser>
        <c:ser>
          <c:idx val="1"/>
          <c:order val="1"/>
          <c:tx>
            <c:strRef>
              <c:f>'CO Daily Flash Report'!$J$154:$J$156</c:f>
              <c:strCache>
                <c:ptCount val="3"/>
                <c:pt idx="0">
                  <c:v>CI DPMO</c:v>
                </c:pt>
              </c:strCache>
            </c:strRef>
          </c:tx>
          <c:spPr>
            <a:solidFill>
              <a:srgbClr val="F2BB0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'CO Daily Flash Report'!$J$157:$J$163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8D-4F26-993E-743E1B95F6BC}"/>
            </c:ext>
          </c:extLst>
        </c:ser>
        <c:ser>
          <c:idx val="2"/>
          <c:order val="2"/>
          <c:tx>
            <c:strRef>
              <c:f>'CO Daily Flash Report'!$K$154:$K$156</c:f>
              <c:strCache>
                <c:ptCount val="3"/>
                <c:pt idx="0">
                  <c:v>NCI</c:v>
                </c:pt>
              </c:strCache>
            </c:strRef>
          </c:tx>
          <c:spPr>
            <a:solidFill>
              <a:sysClr val="windowText" lastClr="0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'CO Daily Flash Report'!$K$157:$K$163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8D-4F26-993E-743E1B95F6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date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Offset val="100"/>
        <c:baseTimeUnit val="days"/>
      </c:date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Reimbursement 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Report'!$I$169:$I$171</c:f>
              <c:strCache>
                <c:ptCount val="3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Report'!$A$172:$A$175</c:f>
              <c:numCache>
                <c:formatCode>General</c:formatCode>
                <c:ptCount val="4"/>
                <c:pt idx="0">
                  <c:v>47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</c:numCache>
            </c:numRef>
          </c:cat>
          <c:val>
            <c:numRef>
              <c:f>'CO Daily Flash Report'!$I$172:$I$175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D-4F26-993E-743E1B95F6BC}"/>
            </c:ext>
          </c:extLst>
        </c:ser>
        <c:ser>
          <c:idx val="1"/>
          <c:order val="1"/>
          <c:tx>
            <c:strRef>
              <c:f>'CO Daily Flash Report'!$J$169:$J$171</c:f>
              <c:strCache>
                <c:ptCount val="3"/>
                <c:pt idx="0">
                  <c:v>CI DPMO</c:v>
                </c:pt>
              </c:strCache>
            </c:strRef>
          </c:tx>
          <c:spPr>
            <a:solidFill>
              <a:srgbClr val="F2BB0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'CO Daily Flash Report'!$J$172:$J$175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8D-4F26-993E-743E1B95F6BC}"/>
            </c:ext>
          </c:extLst>
        </c:ser>
        <c:ser>
          <c:idx val="2"/>
          <c:order val="2"/>
          <c:tx>
            <c:strRef>
              <c:f>'CO Daily Flash Report'!$K$169:$K$171</c:f>
              <c:strCache>
                <c:ptCount val="3"/>
                <c:pt idx="0">
                  <c:v>NCI</c:v>
                </c:pt>
              </c:strCache>
            </c:strRef>
          </c:tx>
          <c:spPr>
            <a:solidFill>
              <a:sysClr val="windowText" lastClr="0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'CO Daily Flash Report'!$K$172:$K$175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8D-4F26-993E-743E1B95F6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cat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Algn val="ctr"/>
        <c:lblOffset val="100"/>
        <c:noMultiLvlLbl val="0"/>
      </c:cat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Reimbursement 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Report'!$I$178:$I$180</c:f>
              <c:strCache>
                <c:ptCount val="3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Report'!$A$181:$A$187</c:f>
              <c:numCache>
                <c:formatCode>m/d/yyyy</c:formatCode>
                <c:ptCount val="7"/>
                <c:pt idx="0">
                  <c:v>45630</c:v>
                </c:pt>
                <c:pt idx="1">
                  <c:v>45631</c:v>
                </c:pt>
                <c:pt idx="2">
                  <c:v>45632</c:v>
                </c:pt>
                <c:pt idx="3">
                  <c:v>45633</c:v>
                </c:pt>
                <c:pt idx="4">
                  <c:v>45634</c:v>
                </c:pt>
                <c:pt idx="5">
                  <c:v>45635</c:v>
                </c:pt>
                <c:pt idx="6">
                  <c:v>45636</c:v>
                </c:pt>
              </c:numCache>
            </c:numRef>
          </c:cat>
          <c:val>
            <c:numRef>
              <c:f>'CO Daily Flash Report'!$I$181:$I$187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D-4F26-993E-743E1B95F6BC}"/>
            </c:ext>
          </c:extLst>
        </c:ser>
        <c:ser>
          <c:idx val="1"/>
          <c:order val="1"/>
          <c:tx>
            <c:strRef>
              <c:f>'CO Daily Flash Report'!$J$178:$J$180</c:f>
              <c:strCache>
                <c:ptCount val="3"/>
                <c:pt idx="0">
                  <c:v>CI DPMO</c:v>
                </c:pt>
              </c:strCache>
            </c:strRef>
          </c:tx>
          <c:spPr>
            <a:solidFill>
              <a:srgbClr val="F2BB0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'CO Daily Flash Report'!$J$181:$J$187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8D-4F26-993E-743E1B95F6BC}"/>
            </c:ext>
          </c:extLst>
        </c:ser>
        <c:ser>
          <c:idx val="2"/>
          <c:order val="2"/>
          <c:tx>
            <c:strRef>
              <c:f>'CO Daily Flash Report'!$K$178:$K$180</c:f>
              <c:strCache>
                <c:ptCount val="3"/>
                <c:pt idx="0">
                  <c:v>NCI</c:v>
                </c:pt>
              </c:strCache>
            </c:strRef>
          </c:tx>
          <c:spPr>
            <a:solidFill>
              <a:sysClr val="windowText" lastClr="0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'CO Daily Flash Report'!$K$181:$K$187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8D-4F26-993E-743E1B95F6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date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Offset val="100"/>
        <c:baseTimeUnit val="days"/>
      </c:date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FIF 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Report'!$H$193:$H$195</c:f>
              <c:strCache>
                <c:ptCount val="3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Report'!$A$196:$A$199</c:f>
              <c:numCache>
                <c:formatCode>General</c:formatCode>
                <c:ptCount val="4"/>
                <c:pt idx="0">
                  <c:v>9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</c:numCache>
            </c:numRef>
          </c:cat>
          <c:val>
            <c:numRef>
              <c:f>'CO Daily Flash Report'!$H$196:$H$199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D-4F26-993E-743E1B95F6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cat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Algn val="ctr"/>
        <c:lblOffset val="100"/>
        <c:noMultiLvlLbl val="0"/>
      </c:cat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FIF 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Report'!$H$202:$H$204</c:f>
              <c:strCache>
                <c:ptCount val="3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Report'!$A$205:$A$208</c:f>
              <c:numCache>
                <c:formatCode>0_);[Red]\(0\)</c:formatCode>
                <c:ptCount val="4"/>
                <c:pt idx="0">
                  <c:v>47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</c:numCache>
            </c:numRef>
          </c:cat>
          <c:val>
            <c:numRef>
              <c:f>'CO Daily Flash Report'!$H$205:$H$208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D-4F26-993E-743E1B95F6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cat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Algn val="ctr"/>
        <c:lblOffset val="100"/>
        <c:noMultiLvlLbl val="0"/>
      </c:cat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SWA Paragon 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Report'!$I$214:$I$216</c:f>
              <c:strCache>
                <c:ptCount val="3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Report'!$A$217:$A$220</c:f>
              <c:numCache>
                <c:formatCode>General</c:formatCode>
                <c:ptCount val="4"/>
                <c:pt idx="0">
                  <c:v>47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</c:numCache>
            </c:numRef>
          </c:cat>
          <c:val>
            <c:numRef>
              <c:f>'CO Daily Flash Report'!$I$217:$I$220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D-4F26-993E-743E1B95F6BC}"/>
            </c:ext>
          </c:extLst>
        </c:ser>
        <c:ser>
          <c:idx val="1"/>
          <c:order val="1"/>
          <c:tx>
            <c:strRef>
              <c:f>'CO Daily Flash Report'!$J$214:$J$216</c:f>
              <c:strCache>
                <c:ptCount val="3"/>
                <c:pt idx="0">
                  <c:v>CI DPMO</c:v>
                </c:pt>
              </c:strCache>
            </c:strRef>
          </c:tx>
          <c:spPr>
            <a:solidFill>
              <a:srgbClr val="F2BB0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Report'!$A$217:$A$220</c:f>
              <c:numCache>
                <c:formatCode>General</c:formatCode>
                <c:ptCount val="4"/>
                <c:pt idx="0">
                  <c:v>47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</c:numCache>
            </c:numRef>
          </c:cat>
          <c:val>
            <c:numRef>
              <c:f>'CO Daily Flash Report'!$J$217:$J$220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8D-4F26-993E-743E1B95F6BC}"/>
            </c:ext>
          </c:extLst>
        </c:ser>
        <c:ser>
          <c:idx val="2"/>
          <c:order val="2"/>
          <c:tx>
            <c:strRef>
              <c:f>'CO Daily Flash Report'!$K$214:$K$216</c:f>
              <c:strCache>
                <c:ptCount val="3"/>
                <c:pt idx="0">
                  <c:v>NCI</c:v>
                </c:pt>
              </c:strCache>
            </c:strRef>
          </c:tx>
          <c:spPr>
            <a:solidFill>
              <a:sysClr val="windowText" lastClr="0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Report'!$A$217:$A$220</c:f>
              <c:numCache>
                <c:formatCode>General</c:formatCode>
                <c:ptCount val="4"/>
                <c:pt idx="0">
                  <c:v>47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</c:numCache>
            </c:numRef>
          </c:cat>
          <c:val>
            <c:numRef>
              <c:f>'CO Daily Flash Report'!$K$217:$K$220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8D-4F26-993E-743E1B95F6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cat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Algn val="ctr"/>
        <c:lblOffset val="100"/>
        <c:noMultiLvlLbl val="0"/>
      </c:cat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SWA Paragon 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Report'!$I$223:$I$225</c:f>
              <c:strCache>
                <c:ptCount val="3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Report'!$A$226:$A$232</c:f>
              <c:numCache>
                <c:formatCode>m/d/yyyy</c:formatCode>
                <c:ptCount val="7"/>
                <c:pt idx="0">
                  <c:v>45630</c:v>
                </c:pt>
                <c:pt idx="1">
                  <c:v>45631</c:v>
                </c:pt>
                <c:pt idx="2">
                  <c:v>45632</c:v>
                </c:pt>
                <c:pt idx="3">
                  <c:v>45633</c:v>
                </c:pt>
                <c:pt idx="4">
                  <c:v>45634</c:v>
                </c:pt>
                <c:pt idx="5">
                  <c:v>45635</c:v>
                </c:pt>
                <c:pt idx="6">
                  <c:v>45636</c:v>
                </c:pt>
              </c:numCache>
            </c:numRef>
          </c:cat>
          <c:val>
            <c:numRef>
              <c:f>'CO Daily Flash Report'!$I$226:$I$232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D-4F26-993E-743E1B95F6BC}"/>
            </c:ext>
          </c:extLst>
        </c:ser>
        <c:ser>
          <c:idx val="1"/>
          <c:order val="1"/>
          <c:tx>
            <c:strRef>
              <c:f>'CO Daily Flash Report'!$J$223:$J$225</c:f>
              <c:strCache>
                <c:ptCount val="3"/>
                <c:pt idx="0">
                  <c:v>CI DPMO</c:v>
                </c:pt>
              </c:strCache>
            </c:strRef>
          </c:tx>
          <c:spPr>
            <a:solidFill>
              <a:srgbClr val="F2BB0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Report'!$A$226:$A$232</c:f>
              <c:numCache>
                <c:formatCode>m/d/yyyy</c:formatCode>
                <c:ptCount val="7"/>
                <c:pt idx="0">
                  <c:v>45630</c:v>
                </c:pt>
                <c:pt idx="1">
                  <c:v>45631</c:v>
                </c:pt>
                <c:pt idx="2">
                  <c:v>45632</c:v>
                </c:pt>
                <c:pt idx="3">
                  <c:v>45633</c:v>
                </c:pt>
                <c:pt idx="4">
                  <c:v>45634</c:v>
                </c:pt>
                <c:pt idx="5">
                  <c:v>45635</c:v>
                </c:pt>
                <c:pt idx="6">
                  <c:v>45636</c:v>
                </c:pt>
              </c:numCache>
            </c:numRef>
          </c:cat>
          <c:val>
            <c:numRef>
              <c:f>'CO Daily Flash Report'!$J$226:$J$232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8D-4F26-993E-743E1B95F6BC}"/>
            </c:ext>
          </c:extLst>
        </c:ser>
        <c:ser>
          <c:idx val="2"/>
          <c:order val="2"/>
          <c:tx>
            <c:strRef>
              <c:f>'CO Daily Flash Report'!$K$223:$K$225</c:f>
              <c:strCache>
                <c:ptCount val="3"/>
                <c:pt idx="0">
                  <c:v>NCI</c:v>
                </c:pt>
              </c:strCache>
            </c:strRef>
          </c:tx>
          <c:spPr>
            <a:solidFill>
              <a:sysClr val="windowText" lastClr="0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Report'!$A$226:$A$232</c:f>
              <c:numCache>
                <c:formatCode>m/d/yyyy</c:formatCode>
                <c:ptCount val="7"/>
                <c:pt idx="0">
                  <c:v>45630</c:v>
                </c:pt>
                <c:pt idx="1">
                  <c:v>45631</c:v>
                </c:pt>
                <c:pt idx="2">
                  <c:v>45632</c:v>
                </c:pt>
                <c:pt idx="3">
                  <c:v>45633</c:v>
                </c:pt>
                <c:pt idx="4">
                  <c:v>45634</c:v>
                </c:pt>
                <c:pt idx="5">
                  <c:v>45635</c:v>
                </c:pt>
                <c:pt idx="6">
                  <c:v>45636</c:v>
                </c:pt>
              </c:numCache>
            </c:numRef>
          </c:cat>
          <c:val>
            <c:numRef>
              <c:f>'CO Daily Flash Report'!$K$226:$K$232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8D-4F26-993E-743E1B95F6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date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Offset val="100"/>
        <c:baseTimeUnit val="days"/>
      </c:date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ORSA Intervention 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Report'!$H$238:$H$240</c:f>
              <c:strCache>
                <c:ptCount val="3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Report'!$A$241:$A$244</c:f>
              <c:numCache>
                <c:formatCode>General</c:formatCode>
                <c:ptCount val="4"/>
                <c:pt idx="0">
                  <c:v>9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</c:numCache>
            </c:numRef>
          </c:cat>
          <c:val>
            <c:numRef>
              <c:f>'CO Daily Flash Report'!$H$241:$H$244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D-4F26-993E-743E1B95F6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cat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Algn val="ctr"/>
        <c:lblOffset val="100"/>
        <c:noMultiLvlLbl val="0"/>
      </c:cat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ORSA Intervention 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Report'!$H$247:$H$249</c:f>
              <c:strCache>
                <c:ptCount val="3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Report'!$A$250:$A$253</c:f>
              <c:numCache>
                <c:formatCode>0_);[Red]\(0\)</c:formatCode>
                <c:ptCount val="4"/>
                <c:pt idx="0">
                  <c:v>47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</c:numCache>
            </c:numRef>
          </c:cat>
          <c:val>
            <c:numRef>
              <c:f>'CO Daily Flash Report'!$H$250:$H$253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D-4F26-993E-743E1B95F6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cat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Algn val="ctr"/>
        <c:lblOffset val="100"/>
        <c:noMultiLvlLbl val="0"/>
      </c:cat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AFS Backlog 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Report'!$H$73:$H$75</c:f>
              <c:strCache>
                <c:ptCount val="3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Report'!$A$76:$A$79</c:f>
              <c:numCache>
                <c:formatCode>General</c:formatCode>
                <c:ptCount val="4"/>
                <c:pt idx="0">
                  <c:v>47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</c:numCache>
            </c:numRef>
          </c:cat>
          <c:val>
            <c:numRef>
              <c:f>'CO Daily Flash Report'!$H$76:$H$79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D-4F26-993E-743E1B95F6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'CO Daily Flash Report'!$J$73:$J$75</c15:sqref>
                        </c15:formulaRef>
                      </c:ext>
                    </c:extLst>
                    <c:strCache>
                      <c:ptCount val="3"/>
                      <c:pt idx="0">
                        <c:v>CI DPMO</c:v>
                      </c:pt>
                    </c:strCache>
                  </c:strRef>
                </c:tx>
                <c:spPr>
                  <a:solidFill>
                    <a:srgbClr val="F2BB05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'CO Daily Flash Report'!$A$76:$A$79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47</c:v>
                      </c:pt>
                      <c:pt idx="1">
                        <c:v>48</c:v>
                      </c:pt>
                      <c:pt idx="2">
                        <c:v>49</c:v>
                      </c:pt>
                      <c:pt idx="3">
                        <c:v>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 Daily Flash Report'!$J$76:$J$79</c15:sqref>
                        </c15:formulaRef>
                      </c:ext>
                    </c:extLst>
                    <c:numCache>
                      <c:formatCode>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6B8D-4F26-993E-743E1B95F6BC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 Daily Flash Report'!$K$73:$K$75</c15:sqref>
                        </c15:formulaRef>
                      </c:ext>
                    </c:extLst>
                    <c:strCache>
                      <c:ptCount val="3"/>
                      <c:pt idx="0">
                        <c:v>NCI</c:v>
                      </c:pt>
                    </c:strCache>
                  </c:strRef>
                </c:tx>
                <c:spPr>
                  <a:solidFill>
                    <a:sysClr val="windowText" lastClr="000000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 Daily Flash Report'!$A$76:$A$79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47</c:v>
                      </c:pt>
                      <c:pt idx="1">
                        <c:v>48</c:v>
                      </c:pt>
                      <c:pt idx="2">
                        <c:v>49</c:v>
                      </c:pt>
                      <c:pt idx="3">
                        <c:v>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 Daily Flash Report'!$K$76:$K$79</c15:sqref>
                        </c15:formulaRef>
                      </c:ext>
                    </c:extLst>
                    <c:numCache>
                      <c:formatCode>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B8D-4F26-993E-743E1B95F6BC}"/>
                  </c:ext>
                </c:extLst>
              </c15:ser>
            </c15:filteredBarSeries>
          </c:ext>
        </c:extLst>
      </c:barChart>
      <c:cat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Algn val="ctr"/>
        <c:lblOffset val="100"/>
        <c:noMultiLvlLbl val="0"/>
      </c:cat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AFS Backlog 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Report'!$H$82</c:f>
              <c:strCache>
                <c:ptCount val="1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'CO Daily Flash Report'!$H$85:$H$91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D-4F26-993E-743E1B95F6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'CO Daily Flash Report'!$J$82:$J$84</c15:sqref>
                        </c15:formulaRef>
                      </c:ext>
                    </c:extLst>
                    <c:strCache>
                      <c:ptCount val="3"/>
                      <c:pt idx="0">
                        <c:v>CI DPMO</c:v>
                      </c:pt>
                    </c:strCache>
                  </c:strRef>
                </c:tx>
                <c:spPr>
                  <a:solidFill>
                    <a:srgbClr val="F2BB05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'CO Daily Flash Report'!$A$85:$A$91</c15:sqref>
                        </c15:formulaRef>
                      </c:ext>
                    </c:extLst>
                    <c:numCache>
                      <c:formatCode>m/d/yyyy</c:formatCode>
                      <c:ptCount val="7"/>
                      <c:pt idx="0">
                        <c:v>45630</c:v>
                      </c:pt>
                      <c:pt idx="1">
                        <c:v>45631</c:v>
                      </c:pt>
                      <c:pt idx="2">
                        <c:v>45632</c:v>
                      </c:pt>
                      <c:pt idx="3">
                        <c:v>45633</c:v>
                      </c:pt>
                      <c:pt idx="4">
                        <c:v>45634</c:v>
                      </c:pt>
                      <c:pt idx="5">
                        <c:v>45635</c:v>
                      </c:pt>
                      <c:pt idx="6">
                        <c:v>45636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 Daily Flash Report'!$J$85:$J$91</c15:sqref>
                        </c15:formulaRef>
                      </c:ext>
                    </c:extLst>
                    <c:numCache>
                      <c:formatCode>0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6B8D-4F26-993E-743E1B95F6BC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 Daily Flash Report'!$K$82:$K$84</c15:sqref>
                        </c15:formulaRef>
                      </c:ext>
                    </c:extLst>
                    <c:strCache>
                      <c:ptCount val="3"/>
                      <c:pt idx="0">
                        <c:v>NCI</c:v>
                      </c:pt>
                    </c:strCache>
                  </c:strRef>
                </c:tx>
                <c:spPr>
                  <a:solidFill>
                    <a:sysClr val="windowText" lastClr="000000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 Daily Flash Report'!$A$85:$A$91</c15:sqref>
                        </c15:formulaRef>
                      </c:ext>
                    </c:extLst>
                    <c:numCache>
                      <c:formatCode>m/d/yyyy</c:formatCode>
                      <c:ptCount val="7"/>
                      <c:pt idx="0">
                        <c:v>45630</c:v>
                      </c:pt>
                      <c:pt idx="1">
                        <c:v>45631</c:v>
                      </c:pt>
                      <c:pt idx="2">
                        <c:v>45632</c:v>
                      </c:pt>
                      <c:pt idx="3">
                        <c:v>45633</c:v>
                      </c:pt>
                      <c:pt idx="4">
                        <c:v>45634</c:v>
                      </c:pt>
                      <c:pt idx="5">
                        <c:v>45635</c:v>
                      </c:pt>
                      <c:pt idx="6">
                        <c:v>45636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 Daily Flash Report'!$K$85:$K$91</c15:sqref>
                        </c15:formulaRef>
                      </c:ext>
                    </c:extLst>
                    <c:numCache>
                      <c:formatCode>0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B8D-4F26-993E-743E1B95F6BC}"/>
                  </c:ext>
                </c:extLst>
              </c15:ser>
            </c15:filteredBarSeries>
          </c:ext>
        </c:extLst>
      </c:barChart>
      <c:cat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Algn val="ctr"/>
        <c:lblOffset val="100"/>
        <c:noMultiLvlLbl val="0"/>
      </c:cat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effectLst/>
              </a:rPr>
              <a:t>Weekly MOPAR Manual Captures</a:t>
            </a:r>
            <a:r>
              <a:rPr lang="en-US" sz="1600" b="1" i="0" u="none" strike="noStrike" baseline="0"/>
              <a:t> </a:t>
            </a:r>
            <a:r>
              <a:rPr lang="en-US"/>
              <a:t>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Report'!$H$307:$H$309</c:f>
              <c:strCache>
                <c:ptCount val="3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Report'!$A$310:$A$313</c:f>
              <c:numCache>
                <c:formatCode>General</c:formatCode>
                <c:ptCount val="4"/>
                <c:pt idx="0">
                  <c:v>47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</c:numCache>
            </c:numRef>
          </c:cat>
          <c:val>
            <c:numRef>
              <c:f>'CO Daily Flash Report'!$H$310:$H$313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F-49A3-B909-4845FFCCBB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cat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Algn val="ctr"/>
        <c:lblOffset val="100"/>
        <c:noMultiLvlLbl val="0"/>
      </c:cat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</a:t>
            </a:r>
            <a:r>
              <a:rPr lang="en-US" sz="1600" b="1" i="0" u="none" strike="noStrike" baseline="0">
                <a:effectLst/>
              </a:rPr>
              <a:t>MOPAR Manual Captures</a:t>
            </a:r>
            <a:r>
              <a:rPr lang="en-US" sz="1600" b="1" i="0" u="none" strike="noStrike" baseline="0"/>
              <a:t> </a:t>
            </a:r>
            <a:r>
              <a:rPr lang="en-US"/>
              <a:t>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Report'!$H$316:$H$318</c:f>
              <c:strCache>
                <c:ptCount val="3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Report'!$A$319:$A$325</c:f>
              <c:numCache>
                <c:formatCode>m/d/yyyy</c:formatCode>
                <c:ptCount val="7"/>
                <c:pt idx="0">
                  <c:v>45630</c:v>
                </c:pt>
                <c:pt idx="1">
                  <c:v>45631</c:v>
                </c:pt>
                <c:pt idx="2">
                  <c:v>45632</c:v>
                </c:pt>
                <c:pt idx="3">
                  <c:v>45633</c:v>
                </c:pt>
                <c:pt idx="4">
                  <c:v>45634</c:v>
                </c:pt>
                <c:pt idx="5">
                  <c:v>45635</c:v>
                </c:pt>
                <c:pt idx="6">
                  <c:v>45636</c:v>
                </c:pt>
              </c:numCache>
            </c:numRef>
          </c:cat>
          <c:val>
            <c:numRef>
              <c:f>'CO Daily Flash Report'!$H$319:$H$325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BB-4ABC-975D-407FE0895AD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date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Offset val="100"/>
        <c:baseTimeUnit val="days"/>
      </c:date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effectLst/>
              </a:rPr>
              <a:t>Weekly ORSA Invalids </a:t>
            </a:r>
            <a:r>
              <a:rPr lang="en-US"/>
              <a:t>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Report'!$H$283</c:f>
              <c:strCache>
                <c:ptCount val="1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Report'!$A$286:$A$289</c:f>
              <c:numCache>
                <c:formatCode>0_);[Red]\(0\)</c:formatCode>
                <c:ptCount val="4"/>
                <c:pt idx="0">
                  <c:v>47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</c:numCache>
            </c:numRef>
          </c:cat>
          <c:val>
            <c:numRef>
              <c:f>'CO Daily Flash Report'!$H$286:$H$289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C9-4B39-A7BE-1C486AA5BA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cat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Algn val="ctr"/>
        <c:lblOffset val="100"/>
        <c:noMultiLvlLbl val="0"/>
      </c:cat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</a:t>
            </a:r>
            <a:r>
              <a:rPr lang="en-US" sz="1600" b="1" i="0" u="none" strike="noStrike" baseline="0">
                <a:effectLst/>
              </a:rPr>
              <a:t>ORSA Invalids </a:t>
            </a:r>
            <a:r>
              <a:rPr lang="en-US"/>
              <a:t>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Report'!$H$292</c:f>
              <c:strCache>
                <c:ptCount val="1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Report'!$A$295:$A$301</c:f>
              <c:numCache>
                <c:formatCode>m/d/yyyy</c:formatCode>
                <c:ptCount val="7"/>
                <c:pt idx="0">
                  <c:v>45630</c:v>
                </c:pt>
                <c:pt idx="1">
                  <c:v>45631</c:v>
                </c:pt>
                <c:pt idx="2">
                  <c:v>45632</c:v>
                </c:pt>
                <c:pt idx="3">
                  <c:v>45633</c:v>
                </c:pt>
                <c:pt idx="4">
                  <c:v>45634</c:v>
                </c:pt>
                <c:pt idx="5">
                  <c:v>45635</c:v>
                </c:pt>
                <c:pt idx="6">
                  <c:v>45636</c:v>
                </c:pt>
              </c:numCache>
            </c:numRef>
          </c:cat>
          <c:val>
            <c:numRef>
              <c:f>'CO Daily Flash Report'!$H$295:$H$301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12-43AC-8649-192695E0A1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date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Offset val="100"/>
        <c:baseTimeUnit val="days"/>
      </c:date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effectLst/>
              </a:rPr>
              <a:t>Weekly ORSA Valids</a:t>
            </a:r>
            <a:r>
              <a:rPr lang="en-US" sz="1600" b="1" i="0" u="none" strike="noStrike" baseline="0"/>
              <a:t> </a:t>
            </a:r>
            <a:r>
              <a:rPr lang="en-US"/>
              <a:t>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Report'!$H$259</c:f>
              <c:strCache>
                <c:ptCount val="1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Report'!$A$262:$A$265</c:f>
              <c:numCache>
                <c:formatCode>0_);[Red]\(0\)</c:formatCode>
                <c:ptCount val="4"/>
                <c:pt idx="0">
                  <c:v>47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</c:numCache>
            </c:numRef>
          </c:cat>
          <c:val>
            <c:numRef>
              <c:f>'CO Daily Flash Report'!$H$262:$H$265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A7-466A-B73C-A783EA78BE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cat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Algn val="ctr"/>
        <c:lblOffset val="100"/>
        <c:noMultiLvlLbl val="0"/>
      </c:cat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</a:t>
            </a:r>
            <a:r>
              <a:rPr lang="en-US" sz="1600" b="1" i="0" u="none" strike="noStrike" baseline="0">
                <a:effectLst/>
              </a:rPr>
              <a:t>ORSA Valids</a:t>
            </a:r>
            <a:r>
              <a:rPr lang="en-US" sz="1600" b="1" i="0" u="none" strike="noStrike" baseline="0"/>
              <a:t> </a:t>
            </a:r>
            <a:r>
              <a:rPr lang="en-US"/>
              <a:t>DPMO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90543067131279E-2"/>
          <c:y val="0.20070418030597903"/>
          <c:w val="0.90275393654828429"/>
          <c:h val="0.56536915295272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 Daily Flash Report'!$H$268</c:f>
              <c:strCache>
                <c:ptCount val="1"/>
                <c:pt idx="0">
                  <c:v>Total DPMO</c:v>
                </c:pt>
              </c:strCache>
            </c:strRef>
          </c:tx>
          <c:spPr>
            <a:solidFill>
              <a:srgbClr val="1453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 Daily Flash Report'!$A$271:$A$277</c:f>
              <c:numCache>
                <c:formatCode>m/d/yyyy</c:formatCode>
                <c:ptCount val="7"/>
                <c:pt idx="0">
                  <c:v>45630</c:v>
                </c:pt>
                <c:pt idx="1">
                  <c:v>45631</c:v>
                </c:pt>
                <c:pt idx="2">
                  <c:v>45632</c:v>
                </c:pt>
                <c:pt idx="3">
                  <c:v>45633</c:v>
                </c:pt>
                <c:pt idx="4">
                  <c:v>45634</c:v>
                </c:pt>
                <c:pt idx="5">
                  <c:v>45635</c:v>
                </c:pt>
                <c:pt idx="6">
                  <c:v>45636</c:v>
                </c:pt>
              </c:numCache>
            </c:numRef>
          </c:cat>
          <c:val>
            <c:numRef>
              <c:f>'CO Daily Flash Report'!$H$271:$H$277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A1-4D8C-8612-4B1935CF9D7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4"/>
        <c:overlap val="-100"/>
        <c:axId val="1550040096"/>
        <c:axId val="1550041344"/>
      </c:barChart>
      <c:dateAx>
        <c:axId val="155004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1344"/>
        <c:crosses val="autoZero"/>
        <c:auto val="1"/>
        <c:lblOffset val="100"/>
        <c:baseTimeUnit val="days"/>
      </c:dateAx>
      <c:valAx>
        <c:axId val="155004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0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8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0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8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9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0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612912</xdr:colOff>
      <xdr:row>37</xdr:row>
      <xdr:rowOff>132526</xdr:rowOff>
    </xdr:from>
    <xdr:to>
      <xdr:col>18</xdr:col>
      <xdr:colOff>281608</xdr:colOff>
      <xdr:row>54</xdr:row>
      <xdr:rowOff>132526</xdr:rowOff>
    </xdr:to>
    <xdr:graphicFrame macro="">
      <xdr:nvGraphicFramePr>
        <xdr:cNvPr id="18" name="AFS_Weekly">
          <a:extLst>
            <a:ext uri="{FF2B5EF4-FFF2-40B4-BE49-F238E27FC236}">
              <a16:creationId xmlns:a16="http://schemas.microsoft.com/office/drawing/2014/main" id="{827B8692-0E05-4BB7-A227-FB2BEDB4DB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38</xdr:row>
      <xdr:rowOff>8280</xdr:rowOff>
    </xdr:from>
    <xdr:to>
      <xdr:col>27</xdr:col>
      <xdr:colOff>323022</xdr:colOff>
      <xdr:row>55</xdr:row>
      <xdr:rowOff>8280</xdr:rowOff>
    </xdr:to>
    <xdr:graphicFrame macro="">
      <xdr:nvGraphicFramePr>
        <xdr:cNvPr id="19" name="AFS_Daily">
          <a:extLst>
            <a:ext uri="{FF2B5EF4-FFF2-40B4-BE49-F238E27FC236}">
              <a16:creationId xmlns:a16="http://schemas.microsoft.com/office/drawing/2014/main" id="{4B66ED7C-AE23-4752-8ED8-9CAE8D06FB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85</xdr:row>
      <xdr:rowOff>132524</xdr:rowOff>
    </xdr:from>
    <xdr:to>
      <xdr:col>18</xdr:col>
      <xdr:colOff>273326</xdr:colOff>
      <xdr:row>102</xdr:row>
      <xdr:rowOff>132524</xdr:rowOff>
    </xdr:to>
    <xdr:graphicFrame macro="">
      <xdr:nvGraphicFramePr>
        <xdr:cNvPr id="13" name="Ungrounding_Weekly">
          <a:extLst>
            <a:ext uri="{FF2B5EF4-FFF2-40B4-BE49-F238E27FC236}">
              <a16:creationId xmlns:a16="http://schemas.microsoft.com/office/drawing/2014/main" id="{2DD2A74B-7F9B-4A5C-B530-F48CCD2E5D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588065</xdr:colOff>
      <xdr:row>86</xdr:row>
      <xdr:rowOff>8281</xdr:rowOff>
    </xdr:from>
    <xdr:to>
      <xdr:col>27</xdr:col>
      <xdr:colOff>314740</xdr:colOff>
      <xdr:row>103</xdr:row>
      <xdr:rowOff>8281</xdr:rowOff>
    </xdr:to>
    <xdr:graphicFrame macro="">
      <xdr:nvGraphicFramePr>
        <xdr:cNvPr id="14" name="Ungrounding_Daily">
          <a:extLst>
            <a:ext uri="{FF2B5EF4-FFF2-40B4-BE49-F238E27FC236}">
              <a16:creationId xmlns:a16="http://schemas.microsoft.com/office/drawing/2014/main" id="{87354B97-8F2B-4DE4-AF14-30723459B5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612912</xdr:colOff>
      <xdr:row>110</xdr:row>
      <xdr:rowOff>5</xdr:rowOff>
    </xdr:from>
    <xdr:to>
      <xdr:col>18</xdr:col>
      <xdr:colOff>281608</xdr:colOff>
      <xdr:row>127</xdr:row>
      <xdr:rowOff>4</xdr:rowOff>
    </xdr:to>
    <xdr:graphicFrame macro="">
      <xdr:nvGraphicFramePr>
        <xdr:cNvPr id="15" name="PM_Weekly">
          <a:extLst>
            <a:ext uri="{FF2B5EF4-FFF2-40B4-BE49-F238E27FC236}">
              <a16:creationId xmlns:a16="http://schemas.microsoft.com/office/drawing/2014/main" id="{C7B523F9-F074-4378-A4AC-0AC9BD9A84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109</xdr:row>
      <xdr:rowOff>132526</xdr:rowOff>
    </xdr:from>
    <xdr:to>
      <xdr:col>27</xdr:col>
      <xdr:colOff>289892</xdr:colOff>
      <xdr:row>126</xdr:row>
      <xdr:rowOff>132526</xdr:rowOff>
    </xdr:to>
    <xdr:graphicFrame macro="">
      <xdr:nvGraphicFramePr>
        <xdr:cNvPr id="16" name="PM_Daily">
          <a:extLst>
            <a:ext uri="{FF2B5EF4-FFF2-40B4-BE49-F238E27FC236}">
              <a16:creationId xmlns:a16="http://schemas.microsoft.com/office/drawing/2014/main" id="{0FCEAD15-F674-4F2A-9036-15B576A92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612912</xdr:colOff>
      <xdr:row>134</xdr:row>
      <xdr:rowOff>0</xdr:rowOff>
    </xdr:from>
    <xdr:to>
      <xdr:col>18</xdr:col>
      <xdr:colOff>306456</xdr:colOff>
      <xdr:row>151</xdr:row>
      <xdr:rowOff>0</xdr:rowOff>
    </xdr:to>
    <xdr:graphicFrame macro="">
      <xdr:nvGraphicFramePr>
        <xdr:cNvPr id="17" name="VFC_Weekly">
          <a:extLst>
            <a:ext uri="{FF2B5EF4-FFF2-40B4-BE49-F238E27FC236}">
              <a16:creationId xmlns:a16="http://schemas.microsoft.com/office/drawing/2014/main" id="{5CA3F691-8ECF-4413-B60C-FFDDDB619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612912</xdr:colOff>
      <xdr:row>134</xdr:row>
      <xdr:rowOff>16563</xdr:rowOff>
    </xdr:from>
    <xdr:to>
      <xdr:col>27</xdr:col>
      <xdr:colOff>281608</xdr:colOff>
      <xdr:row>151</xdr:row>
      <xdr:rowOff>16563</xdr:rowOff>
    </xdr:to>
    <xdr:graphicFrame macro="">
      <xdr:nvGraphicFramePr>
        <xdr:cNvPr id="20" name="VFC_Daily">
          <a:extLst>
            <a:ext uri="{FF2B5EF4-FFF2-40B4-BE49-F238E27FC236}">
              <a16:creationId xmlns:a16="http://schemas.microsoft.com/office/drawing/2014/main" id="{AFB854D4-9CEE-469E-8DF0-8BA55AAE35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612912</xdr:colOff>
      <xdr:row>157</xdr:row>
      <xdr:rowOff>124243</xdr:rowOff>
    </xdr:from>
    <xdr:to>
      <xdr:col>18</xdr:col>
      <xdr:colOff>289890</xdr:colOff>
      <xdr:row>174</xdr:row>
      <xdr:rowOff>124243</xdr:rowOff>
    </xdr:to>
    <xdr:graphicFrame macro="">
      <xdr:nvGraphicFramePr>
        <xdr:cNvPr id="21" name="Reimbursement_Weekly">
          <a:extLst>
            <a:ext uri="{FF2B5EF4-FFF2-40B4-BE49-F238E27FC236}">
              <a16:creationId xmlns:a16="http://schemas.microsoft.com/office/drawing/2014/main" id="{F54799DB-0A74-4440-A4C1-2D0BC422D9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157</xdr:row>
      <xdr:rowOff>132529</xdr:rowOff>
    </xdr:from>
    <xdr:to>
      <xdr:col>27</xdr:col>
      <xdr:colOff>289892</xdr:colOff>
      <xdr:row>174</xdr:row>
      <xdr:rowOff>132529</xdr:rowOff>
    </xdr:to>
    <xdr:graphicFrame macro="">
      <xdr:nvGraphicFramePr>
        <xdr:cNvPr id="22" name="Reimbursement_Daily">
          <a:extLst>
            <a:ext uri="{FF2B5EF4-FFF2-40B4-BE49-F238E27FC236}">
              <a16:creationId xmlns:a16="http://schemas.microsoft.com/office/drawing/2014/main" id="{5A717438-271E-4A78-B330-A1B7130BC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0</xdr:row>
      <xdr:rowOff>0</xdr:rowOff>
    </xdr:from>
    <xdr:to>
      <xdr:col>20</xdr:col>
      <xdr:colOff>616324</xdr:colOff>
      <xdr:row>8</xdr:row>
      <xdr:rowOff>130099</xdr:rowOff>
    </xdr:to>
    <xdr:sp macro="[0]!Generate_Email_Report" textlink="">
      <xdr:nvSpPr>
        <xdr:cNvPr id="26" name="Rectangle 25">
          <a:extLst>
            <a:ext uri="{FF2B5EF4-FFF2-40B4-BE49-F238E27FC236}">
              <a16:creationId xmlns:a16="http://schemas.microsoft.com/office/drawing/2014/main" id="{D33C4323-285C-472A-9557-64AC7F4728B7}"/>
            </a:ext>
          </a:extLst>
        </xdr:cNvPr>
        <xdr:cNvSpPr/>
      </xdr:nvSpPr>
      <xdr:spPr>
        <a:xfrm>
          <a:off x="10970559" y="0"/>
          <a:ext cx="2498912" cy="1205864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GENERATE E-MAIL REPORT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25</xdr:col>
      <xdr:colOff>620134</xdr:colOff>
      <xdr:row>8</xdr:row>
      <xdr:rowOff>130099</xdr:rowOff>
    </xdr:to>
    <xdr:sp macro="[0]!Py_Clear_Sims" textlink="">
      <xdr:nvSpPr>
        <xdr:cNvPr id="23" name="Rectangle 22">
          <a:extLst>
            <a:ext uri="{FF2B5EF4-FFF2-40B4-BE49-F238E27FC236}">
              <a16:creationId xmlns:a16="http://schemas.microsoft.com/office/drawing/2014/main" id="{E4958C3E-B889-43D9-8A67-3757FFE38CB0}"/>
            </a:ext>
          </a:extLst>
        </xdr:cNvPr>
        <xdr:cNvSpPr/>
      </xdr:nvSpPr>
      <xdr:spPr>
        <a:xfrm>
          <a:off x="14108206" y="0"/>
          <a:ext cx="2502722" cy="1205864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CLEAR</a:t>
          </a:r>
          <a:r>
            <a:rPr lang="en-US" sz="2400" baseline="0"/>
            <a:t> SIMS</a:t>
          </a:r>
        </a:p>
      </xdr:txBody>
    </xdr:sp>
    <xdr:clientData/>
  </xdr:twoCellAnchor>
  <xdr:twoCellAnchor>
    <xdr:from>
      <xdr:col>11</xdr:col>
      <xdr:colOff>612912</xdr:colOff>
      <xdr:row>181</xdr:row>
      <xdr:rowOff>132523</xdr:rowOff>
    </xdr:from>
    <xdr:to>
      <xdr:col>18</xdr:col>
      <xdr:colOff>281608</xdr:colOff>
      <xdr:row>198</xdr:row>
      <xdr:rowOff>132524</xdr:rowOff>
    </xdr:to>
    <xdr:graphicFrame macro="">
      <xdr:nvGraphicFramePr>
        <xdr:cNvPr id="24" name="FIF_Weekly">
          <a:extLst>
            <a:ext uri="{FF2B5EF4-FFF2-40B4-BE49-F238E27FC236}">
              <a16:creationId xmlns:a16="http://schemas.microsoft.com/office/drawing/2014/main" id="{37EC078D-8B7C-4A24-A66C-57CA593719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612912</xdr:colOff>
      <xdr:row>182</xdr:row>
      <xdr:rowOff>16562</xdr:rowOff>
    </xdr:from>
    <xdr:to>
      <xdr:col>27</xdr:col>
      <xdr:colOff>306456</xdr:colOff>
      <xdr:row>199</xdr:row>
      <xdr:rowOff>16562</xdr:rowOff>
    </xdr:to>
    <xdr:graphicFrame macro="">
      <xdr:nvGraphicFramePr>
        <xdr:cNvPr id="25" name="FIF_Daily">
          <a:extLst>
            <a:ext uri="{FF2B5EF4-FFF2-40B4-BE49-F238E27FC236}">
              <a16:creationId xmlns:a16="http://schemas.microsoft.com/office/drawing/2014/main" id="{0E32584C-7BE2-4394-8DE1-91B4CC55C8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612912</xdr:colOff>
      <xdr:row>203</xdr:row>
      <xdr:rowOff>8283</xdr:rowOff>
    </xdr:from>
    <xdr:to>
      <xdr:col>18</xdr:col>
      <xdr:colOff>289890</xdr:colOff>
      <xdr:row>220</xdr:row>
      <xdr:rowOff>8283</xdr:rowOff>
    </xdr:to>
    <xdr:graphicFrame macro="">
      <xdr:nvGraphicFramePr>
        <xdr:cNvPr id="33" name="SWA_Paragon_Weekly">
          <a:extLst>
            <a:ext uri="{FF2B5EF4-FFF2-40B4-BE49-F238E27FC236}">
              <a16:creationId xmlns:a16="http://schemas.microsoft.com/office/drawing/2014/main" id="{AFDE236E-FE12-4F76-AFE6-8344ECBD0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19</xdr:col>
      <xdr:colOff>0</xdr:colOff>
      <xdr:row>202</xdr:row>
      <xdr:rowOff>115960</xdr:rowOff>
    </xdr:from>
    <xdr:to>
      <xdr:col>27</xdr:col>
      <xdr:colOff>298174</xdr:colOff>
      <xdr:row>219</xdr:row>
      <xdr:rowOff>115960</xdr:rowOff>
    </xdr:to>
    <xdr:graphicFrame macro="">
      <xdr:nvGraphicFramePr>
        <xdr:cNvPr id="34" name="SWA_Paragon_Daily">
          <a:extLst>
            <a:ext uri="{FF2B5EF4-FFF2-40B4-BE49-F238E27FC236}">
              <a16:creationId xmlns:a16="http://schemas.microsoft.com/office/drawing/2014/main" id="{F01EE262-4999-45BC-8B29-162194651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</xdr:col>
      <xdr:colOff>0</xdr:colOff>
      <xdr:row>227</xdr:row>
      <xdr:rowOff>8282</xdr:rowOff>
    </xdr:from>
    <xdr:to>
      <xdr:col>18</xdr:col>
      <xdr:colOff>265044</xdr:colOff>
      <xdr:row>244</xdr:row>
      <xdr:rowOff>8282</xdr:rowOff>
    </xdr:to>
    <xdr:graphicFrame macro="">
      <xdr:nvGraphicFramePr>
        <xdr:cNvPr id="35" name="ORSA_Intervention_Weekly">
          <a:extLst>
            <a:ext uri="{FF2B5EF4-FFF2-40B4-BE49-F238E27FC236}">
              <a16:creationId xmlns:a16="http://schemas.microsoft.com/office/drawing/2014/main" id="{92996ABA-8D52-4821-A888-82B0C50D5A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19</xdr:col>
      <xdr:colOff>0</xdr:colOff>
      <xdr:row>226</xdr:row>
      <xdr:rowOff>124247</xdr:rowOff>
    </xdr:from>
    <xdr:to>
      <xdr:col>27</xdr:col>
      <xdr:colOff>273326</xdr:colOff>
      <xdr:row>243</xdr:row>
      <xdr:rowOff>124246</xdr:rowOff>
    </xdr:to>
    <xdr:graphicFrame macro="">
      <xdr:nvGraphicFramePr>
        <xdr:cNvPr id="36" name="ORSA_Intervention_Daily">
          <a:extLst>
            <a:ext uri="{FF2B5EF4-FFF2-40B4-BE49-F238E27FC236}">
              <a16:creationId xmlns:a16="http://schemas.microsoft.com/office/drawing/2014/main" id="{75DDF27A-DFD4-414D-9531-244CA01753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11</xdr:col>
      <xdr:colOff>612912</xdr:colOff>
      <xdr:row>61</xdr:row>
      <xdr:rowOff>132524</xdr:rowOff>
    </xdr:from>
    <xdr:to>
      <xdr:col>18</xdr:col>
      <xdr:colOff>289890</xdr:colOff>
      <xdr:row>78</xdr:row>
      <xdr:rowOff>132524</xdr:rowOff>
    </xdr:to>
    <xdr:graphicFrame macro="">
      <xdr:nvGraphicFramePr>
        <xdr:cNvPr id="27" name="AFS_Backlog_Weekly">
          <a:extLst>
            <a:ext uri="{FF2B5EF4-FFF2-40B4-BE49-F238E27FC236}">
              <a16:creationId xmlns:a16="http://schemas.microsoft.com/office/drawing/2014/main" id="{1B72F4E8-BB26-4A13-9ABD-D366273475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0</xdr:colOff>
      <xdr:row>61</xdr:row>
      <xdr:rowOff>124242</xdr:rowOff>
    </xdr:from>
    <xdr:to>
      <xdr:col>27</xdr:col>
      <xdr:colOff>323022</xdr:colOff>
      <xdr:row>78</xdr:row>
      <xdr:rowOff>124242</xdr:rowOff>
    </xdr:to>
    <xdr:graphicFrame macro="">
      <xdr:nvGraphicFramePr>
        <xdr:cNvPr id="28" name="AFS_Backlog_Daily">
          <a:extLst>
            <a:ext uri="{FF2B5EF4-FFF2-40B4-BE49-F238E27FC236}">
              <a16:creationId xmlns:a16="http://schemas.microsoft.com/office/drawing/2014/main" id="{325B2D94-7C06-4A8F-9B40-E9EC8F0072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12</xdr:col>
      <xdr:colOff>8283</xdr:colOff>
      <xdr:row>296</xdr:row>
      <xdr:rowOff>33130</xdr:rowOff>
    </xdr:from>
    <xdr:to>
      <xdr:col>18</xdr:col>
      <xdr:colOff>298174</xdr:colOff>
      <xdr:row>313</xdr:row>
      <xdr:rowOff>33131</xdr:rowOff>
    </xdr:to>
    <xdr:graphicFrame macro="">
      <xdr:nvGraphicFramePr>
        <xdr:cNvPr id="29" name="MOPAR_Manual_Captures_Weekly">
          <a:extLst>
            <a:ext uri="{FF2B5EF4-FFF2-40B4-BE49-F238E27FC236}">
              <a16:creationId xmlns:a16="http://schemas.microsoft.com/office/drawing/2014/main" id="{E2D4EB40-8BAE-426C-9C35-2ED8B12841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19</xdr:col>
      <xdr:colOff>306457</xdr:colOff>
      <xdr:row>296</xdr:row>
      <xdr:rowOff>16564</xdr:rowOff>
    </xdr:from>
    <xdr:to>
      <xdr:col>27</xdr:col>
      <xdr:colOff>602726</xdr:colOff>
      <xdr:row>313</xdr:row>
      <xdr:rowOff>33130</xdr:rowOff>
    </xdr:to>
    <xdr:graphicFrame macro="">
      <xdr:nvGraphicFramePr>
        <xdr:cNvPr id="30" name="MOPAR_Manual_Captures_Daily">
          <a:extLst>
            <a:ext uri="{FF2B5EF4-FFF2-40B4-BE49-F238E27FC236}">
              <a16:creationId xmlns:a16="http://schemas.microsoft.com/office/drawing/2014/main" id="{11CA9EE5-BE30-404C-ADA2-1B6B2A5A1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0</xdr:colOff>
      <xdr:row>271</xdr:row>
      <xdr:rowOff>132521</xdr:rowOff>
    </xdr:from>
    <xdr:to>
      <xdr:col>18</xdr:col>
      <xdr:colOff>289891</xdr:colOff>
      <xdr:row>288</xdr:row>
      <xdr:rowOff>132521</xdr:rowOff>
    </xdr:to>
    <xdr:graphicFrame macro="">
      <xdr:nvGraphicFramePr>
        <xdr:cNvPr id="31" name="ORSA_Invalids_Weekly">
          <a:extLst>
            <a:ext uri="{FF2B5EF4-FFF2-40B4-BE49-F238E27FC236}">
              <a16:creationId xmlns:a16="http://schemas.microsoft.com/office/drawing/2014/main" id="{A57879C8-3AB8-4A26-8B79-33BB019402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20</xdr:col>
      <xdr:colOff>0</xdr:colOff>
      <xdr:row>272</xdr:row>
      <xdr:rowOff>0</xdr:rowOff>
    </xdr:from>
    <xdr:to>
      <xdr:col>28</xdr:col>
      <xdr:colOff>296269</xdr:colOff>
      <xdr:row>289</xdr:row>
      <xdr:rowOff>16565</xdr:rowOff>
    </xdr:to>
    <xdr:graphicFrame macro="">
      <xdr:nvGraphicFramePr>
        <xdr:cNvPr id="32" name="ORSA_Invalids_Daily">
          <a:extLst>
            <a:ext uri="{FF2B5EF4-FFF2-40B4-BE49-F238E27FC236}">
              <a16:creationId xmlns:a16="http://schemas.microsoft.com/office/drawing/2014/main" id="{9A519BED-E11C-41D9-8EA3-9A9FBF4E03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12</xdr:col>
      <xdr:colOff>0</xdr:colOff>
      <xdr:row>248</xdr:row>
      <xdr:rowOff>0</xdr:rowOff>
    </xdr:from>
    <xdr:to>
      <xdr:col>18</xdr:col>
      <xdr:colOff>289891</xdr:colOff>
      <xdr:row>265</xdr:row>
      <xdr:rowOff>0</xdr:rowOff>
    </xdr:to>
    <xdr:graphicFrame macro="">
      <xdr:nvGraphicFramePr>
        <xdr:cNvPr id="37" name="ORSA_Valids_Weekly">
          <a:extLst>
            <a:ext uri="{FF2B5EF4-FFF2-40B4-BE49-F238E27FC236}">
              <a16:creationId xmlns:a16="http://schemas.microsoft.com/office/drawing/2014/main" id="{47BA4DF8-8202-4C61-83EC-6ED60E1984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20</xdr:col>
      <xdr:colOff>0</xdr:colOff>
      <xdr:row>248</xdr:row>
      <xdr:rowOff>0</xdr:rowOff>
    </xdr:from>
    <xdr:to>
      <xdr:col>28</xdr:col>
      <xdr:colOff>296269</xdr:colOff>
      <xdr:row>265</xdr:row>
      <xdr:rowOff>16565</xdr:rowOff>
    </xdr:to>
    <xdr:graphicFrame macro="">
      <xdr:nvGraphicFramePr>
        <xdr:cNvPr id="38" name="ORSA_Valids_Daily">
          <a:extLst>
            <a:ext uri="{FF2B5EF4-FFF2-40B4-BE49-F238E27FC236}">
              <a16:creationId xmlns:a16="http://schemas.microsoft.com/office/drawing/2014/main" id="{7F84DE0A-C10E-4F93-ABDE-AF81C35D40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707E1D9-1162-4D61-98A9-B3F47E96F5BD}" name="AFS_SIMs" displayName="AFS_SIMs" ref="A1:P2" totalsRowShown="0" headerRowDxfId="237" dataDxfId="235" headerRowBorderDxfId="236" tableBorderDxfId="234" totalsRowBorderDxfId="233">
  <autoFilter ref="A1:P2" xr:uid="{5707E1D9-1162-4D61-98A9-B3F47E96F5BD}"/>
  <sortState xmlns:xlrd2="http://schemas.microsoft.com/office/spreadsheetml/2017/richdata2" ref="A2:P2">
    <sortCondition descending="1" ref="H1:H2"/>
  </sortState>
  <tableColumns count="16">
    <tableColumn id="1" xr3:uid="{A05E9AA0-E76F-4B83-A44F-270F2437ACD8}" name="Issue Url"/>
    <tableColumn id="2" xr3:uid="{BB7194BD-F95E-45C4-BBCC-CC0D4A2EEA7E}" name="Title"/>
    <tableColumn id="3" xr3:uid="{62E533C6-10FC-4129-B4BC-D508909D8150}" name="Labels"/>
    <tableColumn id="4" xr3:uid="{F98AEB40-40C3-4C35-831A-A1E5B249EF64}" name="Data Status"/>
    <tableColumn id="5" xr3:uid="{ED416315-AA3F-4DFE-BBA6-D934BA6A9BA3}" name="Operator Follow-up Miss"/>
    <tableColumn id="6" xr3:uid="{85C62066-E886-4D17-9AC5-175FE916AA36}" name="False Resolution Miss"/>
    <tableColumn id="7" xr3:uid="{0589CFBB-AC96-406D-9438-BAC32E6B0784}" name="SLA Miss"/>
    <tableColumn id="9" xr3:uid="{DED8D6E8-99AC-451E-886E-BE2456AEDE19}" name="Ops Date" dataDxfId="232">
      <calculatedColumnFormula>_xlfn.LET(_xlpm.protoKey,
 TRIM(RIGHT(LEFT(AFS_SIMs[[#This Row],[Title]], IFERROR(
   SEARCH("/" &amp; TEXT(TODAY(), "YYYY") - 1, AFS_SIMs[[#This Row],[Title]]),
   SEARCH("/" &amp; TEXT(TODAY(), "YYYY"), AFS_SIMs[[#This Row],[Title]])) + 4), 10)),
 DATEVALUE(TEXT(IFERROR(IFERROR(
  MOD(LEFT(_xlpm.protoKey), 1) + _xlpm.protoKey,
  REPLACE(_xlpm.protoKey, 1, 1, "")),
  "N/A"), "MM/DD/YYYY")))</calculatedColumnFormula>
    </tableColumn>
    <tableColumn id="8" xr3:uid="{9128B8A9-1A94-4E8E-A5B8-739F5B1D552B}" name="Ops Week" dataDxfId="231">
      <calculatedColumnFormula>IFERROR(WEEKNUM(AFS_SIMs[[#This Row],[Ops Date]]), "N/A")</calculatedColumnFormula>
    </tableColumn>
    <tableColumn id="11" xr3:uid="{440FC8DC-3BF7-422B-AAC7-F4CA3A6646D2}" name="Excluded" dataDxfId="230">
      <calculatedColumnFormula>IF(OR(ISNUMBER(SEARCH("Excluded", AFS_SIMs[[#This Row],[Labels]])), ISNUMBER(SEARCH("Quality", AFS_SIMs[[#This Row],[Data Status]])), ISNUMBER(SEARCH("Exception", AFS_SIMs[[#This Row],[Data Status]]))), 1, 0)</calculatedColumnFormula>
    </tableColumn>
    <tableColumn id="10" xr3:uid="{3EFC80AA-40A1-405D-83DD-F6E778B1FACF}" name="Miss" dataDxfId="229">
      <calculatedColumnFormula>IF(AND(AFS_SIMs[[#This Row],[Excluded]] = 0, OR(AFS_SIMs[[#This Row],[Operator Follow-up]] = 1, AFS_SIMs[[#This Row],[False Resolution]] = 1, AFS_SIMs[[#This Row],[SLA]] = 1, ISNUMBER( SEARCH("Miss", AFS_SIMs[[#This Row],[Labels]])))), 1, 0)</calculatedColumnFormula>
    </tableColumn>
    <tableColumn id="15" xr3:uid="{43BA498C-3D8E-4139-AC06-352D396E4746}" name="CI" dataDxfId="228">
      <calculatedColumnFormula array="1">IF(
    AND(
        AFS_SIMs[[#This Row],[Miss]] = 1,
        OR(
            OR(ISNUMBER(SEARCH(AFS_CI[False Resolution], AFS_SIMs[[#This Row],[False Resolution Miss]]))),
            OR(ISNUMBER(SEARCH(AFS_CI[Operator Follow-up], AFS_SIMs[[#This Row],[Operator Follow-up Miss]])))
        )
    ),
    1,
    0
)</calculatedColumnFormula>
    </tableColumn>
    <tableColumn id="16" xr3:uid="{8B1A558A-1722-44A2-972A-5DADA899D62E}" name="NCI" dataDxfId="227">
      <calculatedColumnFormula>IF(AND(AFS_SIMs[[#This Row],[CI]] = 0, AFS_SIMs[[#This Row],[Miss]] = 1), 1, 0)</calculatedColumnFormula>
    </tableColumn>
    <tableColumn id="12" xr3:uid="{C288300F-EA6B-49C3-BD37-43526EF30F80}" name="Operator Follow-up" dataDxfId="226">
      <calculatedColumnFormula>IF(AND(AFS_SIMs[[#This Row],[Excluded]] = 0, OR(AFS_SIMs[[#This Row],[Operator Follow-up Miss]] &lt;&gt; "", ISNUMBER(SEARCH("Operator Follow Up", AFS_SIMs[[#This Row],[Labels]])))), 1, 0)</calculatedColumnFormula>
    </tableColumn>
    <tableColumn id="13" xr3:uid="{64E6AC6A-60D9-4EE1-9D9A-7764E469628F}" name="False Resolution" dataDxfId="225">
      <calculatedColumnFormula>IF(AND(AFS_SIMs[[#This Row],[Excluded]] = 0, OR(AFS_SIMs[[#This Row],[False Resolution Miss]] &lt;&gt; "", ISNUMBER(SEARCH("False Resolution", AFS_SIMs[[#This Row],[Labels]])))), 1, 0)</calculatedColumnFormula>
    </tableColumn>
    <tableColumn id="14" xr3:uid="{104B3FC8-92C5-44E3-BF9D-B3E9C3B47533}" name="SLA" dataDxfId="224">
      <calculatedColumnFormula>IF(AND(AFS_SIMs[[#This Row],[Excluded]] = 0, OR(AFS_SIMs[[#This Row],[SLA Miss]] &lt;&gt; "", ISNUMBER(SEARCH("SLA", AFS_SIMs[[#This Row],[Labels]])))), 1, 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CBCB790-B299-40CB-BE03-ED038BB2B5FD}" name="AFS_Backlog_SIMs" displayName="AFS_Backlog_SIMs" ref="A1:P2" totalsRowShown="0" headerRowDxfId="223" dataDxfId="221" headerRowBorderDxfId="222" tableBorderDxfId="220">
  <autoFilter ref="A1:P2" xr:uid="{7CBCB790-B299-40CB-BE03-ED038BB2B5FD}"/>
  <tableColumns count="16">
    <tableColumn id="1" xr3:uid="{A7B840A6-E8F2-4940-9135-DDBE4517A47F}" name="Issue Url"/>
    <tableColumn id="2" xr3:uid="{88DACC84-0A93-468B-BE54-7783B7464B84}" name="Title"/>
    <tableColumn id="3" xr3:uid="{F94E4919-C41D-4C6F-A730-B04A2D95BA0C}" name="Labels"/>
    <tableColumn id="4" xr3:uid="{1092F7EA-24FC-4106-BD1F-F43A0D7B95FB}" name="Data Status"/>
    <tableColumn id="5" xr3:uid="{DB0B78A7-AE44-47AB-8E34-0DB8C6F53E19}" name="Operator Follow-up Miss"/>
    <tableColumn id="6" xr3:uid="{765434F4-8918-47B0-BA06-81124B652530}" name="False Resolution Miss"/>
    <tableColumn id="7" xr3:uid="{47CF56E0-ABB4-47A5-BCC3-C42C10632E61}" name="SLA Miss"/>
    <tableColumn id="8" xr3:uid="{B4F3D36E-7BC6-4452-A6A7-2D5282BEA2C7}" name="Ops Date" dataDxfId="219">
      <calculatedColumnFormula>_xlfn.LET(_xlpm.protoKey,
 TRIM(RIGHT(LEFT(AFS_Backlog_SIMs[[#This Row],[Title]], IFERROR(
   SEARCH("/" &amp; TEXT(TODAY(), "YYYY") - 1, AFS_Backlog_SIMs[[#This Row],[Title]]),
   SEARCH("/" &amp; TEXT(TODAY(), "YYYY"),  AFS_Backlog_SIMs[[#This Row],[Title]])) + 4), 10)),
  DATEVALUE(TEXT(IFERROR(IFERROR(
  MOD(LEFT(_xlpm.protoKey), 1) + _xlpm.protoKey,
  REPLACE(_xlpm.protoKey, 1, 1, "")),
  "N/A"), "MM/DD/YYYY")))</calculatedColumnFormula>
    </tableColumn>
    <tableColumn id="9" xr3:uid="{2B84FB4A-E07B-4967-BCCA-235ED1059BFB}" name="Ops Week" dataDxfId="218">
      <calculatedColumnFormula>IFERROR(WEEKNUM(AFS_Backlog_SIMs[[#This Row],[Ops Date]]), "N/A")</calculatedColumnFormula>
    </tableColumn>
    <tableColumn id="10" xr3:uid="{AF89B128-B3FA-423F-B161-FA0BC9FABA3A}" name="Excluded" dataDxfId="217">
      <calculatedColumnFormula>IF(OR(ISNUMBER(SEARCH("Excluded", AFS_Backlog_SIMs[[#This Row],[Labels]])), ISNUMBER(SEARCH("Quality", AFS_Backlog_SIMs[[#This Row],[Data Status]])), ISNUMBER(SEARCH("Exception", AFS_Backlog_SIMs[[#This Row],[Data Status]]))), 1, 0)</calculatedColumnFormula>
    </tableColumn>
    <tableColumn id="11" xr3:uid="{5489A5FA-A491-48E3-93A2-B652A21E1A5D}" name="Miss" dataDxfId="216">
      <calculatedColumnFormula>IF(AND(AFS_Backlog_SIMs[[#This Row],[Excluded]] = 0, OR(AFS_Backlog_SIMs[[#This Row],[Operator Follow-up]] = 1, AFS_Backlog_SIMs[[#This Row],[False Resolution]] = 1, AFS_Backlog_SIMs[[#This Row],[SLA]] = 1, ISNUMBER( SEARCH("Miss", AFS_Backlog_SIMs[[#This Row],[Labels]])))), 1, 0)</calculatedColumnFormula>
    </tableColumn>
    <tableColumn id="12" xr3:uid="{DFEF10E2-E8EB-4B01-A45A-96B1C53D34C3}" name="CI" dataDxfId="215">
      <calculatedColumnFormula>AFS_Backlog_SIMs[[#This Row],[Miss]]</calculatedColumnFormula>
    </tableColumn>
    <tableColumn id="13" xr3:uid="{15FC48D1-CF01-43B1-ADA0-24F3AC7BD1B0}" name="NCI" dataDxfId="214">
      <calculatedColumnFormula>IF(AND(AFS_Backlog_SIMs[[#This Row],[CI]] = 0, AFS_Backlog_SIMs[[#This Row],[Miss]] = 1), 1, 0)</calculatedColumnFormula>
    </tableColumn>
    <tableColumn id="14" xr3:uid="{68988680-83BF-484F-A9AA-5EB5F55A2419}" name="Operator Follow-up" dataDxfId="213">
      <calculatedColumnFormula>IF(AND(AFS_Backlog_SIMs[[#This Row],[Excluded]] = 0, OR(AFS_Backlog_SIMs[[#This Row],[Operator Follow-up Miss]] &lt;&gt; "", ISNUMBER(SEARCH("Operator Follow Up", AFS_Backlog_SIMs[[#This Row],[Labels]])))), 1, 0)</calculatedColumnFormula>
    </tableColumn>
    <tableColumn id="15" xr3:uid="{2C410652-2D05-4E18-8BA0-5BCD135A4BD8}" name="False Resolution" dataDxfId="212">
      <calculatedColumnFormula>IF(AND(AFS_Backlog_SIMs[[#This Row],[Excluded]] = 0, OR(AFS_Backlog_SIMs[[#This Row],[False Resolution Miss]] &lt;&gt; "", ISNUMBER(SEARCH("False Resolution", AFS_Backlog_SIMs[[#This Row],[Labels]])))), 1, 0)</calculatedColumnFormula>
    </tableColumn>
    <tableColumn id="16" xr3:uid="{42E14B1B-12E5-4CDD-AB67-D2DB65AFFC85}" name="SLA" dataDxfId="211">
      <calculatedColumnFormula>IF(AND(AFS_Backlog_SIMs[[#This Row],[Excluded]] = 0, OR(AFS_Backlog_SIMs[[#This Row],[SLA Miss]] &lt;&gt; "", ISNUMBER(SEARCH("SLA", AFS_Backlog_SIMs[[#This Row],[Labels]])))), 1, 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F3F8EFC-3698-49FC-925D-9AB22989833A}" name="Ungrounding_SIMs" displayName="Ungrounding_SIMs" ref="A1:P2" totalsRowShown="0" headerRowDxfId="210" dataDxfId="208" headerRowBorderDxfId="209" tableBorderDxfId="207" totalsRowBorderDxfId="206">
  <autoFilter ref="A1:P2" xr:uid="{FF3F8EFC-3698-49FC-925D-9AB22989833A}"/>
  <tableColumns count="16">
    <tableColumn id="1" xr3:uid="{1698678F-DFCA-441B-91FF-15E2D65BBA8C}" name="Issue Url"/>
    <tableColumn id="2" xr3:uid="{8C47E898-4904-4CE1-9172-24DBEFB891C7}" name="Title"/>
    <tableColumn id="3" xr3:uid="{87B99B1F-67D7-496D-9F10-E61F336BF896}" name="Labels"/>
    <tableColumn id="4" xr3:uid="{28F59D67-BBA1-48A0-AE4F-9728F68AB31F}" name="Data Status"/>
    <tableColumn id="5" xr3:uid="{E9FF3D07-7755-4431-81B7-1282FA2FC891}" name="Operator Follow-up Miss"/>
    <tableColumn id="6" xr3:uid="{F4B538B6-8B12-4262-B4B6-C914AFA38A54}" name="False Resolution Miss"/>
    <tableColumn id="7" xr3:uid="{8F022B25-1FFA-444F-92E3-42E975560D22}" name="SLA Miss"/>
    <tableColumn id="9" xr3:uid="{07AE7A87-7AC7-4BEC-B676-59937E1A6450}" name="Ops Date" dataDxfId="205">
      <calculatedColumnFormula>_xlfn.LET(_xlpm.protoKey,
 TRIM(RIGHT(LEFT(Ungrounding_SIMs[[#This Row],[Title]], IFERROR(
   SEARCH("/" &amp; TEXT(TODAY(), "YYYY") - 1, Ungrounding_SIMs[[#This Row],[Title]]),
   SEARCH("/" &amp; TEXT(TODAY(), "YYYY"), Ungrounding_SIMs[[#This Row],[Title]])) + 4), 10)),
 DATEVALUE(TEXT(IFERROR(IFERROR(
  MOD(LEFT(_xlpm.protoKey), 1) + _xlpm.protoKey,
  REPLACE(_xlpm.protoKey, 1, 1, "")),
  "N/A"), "MM/DD/YYYY")))</calculatedColumnFormula>
    </tableColumn>
    <tableColumn id="8" xr3:uid="{6A231734-7C11-4DB2-9AB0-46953A94E3CD}" name="Ops Week" dataDxfId="204">
      <calculatedColumnFormula>IFERROR(WEEKNUM(Ungrounding_SIMs[[#This Row],[Ops Date]]), "N/A")</calculatedColumnFormula>
    </tableColumn>
    <tableColumn id="11" xr3:uid="{110864B9-ECE2-4D5E-8E03-17B2022D10AD}" name="Excluded" dataDxfId="203">
      <calculatedColumnFormula>IF(OR(ISNUMBER(SEARCH("Excluded", Ungrounding_SIMs[[#This Row],[Labels]])), ISNUMBER(SEARCH("Quality", Ungrounding_SIMs[[#This Row],[Data Status]])), ISNUMBER(SEARCH("Exception", Ungrounding_SIMs[[#This Row],[Data Status]]))), 1, 0)</calculatedColumnFormula>
    </tableColumn>
    <tableColumn id="10" xr3:uid="{E6BE4770-D632-497C-A0DD-B5B4B868FE87}" name="Miss" dataDxfId="202">
      <calculatedColumnFormula>IF(AND(Ungrounding_SIMs[[#This Row],[Excluded]] = 0, OR(Ungrounding_SIMs[[#This Row],[Operator Follow-up]] = 1, Ungrounding_SIMs[[#This Row],[False Resolution]] = 1, Ungrounding_SIMs[[#This Row],[SLA]] = 1, ISNUMBER( SEARCH("Miss", Ungrounding_SIMs[[#This Row],[Labels]])))), 1, 0)</calculatedColumnFormula>
    </tableColumn>
    <tableColumn id="15" xr3:uid="{CF26FED8-6202-4970-ACBF-AA377F772ED5}" name="CI" dataDxfId="201">
      <calculatedColumnFormula array="1">IF(
    AND(
        Ungrounding_SIMs[[#This Row],[Miss]] = 1,
        OR(ISNUMBER(SEARCH(Ungrounding_CI[False Resolution], Ungrounding_SIMs[[#This Row],[False Resolution Miss]])))
    ),
    1,
    0
)</calculatedColumnFormula>
    </tableColumn>
    <tableColumn id="16" xr3:uid="{6F2CB69F-6FAC-4768-AC97-5F3FCA60E209}" name="NCI" dataDxfId="200">
      <calculatedColumnFormula>IF(AND(Ungrounding_SIMs[[#This Row],[CI]] = 0, Ungrounding_SIMs[[#This Row],[Miss]] = 1), 1, 0)</calculatedColumnFormula>
    </tableColumn>
    <tableColumn id="12" xr3:uid="{49922F79-5CCA-45AD-8EC6-65B2D0E5AC2F}" name="Operator Follow-up" dataDxfId="199">
      <calculatedColumnFormula>IF(AND(Ungrounding_SIMs[[#This Row],[Excluded]] = 0, OR(Ungrounding_SIMs[[#This Row],[Operator Follow-up Miss]] &lt;&gt; "", ISNUMBER(SEARCH("Operator Follow Up", Ungrounding_SIMs[[#This Row],[Labels]])))), 1, 0)</calculatedColumnFormula>
    </tableColumn>
    <tableColumn id="13" xr3:uid="{1FC2FF5F-7388-485F-AC71-21D211032DAC}" name="False Resolution" dataDxfId="198">
      <calculatedColumnFormula>IF(AND(Ungrounding_SIMs[[#This Row],[Excluded]] = 0, OR(Ungrounding_SIMs[[#This Row],[False Resolution Miss]] &lt;&gt; "", ISNUMBER(SEARCH("False Resolution", Ungrounding_SIMs[[#This Row],[Labels]])))), 1, 0)</calculatedColumnFormula>
    </tableColumn>
    <tableColumn id="14" xr3:uid="{E6115215-0FF6-4FF0-AA8D-BC70DFC0989F}" name="SLA" dataDxfId="197">
      <calculatedColumnFormula>IF(AND(Ungrounding_SIMs[[#This Row],[Excluded]] = 0, OR(Ungrounding_SIMs[[#This Row],[SLA Miss]] &lt;&gt; "", ISNUMBER(SEARCH("SLA", Ungrounding_SIMs[[#This Row],[Labels]])))), 1, 0)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6E431087-3FD5-48C1-99E8-027CEC2A2D68}" name="PM_SIMs" displayName="PM_SIMs" ref="A1:P2" totalsRowShown="0" headerRowDxfId="196" dataDxfId="194" headerRowBorderDxfId="195" tableBorderDxfId="193" totalsRowBorderDxfId="192">
  <autoFilter ref="A1:P2" xr:uid="{6E431087-3FD5-48C1-99E8-027CEC2A2D68}"/>
  <tableColumns count="16">
    <tableColumn id="1" xr3:uid="{619A9AF5-0474-4CB6-934E-06BEA4999B92}" name="Issue Url"/>
    <tableColumn id="2" xr3:uid="{A813BF7B-7582-41CD-BADF-9141E5099A3B}" name="Title"/>
    <tableColumn id="3" xr3:uid="{29562268-17EA-46BE-BF05-C1FEF3E46665}" name="Labels"/>
    <tableColumn id="4" xr3:uid="{5F67DB26-7223-4944-9D53-BA95B18370E0}" name="Data Status"/>
    <tableColumn id="5" xr3:uid="{80329C8E-CC7A-406A-A8F9-4F1E97329D6E}" name="Operator Follow-up Miss"/>
    <tableColumn id="6" xr3:uid="{F12149D0-30C4-4B2F-BBC6-7842D414DFFC}" name="False Resolution Miss"/>
    <tableColumn id="7" xr3:uid="{D346A217-D07B-49AE-8DD5-0D40EE03423A}" name="SLA Miss"/>
    <tableColumn id="9" xr3:uid="{9B26E274-EA38-48F5-A6A5-664D365BC82A}" name="Ops Date" dataDxfId="191">
      <calculatedColumnFormula>_xlfn.LET(_xlpm.protoKey,
 TRIM(RIGHT(LEFT(PM_SIMs[[#This Row],[Title]], IFERROR(
   SEARCH("/" &amp; TEXT(TODAY(), "YYYY") - 1, PM_SIMs[[#This Row],[Title]]),
   SEARCH("/" &amp; TEXT(TODAY(), "YYYY"), PM_SIMs[[#This Row],[Title]])) + 4), 10)),
 DATEVALUE(TEXT(IFERROR(IFERROR(
  MOD(LEFT(_xlpm.protoKey), 1) + _xlpm.protoKey,
  REPLACE(_xlpm.protoKey, 1, 1, "")),
  "N/A"), "MM/DD/YYYY")))</calculatedColumnFormula>
    </tableColumn>
    <tableColumn id="8" xr3:uid="{BDC6EA31-83CE-4BEF-BB0B-89B9428D7CC9}" name="Ops Week" dataDxfId="190">
      <calculatedColumnFormula>IFERROR(WEEKNUM(PM_SIMs[[#This Row],[Ops Date]]), "N/A")</calculatedColumnFormula>
    </tableColumn>
    <tableColumn id="11" xr3:uid="{DE1DE8B6-712B-4819-95E0-ECE465826FB7}" name="Excluded" dataDxfId="189">
      <calculatedColumnFormula>IF(OR(ISNUMBER(SEARCH("Excluded", PM_SIMs[[#This Row],[Labels]])), ISNUMBER(SEARCH("Quality", PM_SIMs[[#This Row],[Data Status]])), ISNUMBER(SEARCH("Exception", PM_SIMs[[#This Row],[Data Status]]))), 1, 0)</calculatedColumnFormula>
    </tableColumn>
    <tableColumn id="10" xr3:uid="{8D71A35D-53B2-4FB1-8747-4D49E65E622C}" name="Miss" dataDxfId="188">
      <calculatedColumnFormula>IF(AND(PM_SIMs[[#This Row],[Excluded]] = 0, OR(PM_SIMs[[#This Row],[Operator Follow-up]] = 1, PM_SIMs[[#This Row],[False Resolution]] = 1, PM_SIMs[[#This Row],[SLA]] = 1, ISNUMBER( SEARCH("Miss", PM_SIMs[[#This Row],[Labels]])))), 1, 0)</calculatedColumnFormula>
    </tableColumn>
    <tableColumn id="15" xr3:uid="{19E6A73D-CEC7-461B-8C45-A106AEC011E1}" name="CI" dataDxfId="187">
      <calculatedColumnFormula array="1">IF(
    AND(
        PM_SIMs[[#This Row],[Miss]] = 1,
        OR(ISNUMBER(SEARCH(PM_CI[False Resolution], PM_SIMs[[#This Row],[False Resolution Miss]])))
    ),
    1,
    0
)</calculatedColumnFormula>
    </tableColumn>
    <tableColumn id="16" xr3:uid="{77EDACBB-13AC-4E93-9C55-4971BEE25E17}" name="NCI" dataDxfId="186">
      <calculatedColumnFormula>IF(AND(PM_SIMs[[#This Row],[CI]] = 0, PM_SIMs[[#This Row],[Miss]] = 1), 1, 0)</calculatedColumnFormula>
    </tableColumn>
    <tableColumn id="12" xr3:uid="{310A5EAA-1869-45B6-9327-6291604D824C}" name="Operator Follow-up" dataDxfId="185">
      <calculatedColumnFormula>IF(AND(PM_SIMs[[#This Row],[Excluded]] = 0, OR(PM_SIMs[[#This Row],[Operator Follow-up Miss]] &lt;&gt; "", ISNUMBER(SEARCH("Operator Follow Up", PM_SIMs[[#This Row],[Labels]])))), 1, 0)</calculatedColumnFormula>
    </tableColumn>
    <tableColumn id="13" xr3:uid="{8C9A62B3-F7D5-4D68-B24B-B3942DEF7E3F}" name="False Resolution" dataDxfId="184">
      <calculatedColumnFormula>IF(AND(PM_SIMs[[#This Row],[Excluded]] = 0, OR(PM_SIMs[[#This Row],[False Resolution Miss]] &lt;&gt; "", ISNUMBER(SEARCH("False Resolution", PM_SIMs[[#This Row],[Labels]])))), 1, 0)</calculatedColumnFormula>
    </tableColumn>
    <tableColumn id="14" xr3:uid="{BE56A44A-1AF8-4D77-BA9F-A310F8FE13B3}" name="SLA" dataDxfId="183">
      <calculatedColumnFormula>IF(AND(PM_SIMs[[#This Row],[Excluded]] = 0, OR(PM_SIMs[[#This Row],[SLA Miss]] &lt;&gt; "", ISNUMBER(SEARCH("SLA", PM_SIMs[[#This Row],[Labels]])))), 1, 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39870C06-4914-4942-8E8A-5D380B85023E}" name="VFC_SIMs" displayName="VFC_SIMs" ref="A1:P2" totalsRowShown="0" headerRowDxfId="182" dataDxfId="180" headerRowBorderDxfId="181" tableBorderDxfId="179" totalsRowBorderDxfId="178">
  <autoFilter ref="A1:P2" xr:uid="{39870C06-4914-4942-8E8A-5D380B85023E}"/>
  <tableColumns count="16">
    <tableColumn id="1" xr3:uid="{44747728-87DE-431A-BD96-9118AB3B435C}" name="Issue Url"/>
    <tableColumn id="2" xr3:uid="{CE5E216F-6090-4E41-B3D2-D60DD55C802B}" name="Title"/>
    <tableColumn id="3" xr3:uid="{18BD998E-1D2F-410A-A046-5F7EC1CD7FC2}" name="Labels"/>
    <tableColumn id="4" xr3:uid="{040B6227-A9B6-4034-AE5B-D638ADD065D5}" name="Data Status"/>
    <tableColumn id="5" xr3:uid="{8E3013C9-8C01-4C97-B565-3D0CF8F7F8C0}" name="Operator Follow-up Miss"/>
    <tableColumn id="6" xr3:uid="{8264C47E-5DE9-4013-86B9-4BE011720AF1}" name="False Resolution Miss"/>
    <tableColumn id="7" xr3:uid="{5ADE3069-2FC9-42C8-9AE9-14EE77E66A7B}" name="SLA Miss"/>
    <tableColumn id="9" xr3:uid="{0CE49AFE-7650-4A11-8023-D444CA866026}" name="Ops Date" dataDxfId="177">
      <calculatedColumnFormula>_xlfn.LET(_xlpm.protoKey,
 TRIM(RIGHT(LEFT(VFC_SIMs[[#This Row],[Title]], IFERROR(
   SEARCH("/" &amp; TEXT(TODAY(), "YYYY") - 1, VFC_SIMs[[#This Row],[Title]]),
   SEARCH("/" &amp; TEXT(TODAY(), "YYYY"), VFC_SIMs[[#This Row],[Title]])) + 4), 10)),
 DATEVALUE(TEXT(IFERROR(IFERROR(
  MOD(LEFT(_xlpm.protoKey), 1) + _xlpm.protoKey,
  REPLACE(_xlpm.protoKey, 1, 1, "")),
  "N/A"), "MM/DD/YYYY")))</calculatedColumnFormula>
    </tableColumn>
    <tableColumn id="8" xr3:uid="{00BB4BBF-D4F1-4EE1-BBDC-AE54A7371028}" name="Ops Week" dataDxfId="176">
      <calculatedColumnFormula>IFERROR(WEEKNUM(VFC_SIMs[[#This Row],[Ops Date]]), "N/A")</calculatedColumnFormula>
    </tableColumn>
    <tableColumn id="11" xr3:uid="{9129DCDD-97A5-47B9-84A3-F5BABF78F995}" name="Excluded" dataDxfId="175">
      <calculatedColumnFormula>IF(OR(ISNUMBER(SEARCH("Excluded", VFC_SIMs[[#This Row],[Labels]])), ISNUMBER(SEARCH("Quality", VFC_SIMs[[#This Row],[Data Status]])), ISNUMBER(SEARCH("Exception", VFC_SIMs[[#This Row],[Data Status]]))), 1, 0)</calculatedColumnFormula>
    </tableColumn>
    <tableColumn id="10" xr3:uid="{902DF33A-6342-4DA2-86AE-C5E93E6501F8}" name="Miss" dataDxfId="174">
      <calculatedColumnFormula>IF(AND(VFC_SIMs[[#This Row],[Excluded]] = 0, OR(VFC_SIMs[[#This Row],[Operator Follow-up]] = 1, VFC_SIMs[[#This Row],[False Resolution]] = 1, VFC_SIMs[[#This Row],[SLA]] = 1, ISNUMBER( SEARCH("Miss", VFC_SIMs[[#This Row],[Labels]])))), 1, 0)</calculatedColumnFormula>
    </tableColumn>
    <tableColumn id="15" xr3:uid="{267139EA-9AD3-4BB3-BD2B-59B58FA0E6F5}" name="CI" dataDxfId="173">
      <calculatedColumnFormula array="1">IF(
    AND(
        VFC_SIMs[[#This Row],[Miss]] = 1,
        OR(
            OR(ISNUMBER(SEARCH(VFC_CI[False Resolution], VFC_SIMs[[#This Row],[False Resolution Miss]]))),
            OR(ISNUMBER(SEARCH(VFC_CI[Operator Follow-up], VFC_SIMs[[#This Row],[Operator Follow-up Miss]]))),
            OR(ISNUMBER(SEARCH(VFC_CI[SLA], VFC_SIMs[[#This Row],[SLA Miss]])))
        )
    ),
    1,
    0
)</calculatedColumnFormula>
    </tableColumn>
    <tableColumn id="16" xr3:uid="{D0A045D8-C2AB-43F9-A9A6-8F4091E15F25}" name="NCI" dataDxfId="172">
      <calculatedColumnFormula>IF(AND(VFC_SIMs[[#This Row],[CI]] = 0, VFC_SIMs[[#This Row],[Miss]] = 1), 1, 0)</calculatedColumnFormula>
    </tableColumn>
    <tableColumn id="12" xr3:uid="{954A04C4-168D-4BEE-B23A-2F576E2C0D3E}" name="Operator Follow-up" dataDxfId="171">
      <calculatedColumnFormula>IF(AND(VFC_SIMs[[#This Row],[Excluded]] = 0, OR(VFC_SIMs[[#This Row],[Operator Follow-up Miss]] &lt;&gt; "", ISNUMBER(SEARCH("Operator Follow Up", VFC_SIMs[[#This Row],[Labels]])))), 1, 0)</calculatedColumnFormula>
    </tableColumn>
    <tableColumn id="13" xr3:uid="{37F08AA8-E342-4C1A-A1EA-EBD083492BDA}" name="False Resolution" dataDxfId="170">
      <calculatedColumnFormula>IF(AND(VFC_SIMs[[#This Row],[Excluded]] = 0, OR(VFC_SIMs[[#This Row],[False Resolution Miss]] &lt;&gt; "", ISNUMBER(SEARCH("False Resolution", VFC_SIMs[[#This Row],[Labels]])))), 1, 0)</calculatedColumnFormula>
    </tableColumn>
    <tableColumn id="14" xr3:uid="{DB0239EF-6642-4DDF-83E4-9D9CD06E915E}" name="SLA" dataDxfId="169">
      <calculatedColumnFormula>IF(AND(VFC_SIMs[[#This Row],[Excluded]] = 0, OR(VFC_SIMs[[#This Row],[SLA Miss]] &lt;&gt; "", ISNUMBER(SEARCH("SLA", VFC_SIMs[[#This Row],[Labels]])))), 1, 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9E0C09E-2F0B-4B75-BE64-9FEF11057E43}" name="Reimbursement_SIMs" displayName="Reimbursement_SIMs" ref="A1:P2" totalsRowShown="0" headerRowDxfId="168" dataDxfId="166" headerRowBorderDxfId="167" tableBorderDxfId="165" totalsRowBorderDxfId="164">
  <autoFilter ref="A1:P2" xr:uid="{B9E0C09E-2F0B-4B75-BE64-9FEF11057E43}"/>
  <sortState xmlns:xlrd2="http://schemas.microsoft.com/office/spreadsheetml/2017/richdata2" ref="A2:P2">
    <sortCondition descending="1" ref="H1:H2"/>
  </sortState>
  <tableColumns count="16">
    <tableColumn id="1" xr3:uid="{5305E96A-F9B1-4340-8193-085DB26284ED}" name="Issue Url"/>
    <tableColumn id="2" xr3:uid="{9C7DC7D0-86C6-4F9A-915F-F1A0C10E5DA3}" name="Title"/>
    <tableColumn id="3" xr3:uid="{B016D1BC-7649-4700-8E40-A28D473271CA}" name="Labels"/>
    <tableColumn id="4" xr3:uid="{6169BA14-EE3E-4BD2-B7D3-12828D122CCA}" name="Data Status"/>
    <tableColumn id="5" xr3:uid="{7DDCD9F3-4A92-4BFD-B598-BB6D9D2E43F9}" name="Operator Follow-up Miss"/>
    <tableColumn id="6" xr3:uid="{053E971F-B91E-4010-BA5A-7A1FC935FB87}" name="False Resolution Miss"/>
    <tableColumn id="7" xr3:uid="{C5253F69-012A-47CA-927B-AE8D07CC58BB}" name="SLA Miss"/>
    <tableColumn id="9" xr3:uid="{6898AD11-66A1-41DC-81AC-6D5F656EF9F2}" name="Ops Date" dataDxfId="163">
      <calculatedColumnFormula>_xlfn.LET(_xlpm.protoKey,
 TRIM(RIGHT(LEFT(Reimbursement_SIMs[[#This Row],[Title]], IFERROR(
   SEARCH("/" &amp; TEXT(TODAY(), "YYYY") - 1, Reimbursement_SIMs[[#This Row],[Title]]),
   SEARCH("/" &amp; TEXT(TODAY(), "YYYY"), Reimbursement_SIMs[[#This Row],[Title]])) + 4), 10)),
 DATEVALUE(TEXT(IFERROR(IFERROR(
  MOD(LEFT(_xlpm.protoKey), 1) + _xlpm.protoKey,
  REPLACE(_xlpm.protoKey, 1, 1, "")),
  "N/A"), "MM/DD/YYYY")))</calculatedColumnFormula>
    </tableColumn>
    <tableColumn id="8" xr3:uid="{D2ACEBD0-6236-48F2-AFEF-D794B30F1863}" name="Ops Week" dataDxfId="162">
      <calculatedColumnFormula>IFERROR(WEEKNUM(Reimbursement_SIMs[[#This Row],[Ops Date]]), "N/A")</calculatedColumnFormula>
    </tableColumn>
    <tableColumn id="11" xr3:uid="{56E9982D-42A8-48B5-BC31-6C933CB2B778}" name="Excluded" dataDxfId="161">
      <calculatedColumnFormula>IF(OR(ISNUMBER(SEARCH("Excluded", Reimbursement_SIMs[[#This Row],[Labels]])), ISNUMBER(SEARCH("Quality", Reimbursement_SIMs[[#This Row],[Data Status]])), ISNUMBER(SEARCH("Exception", Reimbursement_SIMs[[#This Row],[Data Status]]))), 1, 0)</calculatedColumnFormula>
    </tableColumn>
    <tableColumn id="10" xr3:uid="{567DDFF7-8639-4D0A-9E1F-3F29EE2FCCF4}" name="Miss" dataDxfId="160">
      <calculatedColumnFormula>IF(AND(Reimbursement_SIMs[[#This Row],[Excluded]] = 0, OR(Reimbursement_SIMs[[#This Row],[Operator Follow-up]] = 1, Reimbursement_SIMs[[#This Row],[False Resolution]] = 1, Reimbursement_SIMs[[#This Row],[SLA]] = 1, ISNUMBER( SEARCH("Miss", Reimbursement_SIMs[[#This Row],[Labels]])))), 1, 0)</calculatedColumnFormula>
    </tableColumn>
    <tableColumn id="15" xr3:uid="{2F9D2F2D-20DC-4763-A756-DB68585CDD36}" name="CI" dataDxfId="159">
      <calculatedColumnFormula array="1">IF(
    AND(
        Reimbursement_SIMs[[#This Row],[Miss]] = 1,
        OR(
            OR(ISNUMBER(SEARCH(Reimbursements_CI[False Resolution], Reimbursement_SIMs[[#This Row],[False Resolution Miss]]))),
            OR(ISNUMBER(SEARCH(Reimbursements_CI[Operator Follow-up], Reimbursement_SIMs[[#This Row],[Operator Follow-up Miss]]))),
            OR(ISNUMBER(SEARCH(Reimbursements_CI[SLA], Reimbursement_SIMs[[#This Row],[SLA Miss]])))
        )
    ),
    1,
    0
)</calculatedColumnFormula>
    </tableColumn>
    <tableColumn id="16" xr3:uid="{4242EB9F-A92F-44A8-A602-5F1084E0AB28}" name="NCI" dataDxfId="158">
      <calculatedColumnFormula>IF(AND(Reimbursement_SIMs[[#This Row],[CI]] = 0, Reimbursement_SIMs[[#This Row],[Miss]] = 1), 1, 0)</calculatedColumnFormula>
    </tableColumn>
    <tableColumn id="12" xr3:uid="{823E076D-EDBF-45B9-8DAA-103B2D0A8340}" name="Operator Follow-up" dataDxfId="157">
      <calculatedColumnFormula>IF(AND(Reimbursement_SIMs[[#This Row],[Excluded]] = 0, OR(Reimbursement_SIMs[[#This Row],[Operator Follow-up Miss]] &lt;&gt; "", ISNUMBER(SEARCH("Operator Follow Up", Reimbursement_SIMs[[#This Row],[Labels]])))), 1, 0)</calculatedColumnFormula>
    </tableColumn>
    <tableColumn id="13" xr3:uid="{3431DF7B-AB2D-4661-B7E5-97A020CFD039}" name="False Resolution" dataDxfId="156">
      <calculatedColumnFormula>IF(AND(Reimbursement_SIMs[[#This Row],[Excluded]] = 0, OR(Reimbursement_SIMs[[#This Row],[False Resolution Miss]] &lt;&gt; "", ISNUMBER(SEARCH("False Resolution", Reimbursement_SIMs[[#This Row],[Labels]])))), 1, 0)</calculatedColumnFormula>
    </tableColumn>
    <tableColumn id="14" xr3:uid="{C80723CF-CCDF-44F8-BDFC-21A9DFE94468}" name="SLA" dataDxfId="155">
      <calculatedColumnFormula>IF(AND(Reimbursement_SIMs[[#This Row],[Excluded]] = 0, OR(Reimbursement_SIMs[[#This Row],[SLA Miss]] &lt;&gt; "", ISNUMBER(SEARCH("SLA", Reimbursement_SIMs[[#This Row],[Labels]])))), 1, 0)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8884806-A813-45F4-8375-CD54E8C30217}" name="FIF_SIMs" displayName="FIF_SIMs" ref="A1:Q2" totalsRowShown="0" headerRowDxfId="154" dataDxfId="152" headerRowBorderDxfId="153" tableBorderDxfId="151">
  <autoFilter ref="A1:Q2" xr:uid="{18884806-A813-45F4-8375-CD54E8C30217}"/>
  <tableColumns count="17">
    <tableColumn id="1" xr3:uid="{49E48F2C-4AB2-45D3-B5B0-A3DD21EBC83E}" name="Issue Url"/>
    <tableColumn id="2" xr3:uid="{408AE87A-3BDE-47A4-BAAC-3BA615C1A636}" name="Title"/>
    <tableColumn id="3" xr3:uid="{7CAB4E1D-E50F-406C-8B07-45C06E04919B}" name="Labels"/>
    <tableColumn id="4" xr3:uid="{35FC0440-F047-4317-AB3B-09893901332D}" name="Data Status"/>
    <tableColumn id="5" xr3:uid="{972FB8A1-AF54-406F-8DED-AF23379ED59D}" name="Operator Follow-up Miss"/>
    <tableColumn id="6" xr3:uid="{4EEA0C56-9426-45D8-929B-31A2AE5A101A}" name="False Resolution Miss"/>
    <tableColumn id="7" xr3:uid="{4B5A82B5-D6DD-4AFF-B761-1CFD7EBBFF37}" name="SLA Miss"/>
    <tableColumn id="8" xr3:uid="{984E0AAE-6426-4E90-A109-0F28C68FD116}" name="Ops Date" dataDxfId="150">
      <calculatedColumnFormula>_xlfn.LET(_xlpm.protoKey,
 TRIM(RIGHT(LEFT(FIF_SIMs[[#This Row],[Title]], IFERROR(
   SEARCH("/" &amp; TEXT(TODAY(), "YYYY") - 1, FIF_SIMs[[#This Row],[Title]]),
   SEARCH("/" &amp; TEXT(TODAY(), "YYYY"),  FIF_SIMs[[#This Row],[Title]])) + 4), 10)),
 DATEVALUE(TEXT(IFERROR(IFERROR(
  MOD(LEFT(_xlpm.protoKey), 1) + _xlpm.protoKey,
  REPLACE(_xlpm.protoKey, 1, 1, "")),
  "N/A"), "MM/DD/YYYY")))</calculatedColumnFormula>
    </tableColumn>
    <tableColumn id="9" xr3:uid="{A33FEEAB-C0AA-4C13-9952-E461199C448A}" name="Ops Week" dataDxfId="149">
      <calculatedColumnFormula>IFERROR(WEEKNUM(FIF_SIMs[[#This Row],[Ops Date]]), "N/A")</calculatedColumnFormula>
    </tableColumn>
    <tableColumn id="17" xr3:uid="{6CD926E7-7EB4-4C40-803C-FBBB8D50E4C8}" name="Ops Month" dataDxfId="148">
      <calculatedColumnFormula>IFERROR(MONTH(FIF_SIMs[[#This Row],[Ops Date]]), "N/A")</calculatedColumnFormula>
    </tableColumn>
    <tableColumn id="10" xr3:uid="{274DD9F8-04E2-4326-AF94-F08F1ED0A311}" name="Excluded" dataDxfId="147">
      <calculatedColumnFormula>IF(OR(ISNUMBER(SEARCH("Excluded", FIF_SIMs[[#This Row],[Labels]])), ISNUMBER(SEARCH("Quality", FIF_SIMs[[#This Row],[Data Status]])), ISNUMBER(SEARCH("Exception", FIF_SIMs[[#This Row],[Data Status]]))), 1, 0)</calculatedColumnFormula>
    </tableColumn>
    <tableColumn id="11" xr3:uid="{61F7AE49-909B-47D7-8E12-64F1350F80CF}" name="Miss" dataDxfId="146">
      <calculatedColumnFormula>IF(AND(FIF_SIMs[[#This Row],[Excluded]] = 0, OR(FIF_SIMs[[#This Row],[Operator Follow-up]] = 1, FIF_SIMs[[#This Row],[False Resolution]] = 1, FIF_SIMs[[#This Row],[SLA]] = 1, ISNUMBER( SEARCH("Miss", FIF_SIMs[[#This Row],[Labels]])))), 1, 0)</calculatedColumnFormula>
    </tableColumn>
    <tableColumn id="12" xr3:uid="{9E9BBE2F-A31A-4358-A8E6-A8235E429C91}" name="CI" dataDxfId="145">
      <calculatedColumnFormula>FIF_SIMs[[#This Row],[Miss]]</calculatedColumnFormula>
    </tableColumn>
    <tableColumn id="13" xr3:uid="{4DB8E729-1059-4BA2-9331-245E1824BEBE}" name="NCI" dataDxfId="144">
      <calculatedColumnFormula>IF(AND(FIF_SIMs[[#This Row],[CI]] = 0, FIF_SIMs[[#This Row],[Miss]] = 1), 1, 0)</calculatedColumnFormula>
    </tableColumn>
    <tableColumn id="14" xr3:uid="{6D415E1F-CED2-4F44-8BF9-152B11B5D3AC}" name="Operator Follow-up" dataDxfId="143">
      <calculatedColumnFormula>IF(AND(FIF_SIMs[[#This Row],[Excluded]] = 0, OR(FIF_SIMs[[#This Row],[Operator Follow-up Miss]] &lt;&gt; "", ISNUMBER(SEARCH("Operator Follow Up", FIF_SIMs[[#This Row],[Labels]])))), 1, 0)</calculatedColumnFormula>
    </tableColumn>
    <tableColumn id="15" xr3:uid="{3D93900B-6ADD-439D-8BB6-8C08A31D8156}" name="False Resolution" dataDxfId="142">
      <calculatedColumnFormula>IF(AND(FIF_SIMs[[#This Row],[Excluded]] = 0, OR(FIF_SIMs[[#This Row],[False Resolution Miss]] &lt;&gt; "", ISNUMBER(SEARCH("False Resolution", FIF_SIMs[[#This Row],[Labels]])))), 1, 0)</calculatedColumnFormula>
    </tableColumn>
    <tableColumn id="16" xr3:uid="{0F5CD240-7373-497A-9937-6ADD3FC9AADB}" name="SLA" dataDxfId="141">
      <calculatedColumnFormula>IF(AND(FIF_SIMs[[#This Row],[Excluded]] = 0, OR(FIF_SIMs[[#This Row],[SLA Miss]] &lt;&gt; "", ISNUMBER(SEARCH("SLA", FIF_SIMs[[#This Row],[Labels]])))), 1, 0)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585F0C1-5B74-44F5-A4F5-5C4038C06E68}" name="SWA_Paragon_SIMs" displayName="SWA_Paragon_SIMs" ref="A1:P2" totalsRowShown="0" headerRowDxfId="140" dataDxfId="138" headerRowBorderDxfId="139" tableBorderDxfId="137">
  <autoFilter ref="A1:P2" xr:uid="{B585F0C1-5B74-44F5-A4F5-5C4038C06E68}"/>
  <tableColumns count="16">
    <tableColumn id="1" xr3:uid="{2D9B2213-4652-40ED-AE29-C2D0776E2BE3}" name="Issue Url"/>
    <tableColumn id="2" xr3:uid="{94811F9E-061E-4879-82A1-717C68E8E40A}" name="Title"/>
    <tableColumn id="3" xr3:uid="{0C0440CC-3566-4D76-AEE3-B3F0D3DE18A9}" name="Labels"/>
    <tableColumn id="4" xr3:uid="{9EF0D553-B77E-4025-9CA4-8D3965B9EF9E}" name="Data Status"/>
    <tableColumn id="5" xr3:uid="{080B26D4-83D0-46DC-9C9B-C78235324563}" name="Operator Follow-up Miss"/>
    <tableColumn id="6" xr3:uid="{58AD5474-312B-47B2-8F2A-6A6A25C98571}" name="False Resolution Miss"/>
    <tableColumn id="7" xr3:uid="{997F1109-D146-4908-ADD6-DA2B89F36F66}" name="SLA Miss"/>
    <tableColumn id="8" xr3:uid="{C116B4AA-FB2F-4F81-806C-2139A9ACC9BA}" name="Ops Date" dataDxfId="136">
      <calculatedColumnFormula>_xlfn.LET(_xlpm.protoKey,
 TRIM(RIGHT(LEFT(SWA_Paragon_SIMs[[#This Row],[Title]], IFERROR(
   SEARCH("/" &amp; TEXT(TODAY(), "YYYY") - 1, SWA_Paragon_SIMs[[#This Row],[Title]]),
   SEARCH("/" &amp; TEXT(TODAY(), "YYYY"),  SWA_Paragon_SIMs[[#This Row],[Title]])) + 4), 10)),
 DATEVALUE(TEXT(IFERROR(IFERROR(
  MOD(LEFT(_xlpm.protoKey), 1) + _xlpm.protoKey,
  REPLACE(_xlpm.protoKey, 1, 1, "")),
  "N/A"), "MM/DD/YYYY")))</calculatedColumnFormula>
    </tableColumn>
    <tableColumn id="9" xr3:uid="{EA7BE59F-D06C-42AE-B39A-7E81EA003FF9}" name="Ops Week" dataDxfId="135">
      <calculatedColumnFormula>IFERROR(WEEKNUM(SWA_Paragon_SIMs[[#This Row],[Ops Date]]), "N/A")</calculatedColumnFormula>
    </tableColumn>
    <tableColumn id="10" xr3:uid="{64150D89-EF2B-4F30-BEF9-2C0CEEBBC4B3}" name="Excluded" dataDxfId="134">
      <calculatedColumnFormula>IF(OR(ISNUMBER(SEARCH("Excluded", SWA_Paragon_SIMs[[#This Row],[Labels]])), ISNUMBER(SEARCH("Quality", SWA_Paragon_SIMs[[#This Row],[Data Status]])), ISNUMBER(SEARCH("Exception", SWA_Paragon_SIMs[[#This Row],[Data Status]]))), 1, 0)</calculatedColumnFormula>
    </tableColumn>
    <tableColumn id="11" xr3:uid="{71373785-EAFA-4623-9140-FB8763BE8A48}" name="Miss" dataDxfId="133">
      <calculatedColumnFormula>IF(AND(SWA_Paragon_SIMs[[#This Row],[Excluded]] = 0, OR(SWA_Paragon_SIMs[[#This Row],[Operator Follow-up]] = 1, SWA_Paragon_SIMs[[#This Row],[False Resolution]] = 1, SWA_Paragon_SIMs[[#This Row],[SLA]] = 1, ISNUMBER( SEARCH("Miss", SWA_Paragon_SIMs[[#This Row],[Labels]])))), 1, 0)</calculatedColumnFormula>
    </tableColumn>
    <tableColumn id="12" xr3:uid="{13293DC4-9FB4-4525-BA34-AD40A149F081}" name="CI" dataDxfId="132">
      <calculatedColumnFormula array="1">IF(
    AND(
        SWA_Paragon_SIMs[[#This Row],[Miss]] = 1,
        OR(
            OR(ISNUMBER(SEARCH(SWA_CI[False Resolution], SWA_Paragon_SIMs[[#This Row],[False Resolution Miss]]))),
            OR(ISNUMBER(SEARCH(SWA_CI[Operator Follow-up], SWA_Paragon_SIMs[[#This Row],[Operator Follow-up Miss]]))),
            OR(ISNUMBER(SEARCH(SWA_CI[SLA], SWA_Paragon_SIMs[[#This Row],[SLA Miss]])))
        )
    ),
    1,
    0
)</calculatedColumnFormula>
    </tableColumn>
    <tableColumn id="13" xr3:uid="{25EC960D-2196-4380-8F79-96305D857F83}" name="NCI" dataDxfId="131">
      <calculatedColumnFormula>IF(AND(SWA_Paragon_SIMs[[#This Row],[CI]] = 0, SWA_Paragon_SIMs[[#This Row],[Miss]] = 1), 1, 0)</calculatedColumnFormula>
    </tableColumn>
    <tableColumn id="14" xr3:uid="{A300E4BD-CCEC-4742-9C8C-4FBCD1F5B670}" name="Operator Follow-up" dataDxfId="130">
      <calculatedColumnFormula>IF(AND(SWA_Paragon_SIMs[[#This Row],[Excluded]] = 0, OR(SWA_Paragon_SIMs[[#This Row],[Operator Follow-up Miss]] &lt;&gt; "", ISNUMBER(SEARCH("Operator Follow Up", SWA_Paragon_SIMs[[#This Row],[Labels]])))), 1, 0)</calculatedColumnFormula>
    </tableColumn>
    <tableColumn id="15" xr3:uid="{8C6668C1-61B0-48CD-B75F-7D08C644A887}" name="False Resolution" dataDxfId="129">
      <calculatedColumnFormula>IF(AND(SWA_Paragon_SIMs[[#This Row],[Excluded]] = 0, OR(SWA_Paragon_SIMs[[#This Row],[False Resolution Miss]] &lt;&gt; "", ISNUMBER(SEARCH("False Resolution", SWA_Paragon_SIMs[[#This Row],[Labels]])))), 1, 0)</calculatedColumnFormula>
    </tableColumn>
    <tableColumn id="16" xr3:uid="{3936F0FF-ABAB-4661-97C2-1EA91ECF7FA2}" name="SLA" dataDxfId="128">
      <calculatedColumnFormula>IF(AND(SWA_Paragon_SIMs[[#This Row],[Excluded]] = 0, OR(SWA_Paragon_SIMs[[#This Row],[SLA Miss]] &lt;&gt; "", ISNUMBER(SEARCH("SLA", SWA_Paragon_SIMs[[#This Row],[Labels]])))), 1, 0)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79B396C-3590-4790-8A1E-F366F0B41883}" name="ORSA_Intervention_SIMs" displayName="ORSA_Intervention_SIMs" ref="A1:Q2" totalsRowShown="0" headerRowDxfId="127" dataDxfId="125" headerRowBorderDxfId="126" tableBorderDxfId="124">
  <autoFilter ref="A1:Q2" xr:uid="{B79B396C-3590-4790-8A1E-F366F0B41883}"/>
  <tableColumns count="17">
    <tableColumn id="1" xr3:uid="{B8406D9E-8D27-4ECF-8EDA-D80A1A9BB4D8}" name="Issue Url"/>
    <tableColumn id="2" xr3:uid="{4DD06DB4-07E9-430D-AED4-2570691DFF46}" name="Title"/>
    <tableColumn id="3" xr3:uid="{E086605B-5063-4EFB-8BA2-1665D93B9125}" name="Labels"/>
    <tableColumn id="4" xr3:uid="{CF51CCBA-32AD-4C6A-878F-CC61796D7D3D}" name="Data Status"/>
    <tableColumn id="5" xr3:uid="{332B3857-B15A-4A48-9465-4ACA2CE6951B}" name="Operator Follow-up Miss"/>
    <tableColumn id="6" xr3:uid="{EC660804-8112-4030-9468-5AE977FF2AEB}" name="False Resolution Miss"/>
    <tableColumn id="7" xr3:uid="{AF0FED42-5637-4445-98C3-4BA394D86D78}" name="SLA Miss"/>
    <tableColumn id="8" xr3:uid="{17E44903-C1C0-441D-A96D-C4A7FD1AA862}" name="Ops Date" dataDxfId="123">
      <calculatedColumnFormula>_xlfn.LET(_xlpm.protoKey,
 TRIM(RIGHT(LEFT(ORSA_Intervention_SIMs[[#This Row],[Title]], IFERROR(
   SEARCH("/" &amp; TEXT(TODAY(), "YYYY") - 1, ORSA_Intervention_SIMs[[#This Row],[Title]]),
   SEARCH("/" &amp; TEXT(TODAY(), "YYYY"),  ORSA_Intervention_SIMs[[#This Row],[Title]])) + 4), 10)),
 DATEVALUE(TEXT(IFERROR(IFERROR(
  MOD(LEFT(_xlpm.protoKey), 1) + _xlpm.protoKey,
  REPLACE(_xlpm.protoKey, 1, 1, "")),
  "N/A"), "MM/DD/YYYY")))</calculatedColumnFormula>
    </tableColumn>
    <tableColumn id="9" xr3:uid="{8DC8AA73-D70E-4B88-9F8B-6270CD397B43}" name="Ops Week" dataDxfId="122">
      <calculatedColumnFormula>IFERROR(WEEKNUM(ORSA_Intervention_SIMs[[#This Row],[Ops Date]]), "N/A")</calculatedColumnFormula>
    </tableColumn>
    <tableColumn id="17" xr3:uid="{8FE7A918-1B0E-4926-9A2D-1FA0EB8BC49C}" name="Ops Month" dataDxfId="121">
      <calculatedColumnFormula>IFERROR(MONTH(ORSA_Intervention_SIMs[[#This Row],[Ops Date]]), "N/A")</calculatedColumnFormula>
    </tableColumn>
    <tableColumn id="10" xr3:uid="{D02B1DD1-DAEC-4413-9FBB-A90AEAB9EDD6}" name="Excluded" dataDxfId="120">
      <calculatedColumnFormula>IF(OR(ISNUMBER(SEARCH("Excluded", ORSA_Intervention_SIMs[[#This Row],[Labels]])), ISNUMBER(SEARCH("Quality", ORSA_Intervention_SIMs[[#This Row],[Data Status]])), ISNUMBER(SEARCH("Exception", ORSA_Intervention_SIMs[[#This Row],[Data Status]]))), 1, 0)</calculatedColumnFormula>
    </tableColumn>
    <tableColumn id="11" xr3:uid="{B56541FE-0817-481D-BC97-430FF19BA6F5}" name="Miss" dataDxfId="119">
      <calculatedColumnFormula>IF(AND(ORSA_Intervention_SIMs[[#This Row],[Excluded]] = 0, OR(ORSA_Intervention_SIMs[[#This Row],[Operator Follow-up]] = 1, ORSA_Intervention_SIMs[[#This Row],[False Resolution]] = 1, ORSA_Intervention_SIMs[[#This Row],[SLA]] = 1, ISNUMBER( SEARCH("Miss", ORSA_Intervention_SIMs[[#This Row],[Labels]])))), 1, 0)</calculatedColumnFormula>
    </tableColumn>
    <tableColumn id="12" xr3:uid="{CD9A89C7-BEB1-442C-9976-DE3572E551E9}" name="CI" dataDxfId="118">
      <calculatedColumnFormula>ORSA_Intervention_SIMs[[#This Row],[Miss]]</calculatedColumnFormula>
    </tableColumn>
    <tableColumn id="13" xr3:uid="{F6AEA6B0-8A97-4B7A-B11A-351065475EB2}" name="NCI" dataDxfId="117">
      <calculatedColumnFormula>IF(AND(ORSA_Intervention_SIMs[[#This Row],[CI]] = 0, ORSA_Intervention_SIMs[[#This Row],[Miss]] = 1), 1, 0)</calculatedColumnFormula>
    </tableColumn>
    <tableColumn id="14" xr3:uid="{860438DF-7AFD-4F46-B876-E7AE7BF85438}" name="Operator Follow-up" dataDxfId="116">
      <calculatedColumnFormula>IF(AND(ORSA_Intervention_SIMs[[#This Row],[Excluded]] = 0, OR(ORSA_Intervention_SIMs[[#This Row],[Operator Follow-up Miss]] &lt;&gt; "", ISNUMBER(SEARCH("Operator Follow Up", ORSA_Intervention_SIMs[[#This Row],[Labels]])))), 1, 0)</calculatedColumnFormula>
    </tableColumn>
    <tableColumn id="15" xr3:uid="{534C9E44-73B4-4722-8795-737F3B8C5208}" name="False Resolution" dataDxfId="115">
      <calculatedColumnFormula>IF(AND(ORSA_Intervention_SIMs[[#This Row],[Excluded]] = 0, OR(ORSA_Intervention_SIMs[[#This Row],[False Resolution Miss]] &lt;&gt; "", ISNUMBER(SEARCH("False Resolution", ORSA_Intervention_SIMs[[#This Row],[Labels]])))), 1, 0)</calculatedColumnFormula>
    </tableColumn>
    <tableColumn id="16" xr3:uid="{B372E1D6-0676-4CBE-87D3-064590E44603}" name="SLA" dataDxfId="114">
      <calculatedColumnFormula>IF(AND(ORSA_Intervention_SIMs[[#This Row],[Excluded]] = 0, OR(ORSA_Intervention_SIMs[[#This Row],[SLA Miss]] &lt;&gt; "", ISNUMBER(SEARCH("SLA", ORSA_Intervention_SIMs[[#This Row],[Labels]])))), 1, 0)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A654B7A-8E87-485E-85E9-94A7D79EE3B7}" name="ORSA_Valids_SIMs" displayName="ORSA_Valids_SIMs" ref="A1:S2" totalsRowShown="0" headerRowDxfId="113" dataDxfId="111" headerRowBorderDxfId="112" tableBorderDxfId="110">
  <autoFilter ref="A1:S2" xr:uid="{B79B396C-3590-4790-8A1E-F366F0B41883}"/>
  <tableColumns count="19">
    <tableColumn id="18" xr3:uid="{4AED145D-094F-41FF-89A0-D69217B1CDF9}" name="ID"/>
    <tableColumn id="1" xr3:uid="{95E6C8EE-0309-41BC-AEC2-2CE8CCB64F7C}" name="Issue Url"/>
    <tableColumn id="2" xr3:uid="{D4B80320-D4B6-4FA3-9DA8-81B947988961}" name="Title"/>
    <tableColumn id="3" xr3:uid="{73913E9D-8C3F-46B3-A9AF-02833315D3F4}" name="Labels"/>
    <tableColumn id="19" xr3:uid="{96C69C0F-2ABA-4F4E-A7DA-60742C99C1A1}" name="Next Step Action"/>
    <tableColumn id="4" xr3:uid="{5F637AAA-71B1-404D-B75C-C373585586E6}" name="Data Status"/>
    <tableColumn id="5" xr3:uid="{D2D1311A-0908-456E-9691-D676AE3A5BA2}" name="Operator Follow-up Miss"/>
    <tableColumn id="6" xr3:uid="{512D8A44-2751-4F98-BB4F-FD17617FE56C}" name="False Resolution Miss"/>
    <tableColumn id="7" xr3:uid="{60D79BD4-E864-47C9-B4D3-8E47DD8F6D19}" name="SLA Miss"/>
    <tableColumn id="8" xr3:uid="{85E32407-C0B8-4941-8171-6F68A6050D89}" name="Ops Date" dataDxfId="109">
      <calculatedColumnFormula>_xlfn.LET(_xlpm.protoKey,
 TRIM(RIGHT(LEFT(ORSA_Valids_SIMs[[#This Row],[Title]], IFERROR(
   SEARCH("/" &amp; TEXT(TODAY(), "YYYY") - 1, ORSA_Valids_SIMs[[#This Row],[Title]]),
   SEARCH("/" &amp; TEXT(TODAY(), "YYYY"),  ORSA_Valids_SIMs[[#This Row],[Title]])) + 4), 10)),
 DATEVALUE(TEXT(IFERROR(IFERROR(
  MOD(LEFT(_xlpm.protoKey), 1) + _xlpm.protoKey,
  REPLACE(_xlpm.protoKey, 1, 1, "")),
  "N/A"), "MM/DD/YYYY")))</calculatedColumnFormula>
    </tableColumn>
    <tableColumn id="9" xr3:uid="{334BB99E-4618-4D8A-AF3A-BACB4F9AD423}" name="Ops Week" dataDxfId="108">
      <calculatedColumnFormula>IFERROR(WEEKNUM(ORSA_Valids_SIMs[[#This Row],[Ops Date]]), "N/A")</calculatedColumnFormula>
    </tableColumn>
    <tableColumn id="17" xr3:uid="{1FC877A5-D91C-4153-B13D-85F87581435A}" name="Ops Month" dataDxfId="107">
      <calculatedColumnFormula>IFERROR(MONTH(ORSA_Valids_SIMs[[#This Row],[Ops Date]]), "N/A")</calculatedColumnFormula>
    </tableColumn>
    <tableColumn id="10" xr3:uid="{F772B0A5-CC9E-4905-91A2-EE9AD7CE1444}" name="Excluded" dataDxfId="106">
      <calculatedColumnFormula>IF(OR(ISNUMBER(SEARCH("Excluded", ORSA_Valids_SIMs[[#This Row],[Labels]])), ISNUMBER(SEARCH("Quality", ORSA_Valids_SIMs[[#This Row],[Data Status]])), ISNUMBER(SEARCH("Exception", ORSA_Valids_SIMs[[#This Row],[Data Status]]))), 1, 0)</calculatedColumnFormula>
    </tableColumn>
    <tableColumn id="11" xr3:uid="{F9690E8F-CE64-4B3F-B7D9-6C159423CA2C}" name="Miss" dataDxfId="105">
      <calculatedColumnFormula>IF(AND(ORSA_Valids_SIMs[[#This Row],[Excluded]] = 0, OR(ORSA_Valids_SIMs[[#This Row],[Operator Follow-up]] = 1, ORSA_Valids_SIMs[[#This Row],[False Resolution]] = 1, ORSA_Valids_SIMs[[#This Row],[SLA]] = 1, ISNUMBER( SEARCH("Miss", ORSA_Valids_SIMs[[#This Row],[Labels]])))), 1, 0)</calculatedColumnFormula>
    </tableColumn>
    <tableColumn id="12" xr3:uid="{B2E2E355-7753-4DE8-8D70-1C4BEC9A10A3}" name="CI" dataDxfId="104">
      <calculatedColumnFormula>ORSA_Valids_SIMs[[#This Row],[Miss]]</calculatedColumnFormula>
    </tableColumn>
    <tableColumn id="13" xr3:uid="{4B7C2064-BE9A-4668-8EBB-911164D247C6}" name="NCI" dataDxfId="103">
      <calculatedColumnFormula>IF(AND(ORSA_Valids_SIMs[[#This Row],[CI]] = 0, ORSA_Valids_SIMs[[#This Row],[Miss]] = 1), 1, 0)</calculatedColumnFormula>
    </tableColumn>
    <tableColumn id="14" xr3:uid="{9D5A1438-6A8B-446D-A276-65ADDA3D0989}" name="Operator Follow-up" dataDxfId="102">
      <calculatedColumnFormula>IF(AND(ORSA_Valids_SIMs[[#This Row],[Excluded]] = 0, OR(ORSA_Valids_SIMs[[#This Row],[Operator Follow-up Miss]] &lt;&gt; "", ISNUMBER(SEARCH("Operator Follow Up", ORSA_Valids_SIMs[[#This Row],[Labels]])))), 1, 0)</calculatedColumnFormula>
    </tableColumn>
    <tableColumn id="15" xr3:uid="{28BD4CAB-F0A7-4A23-8849-41F9AE495AB0}" name="False Resolution" dataDxfId="101">
      <calculatedColumnFormula>IF(AND(ORSA_Valids_SIMs[[#This Row],[Excluded]] = 0, OR(ORSA_Valids_SIMs[[#This Row],[False Resolution Miss]] &lt;&gt; "", ISNUMBER(SEARCH("False Resolution", ORSA_Valids_SIMs[[#This Row],[Labels]])))), 1, 0)</calculatedColumnFormula>
    </tableColumn>
    <tableColumn id="16" xr3:uid="{3FDE79CB-48C3-462F-86E7-EE45CEA6636F}" name="SLA" dataDxfId="100">
      <calculatedColumnFormula>IF(AND(ORSA_Valids_SIMs[[#This Row],[Excluded]] = 0, OR(ORSA_Valids_SIMs[[#This Row],[SLA Miss]] &lt;&gt; "", ISNUMBER(SEARCH("SLA", ORSA_Valids_SIMs[[#This Row],[Labels]])))), 1, 0)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D22B0AA-96C3-4EED-92B6-BD0CA09A3479}" name="ORSA_Invalids_SIMs" displayName="ORSA_Invalids_SIMs" ref="A1:S2" totalsRowShown="0" headerRowDxfId="99" dataDxfId="97" headerRowBorderDxfId="98" tableBorderDxfId="96">
  <autoFilter ref="A1:S2" xr:uid="{B79B396C-3590-4790-8A1E-F366F0B41883}"/>
  <tableColumns count="19">
    <tableColumn id="19" xr3:uid="{69DE8007-7C94-4039-831E-BE0EC58D3863}" name="ID"/>
    <tableColumn id="1" xr3:uid="{251036D2-76A5-42D6-B08E-E27343D85D7F}" name="Issue Url"/>
    <tableColumn id="2" xr3:uid="{493DA345-87D5-4E9F-AD7C-D45A76ABF46B}" name="Title"/>
    <tableColumn id="3" xr3:uid="{A6207611-85AA-4A84-8207-862FFB8182D0}" name="Labels"/>
    <tableColumn id="18" xr3:uid="{2AEDB487-D643-4EEA-8D7C-2A35ADAF9F45}" name="Next Step Action"/>
    <tableColumn id="4" xr3:uid="{7B9E64CE-7080-4AD8-A95F-DE0506AA65F6}" name="Data Status"/>
    <tableColumn id="5" xr3:uid="{96ECE801-50DD-4DC2-A59A-6E5DA425DDA2}" name="Operator Follow-up Miss"/>
    <tableColumn id="6" xr3:uid="{38B5EADF-8E4E-4A2A-8CAD-C88507262E4B}" name="False Resolution Miss"/>
    <tableColumn id="7" xr3:uid="{4D598E4F-3430-46B2-B67D-E7B36178DB26}" name="SLA Miss"/>
    <tableColumn id="8" xr3:uid="{945AFB6E-20F0-4AE7-AA76-3A5748DFEE4B}" name="Ops Date" dataDxfId="95">
      <calculatedColumnFormula>_xlfn.LET(_xlpm.protoKey,
 TRIM(RIGHT(LEFT(ORSA_Invalids_SIMs[[#This Row],[Title]], IFERROR(
   SEARCH("/" &amp; TEXT(TODAY(), "YYYY") - 1, ORSA_Invalids_SIMs[[#This Row],[Title]]),
   SEARCH("/" &amp; TEXT(TODAY(), "YYYY"),  ORSA_Invalids_SIMs[[#This Row],[Title]])) + 4), 10)),
 DATEVALUE(TEXT(IFERROR(IFERROR(
  MOD(LEFT(_xlpm.protoKey), 1) + _xlpm.protoKey,
  REPLACE(_xlpm.protoKey, 1, 1, "")),
  "N/A"), "MM/DD/YYYY")))</calculatedColumnFormula>
    </tableColumn>
    <tableColumn id="9" xr3:uid="{B22B5C71-783F-4373-BB02-A16FA40CE352}" name="Ops Week" dataDxfId="94">
      <calculatedColumnFormula>IFERROR(WEEKNUM(ORSA_Invalids_SIMs[[#This Row],[Ops Date]]), "N/A")</calculatedColumnFormula>
    </tableColumn>
    <tableColumn id="17" xr3:uid="{337D2A1C-E20C-4D1A-92A8-CEB9FD904B04}" name="Ops Month" dataDxfId="93">
      <calculatedColumnFormula>IFERROR(MONTH(ORSA_Invalids_SIMs[[#This Row],[Ops Date]]), "N/A")</calculatedColumnFormula>
    </tableColumn>
    <tableColumn id="10" xr3:uid="{BFB271BB-2457-4969-9B19-23BA97C4551A}" name="Excluded" dataDxfId="92">
      <calculatedColumnFormula>IF(OR(ISNUMBER(SEARCH("Excluded", ORSA_Invalids_SIMs[[#This Row],[Labels]])), ISNUMBER(SEARCH("Quality", ORSA_Invalids_SIMs[[#This Row],[Data Status]])), ISNUMBER(SEARCH("Exception", ORSA_Invalids_SIMs[[#This Row],[Data Status]]))), 1, 0)</calculatedColumnFormula>
    </tableColumn>
    <tableColumn id="11" xr3:uid="{D0F94D09-8399-4B58-AD3A-C98ECCC1076E}" name="Miss" dataDxfId="91">
      <calculatedColumnFormula>IF(AND(ORSA_Invalids_SIMs[[#This Row],[Excluded]] = 0, OR(ORSA_Invalids_SIMs[[#This Row],[Operator Follow-up]] = 1, ORSA_Invalids_SIMs[[#This Row],[False Resolution]] = 1, ORSA_Invalids_SIMs[[#This Row],[SLA]] = 1, ISNUMBER( SEARCH("Miss", ORSA_Invalids_SIMs[[#This Row],[Labels]])))), 1, 0)</calculatedColumnFormula>
    </tableColumn>
    <tableColumn id="12" xr3:uid="{B9C64ADF-4B32-48EB-A05E-EABE3AB01672}" name="CI" dataDxfId="90">
      <calculatedColumnFormula>ORSA_Invalids_SIMs[[#This Row],[Miss]]</calculatedColumnFormula>
    </tableColumn>
    <tableColumn id="13" xr3:uid="{59F68FA0-DEB1-4FA1-BF45-3FE991BDD1F6}" name="NCI" dataDxfId="89">
      <calculatedColumnFormula>IF(AND(ORSA_Invalids_SIMs[[#This Row],[CI]] = 0, ORSA_Invalids_SIMs[[#This Row],[Miss]] = 1), 1, 0)</calculatedColumnFormula>
    </tableColumn>
    <tableColumn id="14" xr3:uid="{AD3216EF-3D6C-46F6-AEFC-679C980BF373}" name="Operator Follow-up" dataDxfId="88">
      <calculatedColumnFormula>IF(AND(ORSA_Invalids_SIMs[[#This Row],[Excluded]] = 0, OR(ORSA_Invalids_SIMs[[#This Row],[Operator Follow-up Miss]] &lt;&gt; "", ISNUMBER(SEARCH("Operator Follow Up", ORSA_Invalids_SIMs[[#This Row],[Labels]])))), 1, 0)</calculatedColumnFormula>
    </tableColumn>
    <tableColumn id="15" xr3:uid="{0FB11836-D62B-46A6-8E6A-1D963A8715F2}" name="False Resolution" dataDxfId="87">
      <calculatedColumnFormula>IF(AND(ORSA_Invalids_SIMs[[#This Row],[Excluded]] = 0, OR(ORSA_Invalids_SIMs[[#This Row],[False Resolution Miss]] &lt;&gt; "", ISNUMBER(SEARCH("False Resolution", ORSA_Invalids_SIMs[[#This Row],[Labels]])))), 1, 0)</calculatedColumnFormula>
    </tableColumn>
    <tableColumn id="16" xr3:uid="{E7E46DD1-BF09-4AFF-B912-6374E219F11A}" name="SLA" dataDxfId="86">
      <calculatedColumnFormula>IF(AND(ORSA_Invalids_SIMs[[#This Row],[Excluded]] = 0, OR(ORSA_Invalids_SIMs[[#This Row],[SLA Miss]] &lt;&gt; "", ISNUMBER(SEARCH("SLA", ORSA_Invalids_SIMs[[#This Row],[Labels]])))), 1, 0)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A96B2BA-1296-4878-B23A-69767357FEA5}" name="ORSA_Warnings_Miss_SIMs" displayName="ORSA_Warnings_Miss_SIMs" ref="A1:S69" totalsRowShown="0" headerRowDxfId="14" dataDxfId="13" headerRowBorderDxfId="11" tableBorderDxfId="12">
  <autoFilter ref="A1:S69" xr:uid="{B79B396C-3590-4790-8A1E-F366F0B41883}"/>
  <tableColumns count="19">
    <tableColumn id="19" xr3:uid="{CFA948A7-BAC1-4215-8AC8-D344AEC0058F}" name="ID"/>
    <tableColumn id="1" xr3:uid="{75C9C5A8-33EE-4406-B439-1CE77EA34DF5}" name="Issue Url"/>
    <tableColumn id="2" xr3:uid="{D414F295-9767-4670-AA7B-12DA58A71629}" name="Title"/>
    <tableColumn id="3" xr3:uid="{BF3E74F4-5FE6-4868-9800-4260CB802176}" name="Labels"/>
    <tableColumn id="18" xr3:uid="{58F3A360-830E-41AB-AA75-E547D5C4853F}" name="Next Step Action"/>
    <tableColumn id="4" xr3:uid="{9068E689-065C-47EC-9F89-87EE5C6C046F}" name="Data Status"/>
    <tableColumn id="5" xr3:uid="{A185A2D0-E69E-4175-9335-A01767A25767}" name="Operator Follow-up Miss"/>
    <tableColumn id="6" xr3:uid="{9D03E12B-5393-4EC8-A8CE-F0B0643ADD55}" name="False Resolution Miss"/>
    <tableColumn id="7" xr3:uid="{727CE8DE-D2F6-4F01-B666-94C3F38F2A61}" name="SLA Miss"/>
    <tableColumn id="8" xr3:uid="{2F813EE8-B8B8-442F-85A3-95F75B77A7E8}" name="Ops Date" dataDxfId="10">
      <calculatedColumnFormula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calculatedColumnFormula>
    </tableColumn>
    <tableColumn id="9" xr3:uid="{FC5DD515-3EA0-4342-8929-3A1A469C7284}" name="Ops Week" dataDxfId="9">
      <calculatedColumnFormula>IFERROR(WEEKNUM(ORSA_Warnings_Miss_SIMs[[#This Row],[Ops Date]]), "N/A")</calculatedColumnFormula>
    </tableColumn>
    <tableColumn id="17" xr3:uid="{7530A1F3-D716-4933-AAF6-AAB3CD7E7494}" name="Ops Month" dataDxfId="8">
      <calculatedColumnFormula>IFERROR(MONTH(ORSA_Warnings_Miss_SIMs[[#This Row],[Ops Date]]), "N/A")</calculatedColumnFormula>
    </tableColumn>
    <tableColumn id="10" xr3:uid="{40AA6810-FE90-4082-92F3-9A922FB71744}" name="Excluded" dataDxfId="7">
      <calculatedColumnFormula>IF(OR(ISNUMBER(SEARCH("Excluded", ORSA_Warnings_Miss_SIMs[[#This Row],[Labels]])), ISNUMBER(SEARCH("Quality", ORSA_Warnings_Miss_SIMs[[#This Row],[Data Status]])), ISNUMBER(SEARCH("Exception", ORSA_Warnings_Miss_SIMs[[#This Row],[Data Status]]))), 1, 0)</calculatedColumnFormula>
    </tableColumn>
    <tableColumn id="11" xr3:uid="{D3D4D0EF-DE3C-40D7-92DC-1999A56C6D5C}" name="Miss" dataDxfId="6">
      <calculatedColumnFormula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calculatedColumnFormula>
    </tableColumn>
    <tableColumn id="12" xr3:uid="{42BDE47B-9D11-4D52-9AEA-29B497F6EDEC}" name="CI" dataDxfId="5">
      <calculatedColumnFormula>ORSA_Warnings_Miss_SIMs[[#This Row],[Miss]]</calculatedColumnFormula>
    </tableColumn>
    <tableColumn id="13" xr3:uid="{4621FE24-719C-4295-B835-EF5BF40E5125}" name="NCI" dataDxfId="4">
      <calculatedColumnFormula>IF(AND(ORSA_Warnings_Miss_SIMs[[#This Row],[CI]] = 0, ORSA_Warnings_Miss_SIMs[[#This Row],[Miss]] = 1), 1, 0)</calculatedColumnFormula>
    </tableColumn>
    <tableColumn id="14" xr3:uid="{287FADD0-5272-46C6-B183-4606ABC8D409}" name="Operator Follow-up" dataDxfId="3">
      <calculatedColumnFormula>IF(AND(ORSA_Warnings_Miss_SIMs[[#This Row],[Excluded]] = 0, OR(ORSA_Warnings_Miss_SIMs[[#This Row],[Operator Follow-up Miss]] &lt;&gt; "", ISNUMBER(SEARCH("Operator Follow Up", ORSA_Warnings_Miss_SIMs[[#This Row],[Labels]])))), 1, 0)</calculatedColumnFormula>
    </tableColumn>
    <tableColumn id="15" xr3:uid="{A618019F-B337-420E-BE7A-FA63416D7F7C}" name="False Resolution" dataDxfId="2">
      <calculatedColumnFormula>IF(AND(ORSA_Warnings_Miss_SIMs[[#This Row],[Excluded]] = 0, OR(ORSA_Warnings_Miss_SIMs[[#This Row],[False Resolution Miss]] &lt;&gt; "", ISNUMBER(SEARCH("False Resolution", ORSA_Warnings_Miss_SIMs[[#This Row],[Labels]])))), 1, 0)</calculatedColumnFormula>
    </tableColumn>
    <tableColumn id="16" xr3:uid="{2C88FAE3-DF56-4E04-9243-5B59E3D407E5}" name="SLA" dataDxfId="1">
      <calculatedColumnFormula>IF(AND(ORSA_Warnings_Miss_SIMs[[#This Row],[Excluded]] = 0, OR(ORSA_Warnings_Miss_SIMs[[#This Row],[SLA Miss]] &lt;&gt; "", ISNUMBER(SEARCH("SLA", ORSA_Warnings_Miss_SIMs[[#This Row],[Labels]])))), 1, 0)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5BDB213-E4F8-4663-9A6F-2A29E3E1FDCF}" name="MOPAR_Manual_Captures_SIMs" displayName="MOPAR_Manual_Captures_SIMs" ref="A1:P2" totalsRowShown="0" headerRowDxfId="85" dataDxfId="83" headerRowBorderDxfId="84" tableBorderDxfId="82">
  <autoFilter ref="A1:P2" xr:uid="{C5BDB213-E4F8-4663-9A6F-2A29E3E1FDCF}"/>
  <tableColumns count="16">
    <tableColumn id="1" xr3:uid="{E1FB5FC5-A49D-4BF3-A6B3-AC616ECD5894}" name="Issue Url"/>
    <tableColumn id="2" xr3:uid="{499CD91F-B8C0-4EA0-9DE7-604D35E0AA1E}" name="Title"/>
    <tableColumn id="3" xr3:uid="{51688785-F8FC-46C2-B7FC-2D669F69378D}" name="Labels"/>
    <tableColumn id="4" xr3:uid="{B5F4DC26-55F6-48F5-AC6B-06EFEDC1FEE2}" name="Data Status"/>
    <tableColumn id="5" xr3:uid="{9F5959D6-7582-44BE-84C1-DFE216F699FA}" name="Operator Follow-up Miss"/>
    <tableColumn id="6" xr3:uid="{E0D24926-9630-450B-B7B0-49829E7812FA}" name="False Resolution Miss"/>
    <tableColumn id="7" xr3:uid="{1725E8E8-43D5-4DF2-9460-82D3F12A7F57}" name="SLA Miss"/>
    <tableColumn id="8" xr3:uid="{6BEFDCD7-695D-4560-B1E8-C03FDA2BC17B}" name="Ops Date" dataDxfId="81">
      <calculatedColumnFormula>_xlfn.LET(_xlpm.protoKey,
 TRIM(RIGHT(LEFT(MOPAR_Manual_Captures_SIMs[[#This Row],[Title]], IFERROR(
   SEARCH("/" &amp; TEXT(TODAY(), "YYYY") - 1, MOPAR_Manual_Captures_SIMs[[#This Row],[Title]]),
   SEARCH("/" &amp; TEXT(TODAY(), "YYYY"),  MOPAR_Manual_Captures_SIMs[[#This Row],[Title]])) + 4), 10)),
  DATEVALUE(TEXT(IFERROR(IFERROR(
  MOD(LEFT(_xlpm.protoKey), 1) + _xlpm.protoKey,
  REPLACE(_xlpm.protoKey, 1, 1, "")),
  "N/A"), "MM/DD/YYYY")))</calculatedColumnFormula>
    </tableColumn>
    <tableColumn id="9" xr3:uid="{46B54427-50E0-4566-B1B8-CAE22B9AD4C0}" name="Ops Week" dataDxfId="80">
      <calculatedColumnFormula>IFERROR(WEEKNUM(MOPAR_Manual_Captures_SIMs[[#This Row],[Ops Date]]), "N/A")</calculatedColumnFormula>
    </tableColumn>
    <tableColumn id="10" xr3:uid="{97E591E7-F40D-4949-B29B-79EF4B56CC61}" name="Excluded" dataDxfId="79">
      <calculatedColumnFormula>IF(OR(ISNUMBER(SEARCH("Excluded", MOPAR_Manual_Captures_SIMs[[#This Row],[Labels]])), ISNUMBER(SEARCH("Quality", MOPAR_Manual_Captures_SIMs[[#This Row],[Data Status]])), ISNUMBER(SEARCH("Exception", MOPAR_Manual_Captures_SIMs[[#This Row],[Data Status]]))), 1, 0)</calculatedColumnFormula>
    </tableColumn>
    <tableColumn id="11" xr3:uid="{C42C4FD6-147D-4E33-A56C-3C65B973D08C}" name="Miss" dataDxfId="78">
      <calculatedColumnFormula>IF(AND(MOPAR_Manual_Captures_SIMs[[#This Row],[Excluded]] = 0, OR(MOPAR_Manual_Captures_SIMs[[#This Row],[Operator Follow-up]] = 1, MOPAR_Manual_Captures_SIMs[[#This Row],[False Resolution]] = 1, MOPAR_Manual_Captures_SIMs[[#This Row],[SLA]] = 1, ISNUMBER( SEARCH("Miss", MOPAR_Manual_Captures_SIMs[[#This Row],[Labels]])))), 1, 0)</calculatedColumnFormula>
    </tableColumn>
    <tableColumn id="12" xr3:uid="{0C061CC3-CC4D-41A2-B14D-10A7B8676846}" name="CI" dataDxfId="77">
      <calculatedColumnFormula>MOPAR_Manual_Captures_SIMs[[#This Row],[Miss]]</calculatedColumnFormula>
    </tableColumn>
    <tableColumn id="13" xr3:uid="{217ADC27-90D4-4EA2-BF8C-D7015EFB66FA}" name="NCI" dataDxfId="76">
      <calculatedColumnFormula>IF(AND(MOPAR_Manual_Captures_SIMs[[#This Row],[CI]] = 0, MOPAR_Manual_Captures_SIMs[[#This Row],[Miss]] = 1), 1, 0)</calculatedColumnFormula>
    </tableColumn>
    <tableColumn id="14" xr3:uid="{B1E59FD2-B7F9-42BE-A4E3-C085E2CEC4B5}" name="Operator Follow-up" dataDxfId="75">
      <calculatedColumnFormula>IF(AND(MOPAR_Manual_Captures_SIMs[[#This Row],[Excluded]] = 0, OR(MOPAR_Manual_Captures_SIMs[[#This Row],[Operator Follow-up Miss]] &lt;&gt; "", ISNUMBER(SEARCH("Operator Follow Up", MOPAR_Manual_Captures_SIMs[[#This Row],[Labels]])))), 1, 0)</calculatedColumnFormula>
    </tableColumn>
    <tableColumn id="15" xr3:uid="{1729355F-C4C2-482C-83C6-8E73CAF94112}" name="False Resolution" dataDxfId="74">
      <calculatedColumnFormula>IF(AND(MOPAR_Manual_Captures_SIMs[[#This Row],[Excluded]] = 0, OR(MOPAR_Manual_Captures_SIMs[[#This Row],[False Resolution Miss]] &lt;&gt; "", ISNUMBER(SEARCH("False Resolution", MOPAR_Manual_Captures_SIMs[[#This Row],[Labels]])))), 1, 0)</calculatedColumnFormula>
    </tableColumn>
    <tableColumn id="16" xr3:uid="{C0D6BD1C-288F-44DB-A1BC-CBC56E6B2184}" name="SLA" dataDxfId="73">
      <calculatedColumnFormula>IF(AND(MOPAR_Manual_Captures_SIMs[[#This Row],[Excluded]] = 0, OR(MOPAR_Manual_Captures_SIMs[[#This Row],[SLA Miss]] &lt;&gt; "", ISNUMBER(SEARCH("SLA", MOPAR_Manual_Captures_SIMs[[#This Row],[Labels]])))), 1, 0)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47AA46-F2F7-41D6-B827-9A69B83BA60B}" name="Label_Dictionary" displayName="Label_Dictionary" ref="A2:B1392" totalsRowShown="0" headerRowDxfId="72" headerRowBorderDxfId="71" tableBorderDxfId="70" totalsRowBorderDxfId="69">
  <autoFilter ref="A2:B1392" xr:uid="{2B47AA46-F2F7-41D6-B827-9A69B83BA60B}"/>
  <sortState xmlns:xlrd2="http://schemas.microsoft.com/office/spreadsheetml/2017/richdata2" ref="A3:B414">
    <sortCondition ref="B2:B414"/>
  </sortState>
  <tableColumns count="2">
    <tableColumn id="1" xr3:uid="{EBB648A9-8D10-4ACE-B5C3-48579C2DFB94}" name="Key" dataDxfId="68"/>
    <tableColumn id="2" xr3:uid="{56710E75-C6A8-4DA3-8418-F00670610E91}" name="Value" dataDxfId="67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969F46-E94D-46BF-A314-3F1E362F68B0}" name="Process_Folder_Dictionary" displayName="Process_Folder_Dictionary" ref="D2:E15" totalsRowShown="0" headerRowDxfId="66" headerRowBorderDxfId="65" tableBorderDxfId="64" totalsRowBorderDxfId="63">
  <autoFilter ref="D2:E15" xr:uid="{47969F46-E94D-46BF-A314-3F1E362F68B0}"/>
  <tableColumns count="2">
    <tableColumn id="1" xr3:uid="{270D1718-5E54-4FCA-8A11-96E4BE13260E}" name="Key" dataDxfId="62"/>
    <tableColumn id="2" xr3:uid="{DA939BE1-6668-4720-8A97-A5AB00BDC4B5}" name="Value" dataDxfId="61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E01ECB6-3D9B-496B-AB47-4032849A7501}" name="NAME_SIMs" displayName="NAME_SIMs" ref="A1:P2" totalsRowShown="0" headerRowDxfId="60" dataDxfId="58" headerRowBorderDxfId="59" tableBorderDxfId="57">
  <autoFilter ref="A1:P2" xr:uid="{46A6FD2A-E978-4E3B-8E74-2FF5AFE21F34}"/>
  <tableColumns count="16">
    <tableColumn id="1" xr3:uid="{62071B71-043C-4245-989C-0450353D2754}" name="Issue Url"/>
    <tableColumn id="2" xr3:uid="{0D6E8E95-2AD6-4250-A902-4ED25BCEA933}" name="Title"/>
    <tableColumn id="3" xr3:uid="{387400D7-521C-4796-A058-45EA8399E450}" name="Labels"/>
    <tableColumn id="4" xr3:uid="{D4A0D962-AA50-4AF8-B1C5-9B86024F6C32}" name="Data Status"/>
    <tableColumn id="5" xr3:uid="{4E7986DC-5290-43AC-AE74-E4C714E88F7D}" name="Operator Follow-up Miss"/>
    <tableColumn id="6" xr3:uid="{6CE260D8-674D-4577-82C9-0868BC014251}" name="False Resolution Miss"/>
    <tableColumn id="7" xr3:uid="{FF94B532-1BEC-4FFB-978F-8DF0C18F9699}" name="SLA Miss"/>
    <tableColumn id="8" xr3:uid="{C7DEE5EA-1112-4233-8ECA-D133E1E4449F}" name="Ops Date" dataDxfId="56">
      <calculatedColumnFormula>_xlfn.LET(_xlpm.protoKey,
 TRIM(RIGHT(LEFT(NAME_SIMs[[#This Row],[Title]], IFERROR(
   SEARCH("/" &amp; TEXT(TODAY(), "YYYY") - 1, NAME_SIMs[[#This Row],[Title]]),
   SEARCH("/" &amp; TEXT(TODAY(), "YYYY"),  NAME_SIMs[[#This Row],[Title]])) + 4), 10)),
  DATEVALUE(TEXT(IFERROR(IFERROR(
  MOD(LEFT(_xlpm.protoKey), 1) + _xlpm.protoKey,
  REPLACE(_xlpm.protoKey, 1, 1, "")),
  "N/A"), "MM/DD/YYYY")))</calculatedColumnFormula>
    </tableColumn>
    <tableColumn id="9" xr3:uid="{F76CCFD7-40A1-4228-84A0-C263D5BE7472}" name="Ops Week" dataDxfId="55">
      <calculatedColumnFormula>IFERROR(WEEKNUM(NAME_SIMs[[#This Row],[Ops Date]]), "N/A")</calculatedColumnFormula>
    </tableColumn>
    <tableColumn id="10" xr3:uid="{EC495AB8-8F29-431F-AADC-6F14901DD47F}" name="Excluded" dataDxfId="54">
      <calculatedColumnFormula>IF(OR(ISNUMBER(SEARCH("Excluded", NAME_SIMs[[#This Row],[Labels]])), ISNUMBER(SEARCH("Quality", NAME_SIMs[[#This Row],[Data Status]])), ISNUMBER(SEARCH("Exception", NAME_SIMs[[#This Row],[Data Status]]))), 1, 0)</calculatedColumnFormula>
    </tableColumn>
    <tableColumn id="11" xr3:uid="{3D2F568E-1957-4383-8968-BF59097372F4}" name="Miss" dataDxfId="53">
      <calculatedColumnFormula>IF(AND(NAME_SIMs[[#This Row],[Excluded]] = 0, OR(NAME_SIMs[[#This Row],[Operator Follow-up]] = 1, NAME_SIMs[[#This Row],[False Resolution]] = 1, NAME_SIMs[[#This Row],[SLA]] = 1, ISNUMBER( SEARCH("Miss", NAME_SIMs[[#This Row],[Labels]])))), 1, 0)</calculatedColumnFormula>
    </tableColumn>
    <tableColumn id="12" xr3:uid="{92500793-E86E-40AE-9732-BA79079E7990}" name="CI" dataDxfId="52">
      <calculatedColumnFormula>IF(AND(NAME_SIMs[[#This Row],[Miss]] = 1, NAME_SIMs[[#This Row],[Operator Follow-up]] = 0, NAME_SIMs[[#This Row],[False Resolution]] = 0), 1,
IF(AND(NAME_SIMs[[#This Row],[Operator Follow-up]] = 1,
 NAME_SIMs[[#This Row],[Operator Follow-up Miss]] &lt;&gt; "AA didn’t leave accurately complete the “Resolution Comments” in salesforce (“WKXX Reimbursements: $ _____ Fuel, $ _____ DEF, XX/XX/XXXX”),"), 1,
IF(AND(NAME_SIMs[[#This Row],[False Resolution]] = 1,
 NAME_SIMs[[#This Row],[False Resolution Miss]] &lt;&gt; "AA didn’t accurately update the case status in salesforce,"), 1,
0)))</calculatedColumnFormula>
    </tableColumn>
    <tableColumn id="13" xr3:uid="{E396487F-7275-4BD5-BBC2-E195E03702F5}" name="NCI" dataDxfId="51">
      <calculatedColumnFormula>IF(AND(NAME_SIMs[[#This Row],[CI]] = 0, NAME_SIMs[[#This Row],[Miss]] = 1), 1, 0)</calculatedColumnFormula>
    </tableColumn>
    <tableColumn id="14" xr3:uid="{30B70426-9CE9-4309-A9B9-383E336CD37E}" name="Operator Follow-up" dataDxfId="50">
      <calculatedColumnFormula>IF(AND(NAME_SIMs[[#This Row],[Excluded]] = 0, OR(NAME_SIMs[[#This Row],[Operator Follow-up Miss]] &lt;&gt; "", ISNUMBER(SEARCH("Operator Follow Up", NAME_SIMs[[#This Row],[Labels]])))), 1, 0)</calculatedColumnFormula>
    </tableColumn>
    <tableColumn id="15" xr3:uid="{E12B77DF-BF86-4CEE-84A3-C63A67FAFB5F}" name="False Resolution" dataDxfId="49">
      <calculatedColumnFormula>IF(AND(NAME_SIMs[[#This Row],[Excluded]] = 0, OR(NAME_SIMs[[#This Row],[False Resolution Miss]] &lt;&gt; "", ISNUMBER(SEARCH("False Resolution", NAME_SIMs[[#This Row],[Labels]])))), 1, 0)</calculatedColumnFormula>
    </tableColumn>
    <tableColumn id="16" xr3:uid="{CBEF76AC-4746-4EDA-8216-E66069637252}" name="SLA" dataDxfId="48">
      <calculatedColumnFormula>IF(AND(NAME_SIMs[[#This Row],[Excluded]] = 0, OR(NAME_SIMs[[#This Row],[SLA Miss]] &lt;&gt; "", ISNUMBER(SEARCH("SLA", NAME_SIMs[[#This Row],[Labels]])))), 1, 0)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CA6CC3D-6811-45EA-A8F0-3B175CB3B132}" name="AFS_CI" displayName="AFS_CI" ref="A4:B11" totalsRowShown="0">
  <autoFilter ref="A4:B11" xr:uid="{ACA6CC3D-6811-45EA-A8F0-3B175CB3B132}"/>
  <tableColumns count="2">
    <tableColumn id="1" xr3:uid="{6F12C1C8-196F-41B0-A29C-7FB58CBCE1FF}" name="False Resolution"/>
    <tableColumn id="2" xr3:uid="{9B3161F9-3500-4B3B-A6C0-5AA13090420A}" name="Operator Follow-up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6C8C16E-D0D3-4D31-80DE-EE08B7EFA829}" name="Ungrounding_CI" displayName="Ungrounding_CI" ref="D4:D13" totalsRowShown="0">
  <autoFilter ref="D4:D13" xr:uid="{86C8C16E-D0D3-4D31-80DE-EE08B7EFA829}"/>
  <tableColumns count="1">
    <tableColumn id="1" xr3:uid="{227CFF00-A110-4EBB-9A09-E9A355D9BAFA}" name="False Resolution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EC21586-FFE8-42AD-9015-1B98BA777BB1}" name="VFC_CI" displayName="VFC_CI" ref="F4:H7" totalsRowShown="0">
  <autoFilter ref="F4:H7" xr:uid="{2EC21586-FFE8-42AD-9015-1B98BA777BB1}"/>
  <tableColumns count="3">
    <tableColumn id="1" xr3:uid="{DDFB2094-0079-4B75-A1C8-307DDBD7E5B8}" name="False Resolution"/>
    <tableColumn id="2" xr3:uid="{960F40F3-9794-49AC-80CC-C1C30EDF8A9E}" name="Operator Follow-up"/>
    <tableColumn id="3" xr3:uid="{AE397A9A-8411-4BF1-A078-022995C3D45E}" name="SLA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1701C5D-1524-405E-B3FE-0E4648D05902}" name="Reimbursements_CI" displayName="Reimbursements_CI" ref="J4:L10" totalsRowShown="0">
  <autoFilter ref="J4:L10" xr:uid="{C1701C5D-1524-405E-B3FE-0E4648D05902}"/>
  <tableColumns count="3">
    <tableColumn id="1" xr3:uid="{0123849A-FFC0-43D4-B729-0023AD57D288}" name="False Resolution"/>
    <tableColumn id="2" xr3:uid="{014BB816-D0FE-4351-A3A9-8EB08DAB2802}" name="Operator Follow-up"/>
    <tableColumn id="3" xr3:uid="{3B63E249-6B4E-4F88-A6D2-864FCECC75C4}" name="SLA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040F2FB-CEF6-4EAA-83BB-BF137383E72B}" name="SWA_CI" displayName="SWA_CI" ref="N4:P10" totalsRowShown="0">
  <autoFilter ref="N4:P10" xr:uid="{A040F2FB-CEF6-4EAA-83BB-BF137383E72B}"/>
  <tableColumns count="3">
    <tableColumn id="1" xr3:uid="{85847D37-4170-41C9-A14A-0DAAD97BF449}" name="False Resolution"/>
    <tableColumn id="2" xr3:uid="{C769E87C-EBCE-4342-954B-FA3ED1DC3EDF}" name="Operator Follow-up"/>
    <tableColumn id="3" xr3:uid="{CBBA3C49-9BFC-45DF-A356-673225CB0868}" name="SLA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D23E93-1BEC-416B-BB10-A7B3D6C79EFE}" name="PM_CI" displayName="PM_CI" ref="R4:R9" totalsRowShown="0">
  <autoFilter ref="R4:R9" xr:uid="{A8D23E93-1BEC-416B-BB10-A7B3D6C79EFE}"/>
  <tableColumns count="1">
    <tableColumn id="1" xr3:uid="{686CA120-FB70-4CE7-8652-F1D49BEA7C5B}" name="False Resolution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DD2AB2-4791-4A63-80ED-DB1F63B51F72}" name="Demonstration" displayName="Demonstration" ref="J7:M19" totalsRowShown="0" headerRowDxfId="47">
  <autoFilter ref="J7:M19" xr:uid="{EADD2AB2-4791-4A63-80ED-DB1F63B51F72}"/>
  <tableColumns count="4">
    <tableColumn id="1" xr3:uid="{DBAC19F4-03EB-4B32-AC05-9371AB386C58}" name="Title" dataDxfId="46"/>
    <tableColumn id="4" xr3:uid="{39993A1C-4FB8-4881-96FB-9600CA9C9D5B}" name="protoKey" dataDxfId="45">
      <calculatedColumnFormula>TRIM(RIGHT(LEFT(Demonstration[[#This Row],[Title]], IFERROR(
  SEARCH("/"&amp;TEXT(TODAY(), "YYYY")-1, Demonstration[[#This Row],[Title]]),
  SEARCH("/"&amp;TEXT(TODAY(), "YYYY"), Demonstration[[#This Row],[Title]]))+4), 10))</calculatedColumnFormula>
    </tableColumn>
    <tableColumn id="5" xr3:uid="{4B8A2CE2-E4BA-4932-B9C6-F5C91BF689E7}" name="Ops Date" dataDxfId="44">
      <calculatedColumnFormula>TEXT(IFERROR(
 MOD(LEFT(Demonstration[[#This Row],[protoKey]]), 1)+Demonstration[[#This Row],[protoKey]],
 REPLACE(Demonstration[[#This Row],[protoKey]], 1, 1, "")),"M/D/YYYY")</calculatedColumnFormula>
    </tableColumn>
    <tableColumn id="2" xr3:uid="{290B3E35-2D07-4DF0-80DC-BD42B9840007}" name="[Long Form]" dataDxfId="43">
      <calculatedColumnFormula array="1">TEXT(IFERROR(
 MOD(LEFT(TRIM(RIGHT(LEFT(Demonstration[[#This Row],[Title]], IFERROR(
  SEARCH("/"&amp;TEXT('CO Daily Flash Report'!$M$2:$M$2,"YYYY")-1, Demonstration[[#This Row],[Title]]),
  SEARCH("/"&amp;TEXT('CO Daily Flash Report'!$M$2:$M$2,"YYYY"), Demonstration[[#This Row],[Title]]))+4), 10))), 1) +
 TRIM(RIGHT(LEFT(Demonstration[[#This Row],[Title]], IFERROR(
  SEARCH("/"&amp;TEXT('CO Daily Flash Report'!$M$2:$M$2,"YYYY")-1, Demonstration[[#This Row],[Title]]),
  SEARCH("/"&amp;TEXT('CO Daily Flash Report'!$M$2:$M$2,"YYYY"), Demonstration[[#This Row],[Title]]))+4), 10)),
 REPLACE(TRIM(RIGHT(LEFT(Demonstration[[#This Row],[Title]], IFERROR(
  SEARCH("/"&amp;TEXT('CO Daily Flash Report'!$M$2:$M$2,"YYYY")-1, Demonstration[[#This Row],[Title]]),
  SEARCH("/"&amp;TEXT('CO Daily Flash Report'!$M$2:$M$2,"YYYY"), Demonstration[[#This Row],[Title]]))+4), 10)), 1, 1, "")), "M/D/YYYY")</calculatedColumnFormula>
    </tableColumn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F780A39-F3A1-475C-934C-A60C6A611A27}" name="Change_Log" displayName="Change_Log" ref="A1:C7" totalsRowShown="0">
  <autoFilter ref="A1:C7" xr:uid="{1F780A39-F3A1-475C-934C-A60C6A611A27}"/>
  <tableColumns count="3">
    <tableColumn id="1" xr3:uid="{C01ABB16-66A3-4827-82D5-41DA8F4E4565}" name="Date" dataDxfId="42"/>
    <tableColumn id="3" xr3:uid="{7825E53D-9DFD-4816-99E6-B947BF995564}" name="Login" dataDxfId="41"/>
    <tableColumn id="2" xr3:uid="{4152F565-7D6A-4CA9-AFDA-57800CA4DE14}" name="Change Log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AB476C1-F356-4BD5-AAF4-A048F19137FF}" name="CRC_War_Room_SIMs" displayName="CRC_War_Room_SIMs" ref="A1:P1652" totalsRowShown="0" headerRowDxfId="40" dataDxfId="38" headerRowBorderDxfId="39" tableBorderDxfId="37">
  <autoFilter ref="A1:P1652" xr:uid="{9AB476C1-F356-4BD5-AAF4-A048F19137FF}"/>
  <tableColumns count="16">
    <tableColumn id="1" xr3:uid="{FCA91180-9B0E-4BE2-A2A9-E051632D390C}" name="Issue Url"/>
    <tableColumn id="2" xr3:uid="{13044A07-FF7C-41C4-B2AB-94BA461FF468}" name="Title"/>
    <tableColumn id="3" xr3:uid="{C399469A-D029-4AE0-8D32-F8ADA7FA2679}" name="Labels"/>
    <tableColumn id="4" xr3:uid="{811B7ED1-49DA-472A-883A-89258A151EEE}" name="Data Status"/>
    <tableColumn id="5" xr3:uid="{33F476E4-4FBB-4B12-B7DF-50A776A51FC0}" name="Operator Follow-up Miss"/>
    <tableColumn id="6" xr3:uid="{052F65B4-1925-45A5-9763-6A235A0B43B3}" name="False Resolution Miss"/>
    <tableColumn id="7" xr3:uid="{013AF461-2D45-43FB-9117-78EBB40B01ED}" name="SLA Miss"/>
    <tableColumn id="8" xr3:uid="{AC363A6A-0B48-4932-9353-91D8DEC52CC3}" name="Ops Date" dataDxfId="36">
      <calculatedColumnFormula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calculatedColumnFormula>
    </tableColumn>
    <tableColumn id="9" xr3:uid="{7EAEE3D9-B840-40C4-9961-97E1CD08DEAB}" name="Ops Week" dataDxfId="35">
      <calculatedColumnFormula>IFERROR(WEEKNUM(CRC_War_Room_SIMs[[#This Row],[Ops Date]]), "N/A")</calculatedColumnFormula>
    </tableColumn>
    <tableColumn id="10" xr3:uid="{1B69EAE0-7EDC-4B0D-A546-EC8C6D016CFE}" name="Excluded" dataDxfId="34">
      <calculatedColumnFormula>IF(OR(ISNUMBER(SEARCH("Excluded", CRC_War_Room_SIMs[[#This Row],[Labels]])), ISNUMBER(SEARCH("Quality", CRC_War_Room_SIMs[[#This Row],[Data Status]])), ISNUMBER(SEARCH("Exception", CRC_War_Room_SIMs[[#This Row],[Data Status]]))), 1, 0)</calculatedColumnFormula>
    </tableColumn>
    <tableColumn id="11" xr3:uid="{F4D04211-E82B-45D1-BCFC-F040A6E36769}" name="Miss" dataDxfId="33">
      <calculatedColumnFormula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calculatedColumnFormula>
    </tableColumn>
    <tableColumn id="12" xr3:uid="{D69104EC-7C63-4E98-9C46-CCD5BFEDD2AA}" name="CI" dataDxfId="32">
      <calculatedColumnFormula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calculatedColumnFormula>
    </tableColumn>
    <tableColumn id="13" xr3:uid="{C44CCD84-026D-4A02-8C1D-5A41ECF09ECC}" name="NCI" dataDxfId="31">
      <calculatedColumnFormula>IF(AND(CRC_War_Room_SIMs[[#This Row],[CI]] = 0, CRC_War_Room_SIMs[[#This Row],[Miss]] = 1), 1, 0)</calculatedColumnFormula>
    </tableColumn>
    <tableColumn id="14" xr3:uid="{0AF84209-3DDA-40DC-892C-1CE3AD374161}" name="Operator Follow-up" dataDxfId="30">
      <calculatedColumnFormula>IF(AND(CRC_War_Room_SIMs[[#This Row],[Excluded]] = 0, OR(CRC_War_Room_SIMs[[#This Row],[Operator Follow-up Miss]] &lt;&gt; "", ISNUMBER(SEARCH("Operator Follow Up", CRC_War_Room_SIMs[[#This Row],[Labels]])))), 1, 0)</calculatedColumnFormula>
    </tableColumn>
    <tableColumn id="15" xr3:uid="{50871582-A13A-4202-AF5D-0A65F94BC3F3}" name="False Resolution" dataDxfId="29">
      <calculatedColumnFormula>IF(AND(CRC_War_Room_SIMs[[#This Row],[Excluded]] = 0, OR(CRC_War_Room_SIMs[[#This Row],[False Resolution Miss]] &lt;&gt; "", ISNUMBER(SEARCH("False Resolution", CRC_War_Room_SIMs[[#This Row],[Labels]])))), 1, 0)</calculatedColumnFormula>
    </tableColumn>
    <tableColumn id="16" xr3:uid="{8F45BF1F-53A5-49D7-8C15-A095F75F1E91}" name="SLA" dataDxfId="28">
      <calculatedColumnFormula>IF(AND(CRC_War_Room_SIMs[[#This Row],[Excluded]] = 0, OR(CRC_War_Room_SIMs[[#This Row],[SLA Miss]] &lt;&gt; "", ISNUMBER(SEARCH("SLA", CRC_War_Room_SIMs[[#This Row],[Labels]])))), 1, 0)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40BA4C3-2CDD-44BF-8485-89BF15EAF93A}" name="CRC_Severe_Weather_SIMs" displayName="CRC_Severe_Weather_SIMs" ref="A1:P309" totalsRowShown="0" headerRowDxfId="27" dataDxfId="25" headerRowBorderDxfId="26" tableBorderDxfId="24">
  <autoFilter ref="A1:P309" xr:uid="{F40BA4C3-2CDD-44BF-8485-89BF15EAF93A}"/>
  <tableColumns count="16">
    <tableColumn id="1" xr3:uid="{E4A24F74-720A-4C71-BA88-91D2C8EB12EA}" name="Issue Url"/>
    <tableColumn id="2" xr3:uid="{71F59E68-3AB3-490F-9561-72D970E9F8A9}" name="Title"/>
    <tableColumn id="3" xr3:uid="{C81B7FC1-805E-4A79-94A3-CE518ABB1D4C}" name="Labels"/>
    <tableColumn id="4" xr3:uid="{E23DC10E-A459-424C-A112-DD032F943D05}" name="Data Status"/>
    <tableColumn id="5" xr3:uid="{8A060B19-1D8F-4EDF-88C2-C54EAF43D2A4}" name="Operator Follow-up Miss"/>
    <tableColumn id="6" xr3:uid="{2183B9A6-BB43-4839-B71A-DB4301B18030}" name="False Resolution Miss"/>
    <tableColumn id="7" xr3:uid="{CB99B1FA-E051-4590-BEAD-40E6ADD0EB49}" name="SLA Miss"/>
    <tableColumn id="8" xr3:uid="{31693CD1-2946-4350-A510-E991C176E15F}" name="Ops Date" dataDxfId="23">
      <calculatedColumnFormula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calculatedColumnFormula>
    </tableColumn>
    <tableColumn id="9" xr3:uid="{0FFA9A09-BAA5-41A9-9B75-6750F286C62C}" name="Ops Week" dataDxfId="22">
      <calculatedColumnFormula>IFERROR(WEEKNUM(CRC_Severe_Weather_SIMs[[#This Row],[Ops Date]]), "N/A")</calculatedColumnFormula>
    </tableColumn>
    <tableColumn id="10" xr3:uid="{EA599C17-1254-4D7A-8488-E33D78834017}" name="Excluded" dataDxfId="21">
      <calculatedColumnFormula>IF(OR(ISNUMBER(SEARCH("Excluded", CRC_Severe_Weather_SIMs[[#This Row],[Labels]])), ISNUMBER(SEARCH("Quality", CRC_Severe_Weather_SIMs[[#This Row],[Data Status]])), ISNUMBER(SEARCH("Exception", CRC_Severe_Weather_SIMs[[#This Row],[Data Status]]))), 1, 0)</calculatedColumnFormula>
    </tableColumn>
    <tableColumn id="11" xr3:uid="{38595937-B74E-49F4-84AA-DDC9956055E3}" name="Miss" dataDxfId="20">
      <calculatedColumnFormula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calculatedColumnFormula>
    </tableColumn>
    <tableColumn id="12" xr3:uid="{9FA6DE0D-F921-4742-9D6E-4939D6E18C7C}" name="CI" dataDxfId="19">
      <calculatedColumnFormula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calculatedColumnFormula>
    </tableColumn>
    <tableColumn id="13" xr3:uid="{B4D4AE1E-4F6B-44F4-A8C3-73E2A995FF2B}" name="NCI" dataDxfId="18">
      <calculatedColumnFormula>IF(AND(CRC_Severe_Weather_SIMs[[#This Row],[CI]] = 0, CRC_Severe_Weather_SIMs[[#This Row],[Miss]] = 1), 1, 0)</calculatedColumnFormula>
    </tableColumn>
    <tableColumn id="14" xr3:uid="{B05E2425-B14B-47F5-88D5-041102A743B3}" name="Operator Follow-up" dataDxfId="17">
      <calculatedColumnFormula>IF(AND(CRC_Severe_Weather_SIMs[[#This Row],[Excluded]] = 0, OR(CRC_Severe_Weather_SIMs[[#This Row],[Operator Follow-up Miss]] &lt;&gt; "", ISNUMBER(SEARCH("Operator Follow Up", CRC_Severe_Weather_SIMs[[#This Row],[Labels]])))), 1, 0)</calculatedColumnFormula>
    </tableColumn>
    <tableColumn id="15" xr3:uid="{05E43168-F17F-4891-A9C0-3DD8146B03FA}" name="False Resolution" dataDxfId="16">
      <calculatedColumnFormula>IF(AND(CRC_Severe_Weather_SIMs[[#This Row],[Excluded]] = 0, OR(CRC_Severe_Weather_SIMs[[#This Row],[False Resolution Miss]] &lt;&gt; "", ISNUMBER(SEARCH("False Resolution", CRC_Severe_Weather_SIMs[[#This Row],[Labels]])))), 1, 0)</calculatedColumnFormula>
    </tableColumn>
    <tableColumn id="16" xr3:uid="{5832393E-BD02-48F3-9BE0-886A6B85CAE0}" name="SLA" dataDxfId="15">
      <calculatedColumnFormula>IF(AND(CRC_Severe_Weather_SIMs[[#This Row],[Excluded]] = 0, OR(CRC_Severe_Weather_SIMs[[#This Row],[SLA Miss]] &lt;&gt; "", ISNUMBER(SEARCH("SLA", CRC_Severe_Weather_SIMs[[#This Row],[Labels]])))), 1, 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4"/>
  </sheetPr>
  <dimension ref="A1:AA352"/>
  <sheetViews>
    <sheetView zoomScale="115" zoomScaleNormal="115" workbookViewId="0">
      <selection activeCell="N20" sqref="N20"/>
    </sheetView>
  </sheetViews>
  <sheetFormatPr defaultColWidth="9.140625" defaultRowHeight="11.25" customHeight="1" x14ac:dyDescent="0.2"/>
  <cols>
    <col min="1" max="1" width="13.5703125" style="66" bestFit="1" customWidth="1"/>
    <col min="2" max="14" width="9.140625" style="1" customWidth="1"/>
    <col min="15" max="15" width="18.85546875" style="1" bestFit="1" customWidth="1"/>
    <col min="16" max="16" width="9.140625" style="1" customWidth="1"/>
    <col min="17" max="26" width="9.140625" style="1"/>
    <col min="27" max="27" width="9.5703125" style="1" bestFit="1" customWidth="1"/>
    <col min="28" max="40" width="9.140625" style="1"/>
    <col min="41" max="41" width="9.5703125" style="1" bestFit="1" customWidth="1"/>
    <col min="42" max="54" width="9.140625" style="1"/>
    <col min="55" max="55" width="9.5703125" style="1" bestFit="1" customWidth="1"/>
    <col min="56" max="56" width="9.140625" style="1"/>
    <col min="57" max="57" width="16.5703125" style="1" bestFit="1" customWidth="1"/>
    <col min="58" max="68" width="9.140625" style="1"/>
    <col min="69" max="69" width="9.5703125" style="1" bestFit="1" customWidth="1"/>
    <col min="70" max="16384" width="9.140625" style="1"/>
  </cols>
  <sheetData>
    <row r="1" spans="1:27" ht="11.25" customHeight="1" thickBot="1" x14ac:dyDescent="0.25">
      <c r="A1" s="93"/>
      <c r="B1" s="181"/>
      <c r="C1" s="181"/>
      <c r="D1" s="181"/>
      <c r="E1" s="181"/>
      <c r="F1" s="181"/>
      <c r="G1" s="181"/>
      <c r="H1" s="181"/>
      <c r="I1" s="181"/>
      <c r="J1" s="181"/>
      <c r="K1" s="182"/>
      <c r="L1" s="3"/>
      <c r="M1" s="38" t="s">
        <v>11</v>
      </c>
      <c r="O1" s="34" t="s">
        <v>6</v>
      </c>
      <c r="P1" s="35" t="s">
        <v>5</v>
      </c>
    </row>
    <row r="2" spans="1:27" ht="11.25" customHeight="1" thickBot="1" x14ac:dyDescent="0.45">
      <c r="A2" s="183" t="s">
        <v>27</v>
      </c>
      <c r="B2" s="184"/>
      <c r="C2" s="184"/>
      <c r="D2" s="184"/>
      <c r="E2" s="184"/>
      <c r="F2" s="184"/>
      <c r="G2" s="184"/>
      <c r="H2" s="184"/>
      <c r="I2" s="184"/>
      <c r="J2" s="184"/>
      <c r="K2" s="185"/>
      <c r="L2" s="4"/>
      <c r="M2" s="72">
        <f ca="1">TODAY()</f>
        <v>45637</v>
      </c>
      <c r="O2" s="36" t="s">
        <v>2</v>
      </c>
      <c r="P2" s="73">
        <f ca="1">Report_Date-2</f>
        <v>45635</v>
      </c>
    </row>
    <row r="3" spans="1:27" ht="11.25" customHeight="1" thickBot="1" x14ac:dyDescent="0.45">
      <c r="A3" s="186" t="str" cm="1">
        <f t="array" aca="1" ref="A3" ca="1">TEXT('CO Daily Flash Report'!$M$2:$M$2,"mm/dd/yyyy")</f>
        <v>12/11/2024</v>
      </c>
      <c r="B3" s="187"/>
      <c r="C3" s="187"/>
      <c r="D3" s="187"/>
      <c r="E3" s="187"/>
      <c r="F3" s="187"/>
      <c r="G3" s="187"/>
      <c r="H3" s="187"/>
      <c r="I3" s="187"/>
      <c r="J3" s="187"/>
      <c r="K3" s="188"/>
      <c r="L3" s="5"/>
      <c r="M3" s="2"/>
      <c r="N3" s="2"/>
      <c r="O3" s="92" t="s">
        <v>4624</v>
      </c>
      <c r="P3" s="75">
        <f ca="1">Report_Date-1</f>
        <v>45636</v>
      </c>
    </row>
    <row r="4" spans="1:27" ht="11.25" customHeight="1" thickBot="1" x14ac:dyDescent="0.25">
      <c r="A4" s="171" t="s">
        <v>36</v>
      </c>
      <c r="B4" s="172"/>
      <c r="C4" s="172"/>
      <c r="D4" s="172"/>
      <c r="E4" s="172"/>
      <c r="F4" s="172"/>
      <c r="G4" s="172"/>
      <c r="H4" s="172"/>
      <c r="I4" s="172"/>
      <c r="J4" s="172"/>
      <c r="K4" s="173"/>
      <c r="L4" s="6"/>
      <c r="O4" s="96" t="s">
        <v>18</v>
      </c>
      <c r="P4" s="97">
        <f ca="1">Report_Date-1</f>
        <v>45636</v>
      </c>
    </row>
    <row r="5" spans="1:27" ht="11.25" customHeight="1" thickBot="1" x14ac:dyDescent="0.25">
      <c r="A5" s="174" t="s">
        <v>41</v>
      </c>
      <c r="B5" s="175"/>
      <c r="C5" s="175"/>
      <c r="D5" s="175"/>
      <c r="E5" s="175"/>
      <c r="F5" s="175"/>
      <c r="G5" s="175"/>
      <c r="H5" s="175"/>
      <c r="I5" s="175"/>
      <c r="J5" s="175"/>
      <c r="K5" s="176"/>
      <c r="L5" s="7"/>
      <c r="O5" s="37" t="s">
        <v>9</v>
      </c>
      <c r="P5" s="74">
        <f ca="1">Report_Date-1</f>
        <v>45636</v>
      </c>
    </row>
    <row r="6" spans="1:27" ht="11.25" customHeight="1" thickBot="1" x14ac:dyDescent="0.25">
      <c r="A6" s="171" t="s">
        <v>28</v>
      </c>
      <c r="B6" s="172"/>
      <c r="C6" s="172"/>
      <c r="D6" s="172"/>
      <c r="E6" s="172"/>
      <c r="F6" s="172"/>
      <c r="G6" s="172"/>
      <c r="H6" s="172"/>
      <c r="I6" s="172"/>
      <c r="J6" s="172"/>
      <c r="K6" s="173"/>
      <c r="L6" s="7"/>
      <c r="O6" s="98" t="s">
        <v>3</v>
      </c>
      <c r="P6" s="99">
        <f ca="1">Report_Date-1</f>
        <v>45636</v>
      </c>
    </row>
    <row r="7" spans="1:27" ht="11.25" customHeight="1" x14ac:dyDescent="0.2">
      <c r="A7" s="177" t="s">
        <v>6</v>
      </c>
      <c r="B7" s="178"/>
      <c r="C7" s="122" t="s">
        <v>58</v>
      </c>
      <c r="D7" s="122"/>
      <c r="E7" s="122" t="s">
        <v>4639</v>
      </c>
      <c r="F7" s="122" t="s">
        <v>4629</v>
      </c>
      <c r="G7" s="122" t="s">
        <v>4630</v>
      </c>
      <c r="H7" s="122" t="s">
        <v>5058</v>
      </c>
      <c r="I7" s="122" t="s">
        <v>4634</v>
      </c>
      <c r="J7" s="122" t="s">
        <v>4635</v>
      </c>
      <c r="K7" s="129" t="s">
        <v>5059</v>
      </c>
      <c r="L7" s="8"/>
      <c r="O7" s="56" t="s">
        <v>4</v>
      </c>
      <c r="P7" s="75">
        <f ca="1">Report_Date-1</f>
        <v>45636</v>
      </c>
    </row>
    <row r="8" spans="1:27" ht="16.5" customHeight="1" thickBot="1" x14ac:dyDescent="0.25">
      <c r="A8" s="179"/>
      <c r="B8" s="180"/>
      <c r="C8" s="124"/>
      <c r="D8" s="124"/>
      <c r="E8" s="124"/>
      <c r="F8" s="124"/>
      <c r="G8" s="124"/>
      <c r="H8" s="124"/>
      <c r="I8" s="124"/>
      <c r="J8" s="124"/>
      <c r="K8" s="131"/>
      <c r="L8" s="8"/>
      <c r="O8" s="100" t="s">
        <v>1724</v>
      </c>
      <c r="P8" s="101">
        <f t="shared" ref="P8:P13" ca="1" si="0">Report_Date - 1</f>
        <v>45636</v>
      </c>
    </row>
    <row r="9" spans="1:27" ht="11.25" customHeight="1" thickBot="1" x14ac:dyDescent="0.25">
      <c r="A9" s="111" t="s">
        <v>2</v>
      </c>
      <c r="B9" s="112"/>
      <c r="C9" s="115" t="s">
        <v>7</v>
      </c>
      <c r="D9" s="116"/>
      <c r="E9" s="21">
        <f ca="1">COUNTIF(AFS_SIMs[Ops Date], AFS_Date)</f>
        <v>0</v>
      </c>
      <c r="F9" s="21">
        <f ca="1">SUMIF(AFS_SIMs[[Ops Date]:[Ops Date]], AFS_Date, AFS_SIMs[Miss])</f>
        <v>0</v>
      </c>
      <c r="G9" s="21">
        <f ca="1">SUMIF(AFS_SIMs[[Ops Date]:[Ops Date]], AFS_Date, AFS_SIMs[CI])</f>
        <v>0</v>
      </c>
      <c r="H9" s="21">
        <f ca="1">SUMIF(AFS_SIMs[[Ops Date]:[Ops Date]], AFS_Date, AFS_SIMs[NCI])</f>
        <v>0</v>
      </c>
      <c r="I9" s="21" t="str">
        <f ca="1">IFERROR(1000000 * F9 / $E9, "-")</f>
        <v>-</v>
      </c>
      <c r="J9" s="21" t="str">
        <f ca="1">IFERROR(1000000 * G9 / $E9, "-")</f>
        <v>-</v>
      </c>
      <c r="K9" s="22" t="str">
        <f ca="1">IFERROR(1000000 * H9 / $E9, "-")</f>
        <v>-</v>
      </c>
      <c r="L9" s="9"/>
      <c r="O9" s="56" t="s">
        <v>4473</v>
      </c>
      <c r="P9" s="75">
        <f t="shared" ca="1" si="0"/>
        <v>45636</v>
      </c>
    </row>
    <row r="10" spans="1:27" ht="11.25" customHeight="1" thickBot="1" x14ac:dyDescent="0.25">
      <c r="A10" s="113"/>
      <c r="B10" s="114"/>
      <c r="C10" s="115" t="s">
        <v>8</v>
      </c>
      <c r="D10" s="116"/>
      <c r="E10" s="21">
        <f ca="1">COUNTIF(AFS_SIMs[Ops Week], WEEKNUM(AFS_Date))</f>
        <v>0</v>
      </c>
      <c r="F10" s="21">
        <f ca="1">SUMIF(AFS_SIMs[[Ops Week]:[Ops Week]], WEEKNUM(AFS_Date), AFS_SIMs[Miss])</f>
        <v>0</v>
      </c>
      <c r="G10" s="21">
        <f ca="1">SUMIF(AFS_SIMs[[Ops Week]:[Ops Week]], WEEKNUM(AFS_Date), AFS_SIMs[CI])</f>
        <v>0</v>
      </c>
      <c r="H10" s="21">
        <f ca="1">SUMIF(AFS_SIMs[[Ops Week]:[Ops Week]], WEEKNUM(AFS_Date), AFS_SIMs[NCI])</f>
        <v>0</v>
      </c>
      <c r="I10" s="21" t="str">
        <f t="shared" ref="I10:I25" ca="1" si="1">IFERROR(
 1000000*F10/$E10,
 "-"
)</f>
        <v>-</v>
      </c>
      <c r="J10" s="21" t="str">
        <f t="shared" ref="J10:J25" ca="1" si="2">IFERROR(
 1000000*G10/$E10,
 "-"
)</f>
        <v>-</v>
      </c>
      <c r="K10" s="22" t="str">
        <f t="shared" ref="K10:K25" ca="1" si="3">IFERROR(
 1000000*H10/$E10,
 "-"
)</f>
        <v>-</v>
      </c>
      <c r="L10" s="9"/>
      <c r="O10" s="100" t="s">
        <v>4472</v>
      </c>
      <c r="P10" s="101">
        <f t="shared" ca="1" si="0"/>
        <v>45636</v>
      </c>
    </row>
    <row r="11" spans="1:27" ht="11.25" customHeight="1" thickBot="1" x14ac:dyDescent="0.25">
      <c r="A11" s="61"/>
      <c r="B11" s="59"/>
      <c r="C11" s="60"/>
      <c r="D11" s="60"/>
      <c r="E11" s="60"/>
      <c r="F11" s="60"/>
      <c r="G11" s="60"/>
      <c r="H11" s="60"/>
      <c r="I11" s="60"/>
      <c r="J11" s="58"/>
      <c r="K11" s="57"/>
      <c r="L11" s="9"/>
      <c r="O11" s="96" t="s">
        <v>5308</v>
      </c>
      <c r="P11" s="108">
        <f t="shared" ca="1" si="0"/>
        <v>45636</v>
      </c>
    </row>
    <row r="12" spans="1:27" s="91" customFormat="1" ht="11.25" customHeight="1" thickBot="1" x14ac:dyDescent="0.25">
      <c r="A12" s="111" t="s">
        <v>4626</v>
      </c>
      <c r="B12" s="112"/>
      <c r="C12" s="115" t="s">
        <v>10</v>
      </c>
      <c r="D12" s="116"/>
      <c r="E12" s="21">
        <f ca="1">COUNTIF(AFS_Backlog_SIMs[Ops Date], AFS_Backlog_Date)</f>
        <v>0</v>
      </c>
      <c r="F12" s="21">
        <f ca="1">SUMIF(AFS_Backlog_SIMs[[Ops Date]:[Ops Date]], AFS_Backlog_Date, AFS_Backlog_SIMs[Miss])</f>
        <v>0</v>
      </c>
      <c r="G12" s="21">
        <f ca="1">SUMIF(AFS_Backlog_SIMs[[Ops Date]:[Ops Date]], AFS_Backlog_Date, AFS_Backlog_SIMs[CI])</f>
        <v>0</v>
      </c>
      <c r="H12" s="21">
        <f ca="1">SUMIF(AFS_Backlog_SIMs[[Ops Date]:[Ops Date]], AFS_Backlog_Date, AFS_Backlog_SIMs[NCI])</f>
        <v>0</v>
      </c>
      <c r="I12" s="21" t="str">
        <f t="shared" ref="I12:I13" ca="1" si="4">IFERROR(
 1000000*F12/$E12,
 "-"
)</f>
        <v>-</v>
      </c>
      <c r="J12" s="21" t="str">
        <f t="shared" ref="J12:J13" ca="1" si="5">IFERROR(
 1000000*G12/$E12,
 "-"
)</f>
        <v>-</v>
      </c>
      <c r="K12" s="22" t="str">
        <f t="shared" ref="K12:K13" ca="1" si="6">IFERROR(
 1000000*H12/$E12,
 "-"
)</f>
        <v>-</v>
      </c>
      <c r="L12" s="90"/>
      <c r="O12" s="107" t="s">
        <v>5309</v>
      </c>
      <c r="P12" s="108">
        <f t="shared" ca="1" si="0"/>
        <v>45636</v>
      </c>
    </row>
    <row r="13" spans="1:27" s="91" customFormat="1" ht="11.25" customHeight="1" thickBot="1" x14ac:dyDescent="0.25">
      <c r="A13" s="113"/>
      <c r="B13" s="114"/>
      <c r="C13" s="115" t="s">
        <v>8</v>
      </c>
      <c r="D13" s="116"/>
      <c r="E13" s="21">
        <f ca="1">COUNTIF(AFS_Backlog_SIMs[Ops Week], WEEKNUM(AFS_Backlog_Date))</f>
        <v>0</v>
      </c>
      <c r="F13" s="21">
        <f ca="1">SUMIF(AFS_Backlog_SIMs[[Ops Week]:[Ops Week]], WEEKNUM(AFS_Backlog_Date), AFS_Backlog_SIMs[Miss])</f>
        <v>0</v>
      </c>
      <c r="G13" s="21">
        <f ca="1">SUMIF(AFS_Backlog_SIMs[[Ops Week]:[Ops Week]], WEEKNUM(AFS_Backlog_Date), AFS_Backlog_SIMs[CI])</f>
        <v>0</v>
      </c>
      <c r="H13" s="21">
        <f ca="1">SUMIF(AFS_Backlog_SIMs[[Ops Week]:[Ops Week]], WEEKNUM(AFS_Backlog_Date), AFS_Backlog_SIMs[NCI])</f>
        <v>0</v>
      </c>
      <c r="I13" s="21" t="str">
        <f t="shared" ca="1" si="4"/>
        <v>-</v>
      </c>
      <c r="J13" s="21" t="str">
        <f t="shared" ca="1" si="5"/>
        <v>-</v>
      </c>
      <c r="K13" s="22" t="str">
        <f t="shared" ca="1" si="6"/>
        <v>-</v>
      </c>
      <c r="L13" s="90"/>
      <c r="O13" s="102" t="s">
        <v>4644</v>
      </c>
      <c r="P13" s="103">
        <f t="shared" ca="1" si="0"/>
        <v>45636</v>
      </c>
    </row>
    <row r="14" spans="1:27" s="91" customFormat="1" ht="11.25" customHeight="1" thickBot="1" x14ac:dyDescent="0.25">
      <c r="A14" s="61"/>
      <c r="B14" s="59"/>
      <c r="C14" s="60"/>
      <c r="D14" s="60"/>
      <c r="E14" s="60"/>
      <c r="F14" s="60"/>
      <c r="G14" s="60"/>
      <c r="H14" s="60"/>
      <c r="I14" s="60"/>
      <c r="J14" s="58"/>
      <c r="K14" s="57"/>
      <c r="L14" s="90"/>
      <c r="O14" s="1"/>
      <c r="P14" s="1"/>
    </row>
    <row r="15" spans="1:27" ht="11.25" customHeight="1" thickBot="1" x14ac:dyDescent="0.25">
      <c r="A15" s="111" t="s">
        <v>18</v>
      </c>
      <c r="B15" s="112"/>
      <c r="C15" s="115" t="s">
        <v>10</v>
      </c>
      <c r="D15" s="116"/>
      <c r="E15" s="21">
        <f ca="1">COUNTIF(Ungrounding_SIMs[Ops Date], Ungrounding_Date)</f>
        <v>0</v>
      </c>
      <c r="F15" s="21">
        <f ca="1">SUMIF(Ungrounding_SIMs[[Ops Date]:[Ops Date]], Ungrounding_Date, Ungrounding_SIMs[Miss])</f>
        <v>0</v>
      </c>
      <c r="G15" s="21">
        <f ca="1">SUMIF(Ungrounding_SIMs[[Ops Date]:[Ops Date]], Ungrounding_Date, Ungrounding_SIMs[CI])</f>
        <v>0</v>
      </c>
      <c r="H15" s="21">
        <f ca="1">SUMIF(Ungrounding_SIMs[[Ops Date]:[Ops Date]], Ungrounding_Date, Ungrounding_SIMs[NCI])</f>
        <v>0</v>
      </c>
      <c r="I15" s="21" t="str">
        <f t="shared" ca="1" si="1"/>
        <v>-</v>
      </c>
      <c r="J15" s="21" t="str">
        <f t="shared" ca="1" si="2"/>
        <v>-</v>
      </c>
      <c r="K15" s="22" t="str">
        <f t="shared" ca="1" si="3"/>
        <v>-</v>
      </c>
      <c r="L15" s="8"/>
      <c r="N15" s="19"/>
      <c r="O15" s="91"/>
      <c r="P15" s="91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</row>
    <row r="16" spans="1:27" ht="11.25" customHeight="1" thickBot="1" x14ac:dyDescent="0.25">
      <c r="A16" s="113"/>
      <c r="B16" s="114"/>
      <c r="C16" s="115" t="s">
        <v>8</v>
      </c>
      <c r="D16" s="116"/>
      <c r="E16" s="21">
        <f ca="1">COUNTIF(Ungrounding_SIMs[Ops Week], WEEKNUM(Ungrounding_Date))</f>
        <v>0</v>
      </c>
      <c r="F16" s="21">
        <f ca="1">SUMIF(Ungrounding_SIMs[[Ops Week]:[Ops Week]], WEEKNUM(Ungrounding_Date), Ungrounding_SIMs[Miss])</f>
        <v>0</v>
      </c>
      <c r="G16" s="21">
        <f ca="1">SUMIF(Ungrounding_SIMs[[Ops Week]:[Ops Week]], WEEKNUM(Ungrounding_Date), Ungrounding_SIMs[CI])</f>
        <v>0</v>
      </c>
      <c r="H16" s="21">
        <f ca="1">SUMIF(Ungrounding_SIMs[[Ops Week]:[Ops Week]], WEEKNUM(Ungrounding_Date), Ungrounding_SIMs[NCI])</f>
        <v>0</v>
      </c>
      <c r="I16" s="21" t="str">
        <f t="shared" ca="1" si="1"/>
        <v>-</v>
      </c>
      <c r="J16" s="21" t="str">
        <f t="shared" ca="1" si="2"/>
        <v>-</v>
      </c>
      <c r="K16" s="22" t="str">
        <f t="shared" ca="1" si="3"/>
        <v>-</v>
      </c>
      <c r="L16" s="8"/>
      <c r="O16" s="91"/>
      <c r="P16" s="91"/>
    </row>
    <row r="17" spans="1:16" ht="11.25" customHeight="1" thickBot="1" x14ac:dyDescent="0.25">
      <c r="A17" s="61"/>
      <c r="B17" s="59"/>
      <c r="C17" s="60"/>
      <c r="D17" s="60"/>
      <c r="E17" s="60"/>
      <c r="F17" s="60"/>
      <c r="G17" s="60"/>
      <c r="H17" s="60"/>
      <c r="I17" s="60"/>
      <c r="J17" s="58"/>
      <c r="K17" s="57"/>
      <c r="L17" s="8"/>
      <c r="O17" s="91"/>
      <c r="P17" s="91"/>
    </row>
    <row r="18" spans="1:16" ht="11.25" customHeight="1" thickBot="1" x14ac:dyDescent="0.25">
      <c r="A18" s="111" t="s">
        <v>9</v>
      </c>
      <c r="B18" s="112"/>
      <c r="C18" s="115" t="s">
        <v>10</v>
      </c>
      <c r="D18" s="116"/>
      <c r="E18" s="21">
        <f ca="1">COUNTIF(PM_SIMs[Ops Date], PM_Date)</f>
        <v>0</v>
      </c>
      <c r="F18" s="21">
        <f ca="1">SUMIF(PM_SIMs[[Ops Date]:[Ops Date]], PM_Date, PM_SIMs[Miss])</f>
        <v>0</v>
      </c>
      <c r="G18" s="21">
        <f ca="1">SUMIF(PM_SIMs[[Ops Date]:[Ops Date]], PM_Date, PM_SIMs[CI])</f>
        <v>0</v>
      </c>
      <c r="H18" s="21">
        <f ca="1">SUMIF(PM_SIMs[[Ops Date]:[Ops Date]], PM_Date, PM_SIMs[NCI])</f>
        <v>0</v>
      </c>
      <c r="I18" s="21" t="str">
        <f t="shared" ca="1" si="1"/>
        <v>-</v>
      </c>
      <c r="J18" s="21" t="str">
        <f t="shared" ca="1" si="2"/>
        <v>-</v>
      </c>
      <c r="K18" s="22" t="str">
        <f t="shared" ca="1" si="3"/>
        <v>-</v>
      </c>
      <c r="L18" s="8"/>
      <c r="O18" s="18"/>
      <c r="P18" s="18"/>
    </row>
    <row r="19" spans="1:16" ht="11.25" customHeight="1" thickBot="1" x14ac:dyDescent="0.25">
      <c r="A19" s="113"/>
      <c r="B19" s="114"/>
      <c r="C19" s="115" t="s">
        <v>8</v>
      </c>
      <c r="D19" s="116"/>
      <c r="E19" s="21">
        <f ca="1">COUNTIF(PM_SIMs[Ops Week], WEEKNUM(PM_Date))</f>
        <v>0</v>
      </c>
      <c r="F19" s="21">
        <f ca="1">SUMIF(PM_SIMs[[Ops Week]:[Ops Week]], WEEKNUM(PM_Date), PM_SIMs[Miss])</f>
        <v>0</v>
      </c>
      <c r="G19" s="21">
        <f ca="1">SUMIF(PM_SIMs[[Ops Week]:[Ops Week]], WEEKNUM(PM_Date), PM_SIMs[CI])</f>
        <v>0</v>
      </c>
      <c r="H19" s="21">
        <f ca="1">SUMIF(PM_SIMs[[Ops Week]:[Ops Week]], WEEKNUM(PM_Date), PM_SIMs[NCI])</f>
        <v>0</v>
      </c>
      <c r="I19" s="21" t="str">
        <f t="shared" ca="1" si="1"/>
        <v>-</v>
      </c>
      <c r="J19" s="21" t="str">
        <f t="shared" ca="1" si="2"/>
        <v>-</v>
      </c>
      <c r="K19" s="22" t="str">
        <f t="shared" ca="1" si="3"/>
        <v>-</v>
      </c>
      <c r="L19" s="8"/>
    </row>
    <row r="20" spans="1:16" ht="11.25" customHeight="1" thickBot="1" x14ac:dyDescent="0.25">
      <c r="A20" s="61"/>
      <c r="B20" s="59"/>
      <c r="C20" s="60"/>
      <c r="D20" s="60"/>
      <c r="E20" s="60"/>
      <c r="F20" s="60"/>
      <c r="G20" s="60"/>
      <c r="H20" s="60"/>
      <c r="I20" s="60"/>
      <c r="J20" s="58"/>
      <c r="K20" s="57"/>
      <c r="L20" s="8"/>
    </row>
    <row r="21" spans="1:16" ht="11.25" customHeight="1" thickBot="1" x14ac:dyDescent="0.25">
      <c r="A21" s="111" t="s">
        <v>3</v>
      </c>
      <c r="B21" s="112"/>
      <c r="C21" s="115" t="s">
        <v>10</v>
      </c>
      <c r="D21" s="116"/>
      <c r="E21" s="21">
        <f ca="1">COUNTIF(VFC_SIMs[Ops Date], VFC_Date)</f>
        <v>0</v>
      </c>
      <c r="F21" s="21">
        <f ca="1">SUMIF(VFC_SIMs[[Ops Date]:[Ops Date]], VFC_Date, VFC_SIMs[Miss])</f>
        <v>0</v>
      </c>
      <c r="G21" s="21">
        <f ca="1">SUMIF(VFC_SIMs[[Ops Date]:[Ops Date]], VFC_Date, VFC_SIMs[CI])</f>
        <v>0</v>
      </c>
      <c r="H21" s="21">
        <f ca="1">SUMIF(VFC_SIMs[[Ops Date]:[Ops Date]], VFC_Date, VFC_SIMs[NCI])</f>
        <v>0</v>
      </c>
      <c r="I21" s="21" t="str">
        <f t="shared" ca="1" si="1"/>
        <v>-</v>
      </c>
      <c r="J21" s="21" t="str">
        <f t="shared" ca="1" si="2"/>
        <v>-</v>
      </c>
      <c r="K21" s="22" t="str">
        <f t="shared" ca="1" si="3"/>
        <v>-</v>
      </c>
      <c r="L21" s="8"/>
    </row>
    <row r="22" spans="1:16" ht="11.25" customHeight="1" thickBot="1" x14ac:dyDescent="0.25">
      <c r="A22" s="113"/>
      <c r="B22" s="114"/>
      <c r="C22" s="115" t="s">
        <v>8</v>
      </c>
      <c r="D22" s="116"/>
      <c r="E22" s="21">
        <f ca="1">COUNTIF(VFC_SIMs[Ops Week], WEEKNUM(VFC_Date))</f>
        <v>0</v>
      </c>
      <c r="F22" s="21">
        <f ca="1">SUMIF(VFC_SIMs[[Ops Week]:[Ops Week]], WEEKNUM(VFC_Date), VFC_SIMs[Miss])</f>
        <v>0</v>
      </c>
      <c r="G22" s="21">
        <f ca="1">SUMIF(VFC_SIMs[[Ops Week]:[Ops Week]], WEEKNUM(VFC_Date), VFC_SIMs[CI])</f>
        <v>0</v>
      </c>
      <c r="H22" s="21">
        <f ca="1">SUMIF(VFC_SIMs[[Ops Week]:[Ops Week]], WEEKNUM(VFC_Date), VFC_SIMs[NCI])</f>
        <v>0</v>
      </c>
      <c r="I22" s="21" t="str">
        <f t="shared" ca="1" si="1"/>
        <v>-</v>
      </c>
      <c r="J22" s="21" t="str">
        <f t="shared" ca="1" si="2"/>
        <v>-</v>
      </c>
      <c r="K22" s="22" t="str">
        <f t="shared" ca="1" si="3"/>
        <v>-</v>
      </c>
      <c r="L22" s="8"/>
    </row>
    <row r="23" spans="1:16" ht="11.25" customHeight="1" thickBot="1" x14ac:dyDescent="0.25">
      <c r="A23" s="61"/>
      <c r="B23" s="59"/>
      <c r="C23" s="60"/>
      <c r="D23" s="60"/>
      <c r="E23" s="60"/>
      <c r="F23" s="60"/>
      <c r="G23" s="60"/>
      <c r="H23" s="60"/>
      <c r="I23" s="60"/>
      <c r="J23" s="58"/>
      <c r="K23" s="57"/>
      <c r="L23" s="8"/>
    </row>
    <row r="24" spans="1:16" ht="11.25" customHeight="1" thickBot="1" x14ac:dyDescent="0.25">
      <c r="A24" s="111" t="s">
        <v>4</v>
      </c>
      <c r="B24" s="112"/>
      <c r="C24" s="115" t="s">
        <v>10</v>
      </c>
      <c r="D24" s="116"/>
      <c r="E24" s="21">
        <f ca="1">COUNTIF(Reimbursement_SIMs[Ops Date], Reimbursement_Date)</f>
        <v>0</v>
      </c>
      <c r="F24" s="21">
        <f ca="1">SUMIF(Reimbursement_SIMs[[Ops Date]:[Ops Date]], Reimbursement_Date, Reimbursement_SIMs[Miss])</f>
        <v>0</v>
      </c>
      <c r="G24" s="21">
        <f ca="1">SUMIF(Reimbursement_SIMs[[Ops Date]:[Ops Date]], Reimbursement_Date, Reimbursement_SIMs[CI])</f>
        <v>0</v>
      </c>
      <c r="H24" s="21">
        <f ca="1">SUMIF(Reimbursement_SIMs[[Ops Date]:[Ops Date]], Reimbursement_Date, Reimbursement_SIMs[NCI])</f>
        <v>0</v>
      </c>
      <c r="I24" s="21" t="str">
        <f t="shared" ca="1" si="1"/>
        <v>-</v>
      </c>
      <c r="J24" s="21" t="str">
        <f t="shared" ca="1" si="2"/>
        <v>-</v>
      </c>
      <c r="K24" s="22" t="str">
        <f t="shared" ca="1" si="3"/>
        <v>-</v>
      </c>
      <c r="L24" s="10"/>
    </row>
    <row r="25" spans="1:16" ht="11.25" customHeight="1" thickBot="1" x14ac:dyDescent="0.25">
      <c r="A25" s="113"/>
      <c r="B25" s="156"/>
      <c r="C25" s="157" t="s">
        <v>8</v>
      </c>
      <c r="D25" s="158"/>
      <c r="E25" s="54">
        <f ca="1">COUNTIF(Reimbursement_SIMs[Ops Week], WEEKNUM(Reimbursement_Date))</f>
        <v>0</v>
      </c>
      <c r="F25" s="54">
        <f ca="1">SUMIF(Reimbursement_SIMs[[Ops Week]:[Ops Week]], WEEKNUM(Reimbursement_Date), Reimbursement_SIMs[Miss])</f>
        <v>0</v>
      </c>
      <c r="G25" s="54">
        <f ca="1">SUMIF(Reimbursement_SIMs[[Ops Week]:[Ops Week]], WEEKNUM(Reimbursement_Date), Reimbursement_SIMs[CI])</f>
        <v>0</v>
      </c>
      <c r="H25" s="54">
        <f ca="1">SUMIF(Reimbursement_SIMs[[Ops Week]:[Ops Week]], WEEKNUM(Reimbursement_Date), Reimbursement_SIMs[NCI])</f>
        <v>0</v>
      </c>
      <c r="I25" s="54" t="str">
        <f t="shared" ca="1" si="1"/>
        <v>-</v>
      </c>
      <c r="J25" s="54" t="str">
        <f t="shared" ca="1" si="2"/>
        <v>-</v>
      </c>
      <c r="K25" s="55" t="str">
        <f t="shared" ca="1" si="3"/>
        <v>-</v>
      </c>
      <c r="L25" s="10"/>
    </row>
    <row r="26" spans="1:16" ht="11.25" customHeight="1" thickBot="1" x14ac:dyDescent="0.25">
      <c r="A26" s="61"/>
      <c r="B26" s="59"/>
      <c r="C26" s="60"/>
      <c r="D26" s="60"/>
      <c r="E26" s="60"/>
      <c r="F26" s="60"/>
      <c r="G26" s="60"/>
      <c r="H26" s="60"/>
      <c r="I26" s="60"/>
      <c r="J26" s="58"/>
      <c r="K26" s="57"/>
      <c r="L26" s="10"/>
    </row>
    <row r="27" spans="1:16" ht="11.25" customHeight="1" thickBot="1" x14ac:dyDescent="0.25">
      <c r="A27" s="111" t="s">
        <v>1724</v>
      </c>
      <c r="B27" s="112"/>
      <c r="C27" s="115" t="s">
        <v>4620</v>
      </c>
      <c r="D27" s="116"/>
      <c r="E27" s="21">
        <f ca="1">COUNTIF(FIF_SIMs[Ops Date], "&gt;=" &amp; FIF_Date - 7)</f>
        <v>0</v>
      </c>
      <c r="F27" s="21">
        <f ca="1" xml:space="preserve"> SUMIF(FIF_SIMs[Ops Date], "&gt;=" &amp; FIF_Date - 7, FIF_SIMs[Miss])</f>
        <v>0</v>
      </c>
      <c r="G27" s="21">
        <f ca="1" xml:space="preserve"> SUMIF(FIF_SIMs[Ops Date], "&gt;=" &amp; FIF_Date - 7, FIF_SIMs[CI])</f>
        <v>0</v>
      </c>
      <c r="H27" s="21">
        <f ca="1" xml:space="preserve"> SUMIF(FIF_SIMs[Ops Date], "&gt;=" &amp; FIF_Date - 7, FIF_SIMs[NCI])</f>
        <v>0</v>
      </c>
      <c r="I27" s="21" t="str">
        <f t="shared" ref="I27:I34" ca="1" si="7">IFERROR(
 1000000*F27/$E27,
 "-"
)</f>
        <v>-</v>
      </c>
      <c r="J27" s="21" t="str">
        <f t="shared" ref="J27:J34" ca="1" si="8">IFERROR(
 1000000*G27/$E27,
 "-"
)</f>
        <v>-</v>
      </c>
      <c r="K27" s="22" t="str">
        <f t="shared" ref="K27:K34" ca="1" si="9">IFERROR(
 1000000*H27/$E27,
 "-"
)</f>
        <v>-</v>
      </c>
      <c r="L27" s="10"/>
    </row>
    <row r="28" spans="1:16" ht="11.25" customHeight="1" thickBot="1" x14ac:dyDescent="0.25">
      <c r="A28" s="113"/>
      <c r="B28" s="156"/>
      <c r="C28" s="157" t="s">
        <v>4621</v>
      </c>
      <c r="D28" s="158"/>
      <c r="E28" s="21">
        <f ca="1">COUNTIF(FIF_SIMs[Ops Date], "&gt;="&amp;FIF_Date-30)</f>
        <v>0</v>
      </c>
      <c r="F28" s="21">
        <f ca="1">SUMIF(FIF_SIMs[[Ops Date]:[Ops Date]], "&gt;=" &amp; FIF_Date - 30, FIF_SIMs[Miss])</f>
        <v>0</v>
      </c>
      <c r="G28" s="21">
        <f ca="1">SUMIF(FIF_SIMs[[Ops Date]:[Ops Date]], "&gt;=" &amp; FIF_Date - 30, FIF_SIMs[CI])</f>
        <v>0</v>
      </c>
      <c r="H28" s="21">
        <f ca="1">SUMIF(FIF_SIMs[[Ops Date]:[Ops Date]], "&gt;=" &amp; FIF_Date - 30, FIF_SIMs[NCI])</f>
        <v>0</v>
      </c>
      <c r="I28" s="54" t="str">
        <f t="shared" ca="1" si="7"/>
        <v>-</v>
      </c>
      <c r="J28" s="54" t="str">
        <f t="shared" ca="1" si="8"/>
        <v>-</v>
      </c>
      <c r="K28" s="55" t="str">
        <f t="shared" ca="1" si="9"/>
        <v>-</v>
      </c>
      <c r="L28" s="10"/>
    </row>
    <row r="29" spans="1:16" ht="11.25" customHeight="1" thickBot="1" x14ac:dyDescent="0.25">
      <c r="A29" s="61"/>
      <c r="B29" s="59"/>
      <c r="C29" s="60"/>
      <c r="D29" s="60"/>
      <c r="E29" s="60"/>
      <c r="F29" s="60"/>
      <c r="G29" s="60"/>
      <c r="H29" s="60"/>
      <c r="I29" s="60"/>
      <c r="J29" s="58"/>
      <c r="K29" s="57"/>
      <c r="L29" s="10"/>
    </row>
    <row r="30" spans="1:16" ht="11.25" customHeight="1" thickBot="1" x14ac:dyDescent="0.25">
      <c r="A30" s="111" t="s">
        <v>4471</v>
      </c>
      <c r="B30" s="112"/>
      <c r="C30" s="115" t="s">
        <v>10</v>
      </c>
      <c r="D30" s="116"/>
      <c r="E30" s="21">
        <f ca="1">COUNTIF(SWA_Paragon_SIMs[Ops Date], SWA_Paragon_Date)</f>
        <v>0</v>
      </c>
      <c r="F30" s="21">
        <f ca="1">SUMIF(SWA_Paragon_SIMs[[Ops Date]:[Ops Date]], SWA_Paragon_Date, SWA_Paragon_SIMs[Miss])</f>
        <v>0</v>
      </c>
      <c r="G30" s="21">
        <f ca="1">SUMIF(SWA_Paragon_SIMs[[Ops Date]:[Ops Date]], SWA_Paragon_Date, SWA_Paragon_SIMs[CI])</f>
        <v>0</v>
      </c>
      <c r="H30" s="21">
        <f ca="1">SUMIF(SWA_Paragon_SIMs[[Ops Date]:[Ops Date]], SWA_Paragon_Date, SWA_Paragon_SIMs[NCI])</f>
        <v>0</v>
      </c>
      <c r="I30" s="21" t="str">
        <f t="shared" ca="1" si="7"/>
        <v>-</v>
      </c>
      <c r="J30" s="21" t="str">
        <f t="shared" ca="1" si="8"/>
        <v>-</v>
      </c>
      <c r="K30" s="22" t="str">
        <f t="shared" ca="1" si="9"/>
        <v>-</v>
      </c>
      <c r="L30" s="10"/>
    </row>
    <row r="31" spans="1:16" ht="11.25" customHeight="1" thickBot="1" x14ac:dyDescent="0.25">
      <c r="A31" s="113"/>
      <c r="B31" s="114"/>
      <c r="C31" s="115" t="s">
        <v>8</v>
      </c>
      <c r="D31" s="116"/>
      <c r="E31" s="21">
        <f ca="1">COUNTIF(SWA_Paragon_SIMs[Ops Week], WEEKNUM(SWA_Paragon_Date))</f>
        <v>0</v>
      </c>
      <c r="F31" s="21">
        <f ca="1">SUMIF(SWA_Paragon_SIMs[[Ops Week]:[Ops Week]], WEEKNUM(SWA_Paragon_Date), SWA_Paragon_SIMs[Miss])</f>
        <v>0</v>
      </c>
      <c r="G31" s="21">
        <f ca="1">SUMIF(SWA_Paragon_SIMs[[Ops Week]:[Ops Week]], WEEKNUM(SWA_Paragon_Date), SWA_Paragon_SIMs[CI])</f>
        <v>0</v>
      </c>
      <c r="H31" s="21">
        <f ca="1">SUMIF(SWA_Paragon_SIMs[[Ops Week]:[Ops Week]], WEEKNUM(SWA_Paragon_Date), SWA_Paragon_SIMs[NCI])</f>
        <v>0</v>
      </c>
      <c r="I31" s="21" t="str">
        <f t="shared" ca="1" si="7"/>
        <v>-</v>
      </c>
      <c r="J31" s="21" t="str">
        <f t="shared" ca="1" si="8"/>
        <v>-</v>
      </c>
      <c r="K31" s="22" t="str">
        <f t="shared" ca="1" si="9"/>
        <v>-</v>
      </c>
    </row>
    <row r="32" spans="1:16" ht="11.25" customHeight="1" thickBot="1" x14ac:dyDescent="0.25">
      <c r="A32" s="61"/>
      <c r="B32" s="59"/>
      <c r="C32" s="60"/>
      <c r="D32" s="60"/>
      <c r="E32" s="60"/>
      <c r="F32" s="60"/>
      <c r="G32" s="60"/>
      <c r="H32" s="60"/>
      <c r="I32" s="60"/>
      <c r="J32" s="58"/>
      <c r="K32" s="57"/>
    </row>
    <row r="33" spans="1:12" ht="11.25" customHeight="1" thickBot="1" x14ac:dyDescent="0.25">
      <c r="A33" s="111" t="s">
        <v>4476</v>
      </c>
      <c r="B33" s="112"/>
      <c r="C33" s="115" t="s">
        <v>4620</v>
      </c>
      <c r="D33" s="116"/>
      <c r="E33" s="21">
        <f ca="1">COUNTIF(ORSA_Intervention_SIMs[Ops Date], "&gt;="&amp;ORSA_Intervention_Date-7)</f>
        <v>0</v>
      </c>
      <c r="F33" s="21">
        <f ca="1">SUMIF(ORSA_Intervention_SIMs[Ops Date], "&gt;="&amp;ORSA_Intervention_Date-7, ORSA_Intervention_SIMs[Miss])</f>
        <v>0</v>
      </c>
      <c r="G33" s="21">
        <f ca="1">SUMIF(ORSA_Intervention_SIMs[Ops Date], "&gt;="&amp;ORSA_Intervention_Date-7, ORSA_Intervention_SIMs[CI])</f>
        <v>0</v>
      </c>
      <c r="H33" s="21">
        <f ca="1">SUMIF(ORSA_Intervention_SIMs[Ops Date], "&gt;="&amp;ORSA_Intervention_Date-7, ORSA_Intervention_SIMs[NCI])</f>
        <v>0</v>
      </c>
      <c r="I33" s="21" t="str">
        <f t="shared" ca="1" si="7"/>
        <v>-</v>
      </c>
      <c r="J33" s="21" t="str">
        <f t="shared" ca="1" si="8"/>
        <v>-</v>
      </c>
      <c r="K33" s="22" t="str">
        <f t="shared" ca="1" si="9"/>
        <v>-</v>
      </c>
    </row>
    <row r="34" spans="1:12" ht="11.25" customHeight="1" thickBot="1" x14ac:dyDescent="0.25">
      <c r="A34" s="113"/>
      <c r="B34" s="156"/>
      <c r="C34" s="157" t="s">
        <v>4621</v>
      </c>
      <c r="D34" s="158"/>
      <c r="E34" s="21">
        <f ca="1">COUNTIF(ORSA_Intervention_SIMs[Ops Date], "&gt;="&amp;ORSA_Intervention_Date-30)</f>
        <v>0</v>
      </c>
      <c r="F34" s="21">
        <f ca="1">SUMIF(ORSA_Intervention_SIMs[[Ops Date]:[Ops Date]], "&gt;="&amp;ORSA_Intervention_Date-30, ORSA_Intervention_SIMs[Miss])</f>
        <v>0</v>
      </c>
      <c r="G34" s="21">
        <f ca="1">SUMIF(ORSA_Intervention_SIMs[[Ops Date]:[Ops Date]], "&gt;="&amp;ORSA_Intervention_Date-30, ORSA_Intervention_SIMs[CI])</f>
        <v>0</v>
      </c>
      <c r="H34" s="21">
        <f ca="1">SUMIF(ORSA_Intervention_SIMs[[Ops Date]:[Ops Date]], "&gt;="&amp;ORSA_Intervention_Date-30, ORSA_Intervention_SIMs[NCI])</f>
        <v>0</v>
      </c>
      <c r="I34" s="54" t="str">
        <f t="shared" ca="1" si="7"/>
        <v>-</v>
      </c>
      <c r="J34" s="54" t="str">
        <f t="shared" ca="1" si="8"/>
        <v>-</v>
      </c>
      <c r="K34" s="22" t="str">
        <f t="shared" ca="1" si="9"/>
        <v>-</v>
      </c>
    </row>
    <row r="35" spans="1:12" ht="11.25" customHeight="1" thickBot="1" x14ac:dyDescent="0.25">
      <c r="A35" s="61"/>
      <c r="B35" s="59"/>
      <c r="C35" s="60"/>
      <c r="D35" s="60"/>
      <c r="E35" s="60"/>
      <c r="F35" s="60"/>
      <c r="G35" s="60"/>
      <c r="H35" s="60"/>
      <c r="I35" s="60"/>
      <c r="J35" s="58"/>
      <c r="K35" s="57"/>
      <c r="L35" s="10"/>
    </row>
    <row r="36" spans="1:12" ht="11.25" customHeight="1" thickBot="1" x14ac:dyDescent="0.25">
      <c r="A36" s="111" t="s">
        <v>5307</v>
      </c>
      <c r="B36" s="112"/>
      <c r="C36" s="115" t="s">
        <v>10</v>
      </c>
      <c r="D36" s="116"/>
      <c r="E36" s="21">
        <f ca="1">COUNTIF(ORSA_Valids_SIMs[Ops Date], ORSA_Valids_Date)</f>
        <v>0</v>
      </c>
      <c r="F36" s="21">
        <f ca="1">SUMIF(ORSA_Valids_SIMs[[Ops Date]:[Ops Date]], ORSA_Valids_Date, ORSA_Valids_SIMs[Miss])</f>
        <v>0</v>
      </c>
      <c r="G36" s="21">
        <f ca="1">SUMIF(ORSA_Valids_SIMs[[Ops Date]:[Ops Date]], ORSA_Valids_Date, ORSA_Valids_SIMs[CI])</f>
        <v>0</v>
      </c>
      <c r="H36" s="21">
        <f ca="1">SUMIF(ORSA_Valids_SIMs[[Ops Date]:[Ops Date]], ORSA_Valids_Date, ORSA_Valids_SIMs[NCI])</f>
        <v>0</v>
      </c>
      <c r="I36" s="21" t="str">
        <f t="shared" ref="I36:K37" ca="1" si="10">IFERROR(
 1000000*F36/$E36,
 "-"
)</f>
        <v>-</v>
      </c>
      <c r="J36" s="21" t="str">
        <f t="shared" ca="1" si="10"/>
        <v>-</v>
      </c>
      <c r="K36" s="22" t="str">
        <f t="shared" ca="1" si="10"/>
        <v>-</v>
      </c>
      <c r="L36" s="11"/>
    </row>
    <row r="37" spans="1:12" ht="11.25" customHeight="1" thickBot="1" x14ac:dyDescent="0.25">
      <c r="A37" s="113"/>
      <c r="B37" s="114"/>
      <c r="C37" s="115" t="s">
        <v>8</v>
      </c>
      <c r="D37" s="116"/>
      <c r="E37" s="21">
        <f ca="1">COUNTIF(ORSA_Valids_SIMs[Ops Week], WEEKNUM(ORSA_Valids_Date))</f>
        <v>0</v>
      </c>
      <c r="F37" s="21">
        <f ca="1">SUMIF(ORSA_Valids_SIMs[[Ops Week]:[Ops Week]], WEEKNUM(ORSA_Valids_Date), ORSA_Valids_SIMs[Miss])</f>
        <v>0</v>
      </c>
      <c r="G37" s="21">
        <f ca="1">SUMIF(ORSA_Valids_SIMs[[Ops Week]:[Ops Week]], WEEKNUM(ORSA_Valids_Date), ORSA_Valids_SIMs[CI])</f>
        <v>0</v>
      </c>
      <c r="H37" s="21">
        <f ca="1">SUMIF(ORSA_Valids_SIMs[[Ops Week]:[Ops Week]], WEEKNUM(ORSA_Valids_Date), ORSA_Valids_SIMs[NCI])</f>
        <v>0</v>
      </c>
      <c r="I37" s="21" t="str">
        <f t="shared" ca="1" si="10"/>
        <v>-</v>
      </c>
      <c r="J37" s="21" t="str">
        <f t="shared" ca="1" si="10"/>
        <v>-</v>
      </c>
      <c r="K37" s="22" t="str">
        <f t="shared" ca="1" si="10"/>
        <v>-</v>
      </c>
      <c r="L37" s="11"/>
    </row>
    <row r="38" spans="1:12" ht="11.25" customHeight="1" thickBot="1" x14ac:dyDescent="0.25">
      <c r="A38" s="117"/>
      <c r="B38" s="118"/>
      <c r="C38" s="118"/>
      <c r="D38" s="118"/>
      <c r="E38" s="118"/>
      <c r="F38" s="118"/>
      <c r="G38" s="118"/>
      <c r="H38" s="118"/>
      <c r="I38" s="118"/>
      <c r="J38" s="118"/>
      <c r="K38" s="119"/>
      <c r="L38" s="11"/>
    </row>
    <row r="39" spans="1:12" ht="11.25" customHeight="1" thickBot="1" x14ac:dyDescent="0.25">
      <c r="A39" s="111" t="s">
        <v>5387</v>
      </c>
      <c r="B39" s="112"/>
      <c r="C39" s="115" t="s">
        <v>10</v>
      </c>
      <c r="D39" s="116"/>
      <c r="E39" s="21">
        <f ca="1">COUNTIF(ORSA_Invalids_SIMs[Ops Date], ORSA_Invalids_Date)</f>
        <v>0</v>
      </c>
      <c r="F39" s="21">
        <f ca="1">SUMIF(ORSA_Invalids_SIMs[[Ops Date]:[Ops Date]], ORSA_Invalids_Date, ORSA_Invalids_SIMs[Miss])</f>
        <v>0</v>
      </c>
      <c r="G39" s="21">
        <f ca="1">SUMIF(ORSA_Invalids_SIMs[[Ops Date]:[Ops Date]], ORSA_Invalids_Date, ORSA_Invalids_SIMs[CI])</f>
        <v>0</v>
      </c>
      <c r="H39" s="21">
        <f ca="1">SUMIF(ORSA_Invalids_SIMs[[Ops Date]:[Ops Date]], ORSA_Invalids_Date, ORSA_Invalids_SIMs[NCI])</f>
        <v>0</v>
      </c>
      <c r="I39" s="21" t="str">
        <f t="shared" ref="I39:K40" ca="1" si="11">IFERROR(
 1000000*F39/$E39,
 "-"
)</f>
        <v>-</v>
      </c>
      <c r="J39" s="21" t="str">
        <f t="shared" ca="1" si="11"/>
        <v>-</v>
      </c>
      <c r="K39" s="22" t="str">
        <f t="shared" ca="1" si="11"/>
        <v>-</v>
      </c>
      <c r="L39" s="12"/>
    </row>
    <row r="40" spans="1:12" ht="11.25" customHeight="1" thickBot="1" x14ac:dyDescent="0.25">
      <c r="A40" s="113"/>
      <c r="B40" s="114"/>
      <c r="C40" s="115" t="s">
        <v>8</v>
      </c>
      <c r="D40" s="116"/>
      <c r="E40" s="21">
        <f ca="1">COUNTIF(ORSA_Invalids_SIMs[Ops Week], WEEKNUM(ORSA_Invalids_Date))</f>
        <v>0</v>
      </c>
      <c r="F40" s="21">
        <f ca="1">SUMIF(ORSA_Invalids_SIMs[[Ops Week]:[Ops Week]], WEEKNUM(ORSA_Invalids_Date), ORSA_Invalids_SIMs[Miss])</f>
        <v>0</v>
      </c>
      <c r="G40" s="21">
        <f ca="1">SUMIF(ORSA_Invalids_SIMs[[Ops Week]:[Ops Week]], WEEKNUM(ORSA_Invalids_Date), ORSA_Invalids_SIMs[CI])</f>
        <v>0</v>
      </c>
      <c r="H40" s="21">
        <f ca="1">SUMIF(ORSA_Invalids_SIMs[[Ops Week]:[Ops Week]], WEEKNUM(ORSA_Invalids_Date), ORSA_Invalids_SIMs[NCI])</f>
        <v>0</v>
      </c>
      <c r="I40" s="21" t="str">
        <f t="shared" ca="1" si="11"/>
        <v>-</v>
      </c>
      <c r="J40" s="21" t="str">
        <f t="shared" ca="1" si="11"/>
        <v>-</v>
      </c>
      <c r="K40" s="22" t="str">
        <f t="shared" ca="1" si="11"/>
        <v>-</v>
      </c>
      <c r="L40" s="12"/>
    </row>
    <row r="41" spans="1:12" ht="11.25" customHeight="1" thickBot="1" x14ac:dyDescent="0.25">
      <c r="A41" s="117"/>
      <c r="B41" s="118"/>
      <c r="C41" s="118"/>
      <c r="D41" s="118"/>
      <c r="E41" s="118"/>
      <c r="F41" s="118"/>
      <c r="G41" s="118"/>
      <c r="H41" s="118"/>
      <c r="I41" s="118"/>
      <c r="J41" s="118"/>
      <c r="K41" s="119"/>
      <c r="L41" s="12"/>
    </row>
    <row r="42" spans="1:12" ht="13.5" customHeight="1" thickBot="1" x14ac:dyDescent="0.25">
      <c r="A42" s="111" t="s">
        <v>4641</v>
      </c>
      <c r="B42" s="112"/>
      <c r="C42" s="115" t="s">
        <v>10</v>
      </c>
      <c r="D42" s="116"/>
      <c r="E42" s="21">
        <f ca="1">COUNTIF(MOPAR_Manual_Captures_SIMs[Ops Date], MOPAR_Manual_Captures_Date)</f>
        <v>0</v>
      </c>
      <c r="F42" s="21">
        <f ca="1">SUMIF(MOPAR_Manual_Captures_SIMs[[Ops Date]:[Ops Date]], MOPAR_Manual_Captures_Date, MOPAR_Manual_Captures_SIMs[Miss])</f>
        <v>0</v>
      </c>
      <c r="G42" s="21">
        <f ca="1">SUMIF(MOPAR_Manual_Captures_SIMs[[Ops Date]:[Ops Date]], MOPAR_Manual_Captures_Date, MOPAR_Manual_Captures_SIMs[CI])</f>
        <v>0</v>
      </c>
      <c r="H42" s="21">
        <f ca="1">SUMIF(MOPAR_Manual_Captures_SIMs[[Ops Date]:[Ops Date]], MOPAR_Manual_Captures_Date, MOPAR_Manual_Captures_SIMs[NCI])</f>
        <v>0</v>
      </c>
      <c r="I42" s="21" t="str">
        <f t="shared" ref="I42:K43" ca="1" si="12">IFERROR(
 1000000*F42/$E42,
 "-"
)</f>
        <v>-</v>
      </c>
      <c r="J42" s="21" t="str">
        <f t="shared" ca="1" si="12"/>
        <v>-</v>
      </c>
      <c r="K42" s="22" t="str">
        <f t="shared" ca="1" si="12"/>
        <v>-</v>
      </c>
      <c r="L42" s="12"/>
    </row>
    <row r="43" spans="1:12" ht="11.25" customHeight="1" thickBot="1" x14ac:dyDescent="0.25">
      <c r="A43" s="113"/>
      <c r="B43" s="114"/>
      <c r="C43" s="115" t="s">
        <v>8</v>
      </c>
      <c r="D43" s="116"/>
      <c r="E43" s="21">
        <f ca="1">COUNTIF(MOPAR_Manual_Captures_SIMs[Ops Week], WEEKNUM(MOPAR_Manual_Captures_Date))</f>
        <v>0</v>
      </c>
      <c r="F43" s="21">
        <f ca="1">SUMIF(MOPAR_Manual_Captures_SIMs[[Ops Week]:[Ops Week]], WEEKNUM(MOPAR_Manual_Captures_Date), MOPAR_Manual_Captures_SIMs[Miss])</f>
        <v>0</v>
      </c>
      <c r="G43" s="21">
        <f ca="1">SUMIF(MOPAR_Manual_Captures_SIMs[[Ops Week]:[Ops Week]], WEEKNUM(MOPAR_Manual_Captures_Date), MOPAR_Manual_Captures_SIMs[CI])</f>
        <v>0</v>
      </c>
      <c r="H43" s="21">
        <f ca="1">SUMIF(MOPAR_Manual_Captures_SIMs[[Ops Week]:[Ops Week]], WEEKNUM(MOPAR_Manual_Captures_Date), MOPAR_Manual_Captures_SIMs[NCI])</f>
        <v>0</v>
      </c>
      <c r="I43" s="21" t="str">
        <f t="shared" ca="1" si="12"/>
        <v>-</v>
      </c>
      <c r="J43" s="21" t="str">
        <f t="shared" ca="1" si="12"/>
        <v>-</v>
      </c>
      <c r="K43" s="22" t="str">
        <f t="shared" ca="1" si="12"/>
        <v>-</v>
      </c>
      <c r="L43" s="10"/>
    </row>
    <row r="44" spans="1:12" ht="11.25" customHeight="1" thickBot="1" x14ac:dyDescent="0.25">
      <c r="A44" s="117"/>
      <c r="B44" s="118"/>
      <c r="C44" s="118"/>
      <c r="D44" s="118"/>
      <c r="E44" s="118"/>
      <c r="F44" s="118"/>
      <c r="G44" s="118"/>
      <c r="H44" s="118"/>
      <c r="I44" s="118"/>
      <c r="J44" s="118"/>
      <c r="K44" s="119"/>
      <c r="L44" s="11"/>
    </row>
    <row r="45" spans="1:12" ht="11.25" customHeight="1" thickBot="1" x14ac:dyDescent="0.25">
      <c r="A45" s="138" t="s">
        <v>38</v>
      </c>
      <c r="B45" s="139"/>
      <c r="C45" s="139"/>
      <c r="D45" s="139"/>
      <c r="E45" s="139"/>
      <c r="F45" s="139"/>
      <c r="G45" s="139"/>
      <c r="H45" s="139"/>
      <c r="I45" s="139"/>
      <c r="J45" s="139"/>
      <c r="K45" s="140"/>
      <c r="L45" s="11"/>
    </row>
    <row r="46" spans="1:12" ht="11.25" customHeight="1" thickBot="1" x14ac:dyDescent="0.25">
      <c r="A46" s="125"/>
      <c r="B46" s="126"/>
      <c r="C46" s="126"/>
      <c r="D46" s="127"/>
      <c r="E46" s="141"/>
      <c r="F46" s="142"/>
      <c r="G46" s="142"/>
      <c r="H46" s="142"/>
      <c r="I46" s="142"/>
      <c r="J46" s="142"/>
      <c r="K46" s="143"/>
      <c r="L46" s="11"/>
    </row>
    <row r="47" spans="1:12" ht="11.25" customHeight="1" thickBot="1" x14ac:dyDescent="0.25">
      <c r="A47" s="125"/>
      <c r="B47" s="126"/>
      <c r="C47" s="126"/>
      <c r="D47" s="126"/>
      <c r="E47" s="126"/>
      <c r="F47" s="126"/>
      <c r="G47" s="126"/>
      <c r="H47" s="126"/>
      <c r="I47" s="126"/>
      <c r="J47" s="126"/>
      <c r="K47" s="127"/>
      <c r="L47" s="12"/>
    </row>
    <row r="48" spans="1:12" ht="11.25" customHeight="1" thickBot="1" x14ac:dyDescent="0.25">
      <c r="A48" s="144" t="s">
        <v>12</v>
      </c>
      <c r="B48" s="145"/>
      <c r="C48" s="145"/>
      <c r="D48" s="145"/>
      <c r="E48" s="145"/>
      <c r="F48" s="145"/>
      <c r="G48" s="145"/>
      <c r="H48" s="145"/>
      <c r="I48" s="145"/>
      <c r="J48" s="145"/>
      <c r="K48" s="146"/>
      <c r="L48" s="12"/>
    </row>
    <row r="49" spans="1:12" ht="11.25" customHeight="1" x14ac:dyDescent="0.2">
      <c r="A49" s="147" t="s">
        <v>4627</v>
      </c>
      <c r="B49" s="122" t="s">
        <v>4628</v>
      </c>
      <c r="C49" s="122" t="s">
        <v>4629</v>
      </c>
      <c r="D49" s="122" t="s">
        <v>4630</v>
      </c>
      <c r="E49" s="122" t="s">
        <v>5058</v>
      </c>
      <c r="F49" s="122" t="s">
        <v>4631</v>
      </c>
      <c r="G49" s="122" t="s">
        <v>4632</v>
      </c>
      <c r="H49" s="122" t="s">
        <v>4634</v>
      </c>
      <c r="I49" s="122"/>
      <c r="J49" s="122" t="s">
        <v>4635</v>
      </c>
      <c r="K49" s="129" t="s">
        <v>20</v>
      </c>
      <c r="L49" s="12"/>
    </row>
    <row r="50" spans="1:12" ht="11.25" customHeight="1" x14ac:dyDescent="0.2">
      <c r="A50" s="148"/>
      <c r="B50" s="128"/>
      <c r="C50" s="128"/>
      <c r="D50" s="128"/>
      <c r="E50" s="128"/>
      <c r="F50" s="123"/>
      <c r="G50" s="123"/>
      <c r="H50" s="123"/>
      <c r="I50" s="123"/>
      <c r="J50" s="128"/>
      <c r="K50" s="130"/>
      <c r="L50" s="12"/>
    </row>
    <row r="51" spans="1:12" ht="15" customHeight="1" thickBot="1" x14ac:dyDescent="0.25">
      <c r="A51" s="149"/>
      <c r="B51" s="124"/>
      <c r="C51" s="124"/>
      <c r="D51" s="124"/>
      <c r="E51" s="124"/>
      <c r="F51" s="124"/>
      <c r="G51" s="124"/>
      <c r="H51" s="124"/>
      <c r="I51" s="124"/>
      <c r="J51" s="124"/>
      <c r="K51" s="131"/>
      <c r="L51" s="12"/>
    </row>
    <row r="52" spans="1:12" ht="11.25" customHeight="1" thickBot="1" x14ac:dyDescent="0.25">
      <c r="A52" s="62">
        <f ca="1">_xlfn.LET(_xlpm.weekNum, WEEKNUM(AFS_Date - 21),
IF(_xlpm.weekNum &gt; 52, 1, _xlpm.weekNum))</f>
        <v>47</v>
      </c>
      <c r="B52" s="20">
        <f ca="1">COUNTIF(AFS_SIMs[Ops Week], A52)</f>
        <v>0</v>
      </c>
      <c r="C52" s="20">
        <f ca="1">SUMIF(AFS_SIMs[[Ops Week]:[Ops Week]], $A52, AFS_SIMs[Miss])</f>
        <v>0</v>
      </c>
      <c r="D52" s="20">
        <f ca="1">SUMIF(AFS_SIMs[[Ops Week]:[Ops Week]], $A52, AFS_SIMs[CI])</f>
        <v>0</v>
      </c>
      <c r="E52" s="20">
        <f ca="1">SUMIF(AFS_SIMs[[Ops Week]:[Ops Week]], $A52, AFS_SIMs[NCI])</f>
        <v>0</v>
      </c>
      <c r="F52" s="20">
        <f ca="1">SUMIF(AFS_SIMs[[Ops Week]:[Ops Week]], $A52, AFS_SIMs[Operator Follow-up])</f>
        <v>0</v>
      </c>
      <c r="G52" s="20">
        <f ca="1">SUMIF(AFS_SIMs[[Ops Week]:[Ops Week]], $A52, AFS_SIMs[False Resolution])</f>
        <v>0</v>
      </c>
      <c r="H52" s="120" t="str">
        <f ca="1">IFERROR(
 1000000*C52/$B52,
 "-"
)</f>
        <v>-</v>
      </c>
      <c r="I52" s="121"/>
      <c r="J52" s="20" t="str">
        <f t="shared" ref="J52:K55" ca="1" si="13">IFERROR(
 1000000*D52/$B52,
 "-"
)</f>
        <v>-</v>
      </c>
      <c r="K52" s="20" t="str">
        <f t="shared" ca="1" si="13"/>
        <v>-</v>
      </c>
      <c r="L52" s="12"/>
    </row>
    <row r="53" spans="1:12" ht="11.25" customHeight="1" thickBot="1" x14ac:dyDescent="0.25">
      <c r="A53" s="62">
        <f ca="1">_xlfn.LET(_xlpm.weekNum, WEEKNUM(AFS_Date - 14),
IF(_xlpm.weekNum &gt; 52, 1, _xlpm.weekNum))</f>
        <v>48</v>
      </c>
      <c r="B53" s="20">
        <f ca="1">COUNTIF(AFS_SIMs[Ops Week], A53)</f>
        <v>0</v>
      </c>
      <c r="C53" s="20">
        <f ca="1">SUMIF(AFS_SIMs[[Ops Week]:[Ops Week]], $A53, AFS_SIMs[Miss])</f>
        <v>0</v>
      </c>
      <c r="D53" s="20">
        <f ca="1">SUMIF(AFS_SIMs[[Ops Week]:[Ops Week]], $A53, AFS_SIMs[CI])</f>
        <v>0</v>
      </c>
      <c r="E53" s="20">
        <f ca="1">SUMIF(AFS_SIMs[[Ops Week]:[Ops Week]], $A53, AFS_SIMs[NCI])</f>
        <v>0</v>
      </c>
      <c r="F53" s="20">
        <f ca="1">SUMIF(AFS_SIMs[[Ops Week]:[Ops Week]], $A53, AFS_SIMs[Operator Follow-up])</f>
        <v>0</v>
      </c>
      <c r="G53" s="20">
        <f ca="1">SUMIF(AFS_SIMs[[Ops Week]:[Ops Week]], $A53, AFS_SIMs[False Resolution])</f>
        <v>0</v>
      </c>
      <c r="H53" s="120" t="str">
        <f ca="1">IFERROR(
 1000000*C53/$B53,
 "-"
)</f>
        <v>-</v>
      </c>
      <c r="I53" s="121"/>
      <c r="J53" s="20" t="str">
        <f t="shared" ca="1" si="13"/>
        <v>-</v>
      </c>
      <c r="K53" s="20" t="str">
        <f t="shared" ca="1" si="13"/>
        <v>-</v>
      </c>
      <c r="L53" s="12"/>
    </row>
    <row r="54" spans="1:12" ht="11.25" customHeight="1" thickBot="1" x14ac:dyDescent="0.25">
      <c r="A54" s="62">
        <f ca="1">_xlfn.LET(_xlpm.weekNum, WEEKNUM(AFS_Date - 7),
IF(_xlpm.weekNum &gt; 52, 1, _xlpm.weekNum))</f>
        <v>49</v>
      </c>
      <c r="B54" s="20">
        <f ca="1">COUNTIF(AFS_SIMs[Ops Week], A54)</f>
        <v>0</v>
      </c>
      <c r="C54" s="20">
        <f ca="1">SUMIF(AFS_SIMs[[Ops Week]:[Ops Week]], $A54, AFS_SIMs[Miss])</f>
        <v>0</v>
      </c>
      <c r="D54" s="20">
        <f ca="1">SUMIF(AFS_SIMs[[Ops Week]:[Ops Week]], $A54, AFS_SIMs[CI])</f>
        <v>0</v>
      </c>
      <c r="E54" s="20">
        <f ca="1">SUMIF(AFS_SIMs[[Ops Week]:[Ops Week]], $A54, AFS_SIMs[NCI])</f>
        <v>0</v>
      </c>
      <c r="F54" s="20">
        <f ca="1">SUMIF(AFS_SIMs[[Ops Week]:[Ops Week]], $A54, AFS_SIMs[Operator Follow-up])</f>
        <v>0</v>
      </c>
      <c r="G54" s="20">
        <f ca="1">SUMIF(AFS_SIMs[[Ops Week]:[Ops Week]], $A54, AFS_SIMs[False Resolution])</f>
        <v>0</v>
      </c>
      <c r="H54" s="120" t="str">
        <f ca="1">IFERROR(
 1000000*C54/$B54,
 "-"
)</f>
        <v>-</v>
      </c>
      <c r="I54" s="121"/>
      <c r="J54" s="20" t="str">
        <f t="shared" ca="1" si="13"/>
        <v>-</v>
      </c>
      <c r="K54" s="20" t="str">
        <f t="shared" ca="1" si="13"/>
        <v>-</v>
      </c>
      <c r="L54" s="12"/>
    </row>
    <row r="55" spans="1:12" ht="11.25" customHeight="1" thickBot="1" x14ac:dyDescent="0.25">
      <c r="A55" s="62">
        <f ca="1">_xlfn.LET(_xlpm.weekNum, WEEKNUM(AFS_Date),
IF(_xlpm.weekNum &gt; 52, 1, _xlpm.weekNum))</f>
        <v>50</v>
      </c>
      <c r="B55" s="20">
        <f ca="1">COUNTIF(AFS_SIMs[Ops Week], A55)</f>
        <v>0</v>
      </c>
      <c r="C55" s="20">
        <f ca="1">SUMIF(AFS_SIMs[[Ops Week]:[Ops Week]], $A55, AFS_SIMs[Miss])</f>
        <v>0</v>
      </c>
      <c r="D55" s="20">
        <f ca="1">SUMIF(AFS_SIMs[[Ops Week]:[Ops Week]], $A55, AFS_SIMs[CI])</f>
        <v>0</v>
      </c>
      <c r="E55" s="20">
        <f ca="1">SUMIF(AFS_SIMs[[Ops Week]:[Ops Week]], $A55, AFS_SIMs[NCI])</f>
        <v>0</v>
      </c>
      <c r="F55" s="20">
        <f ca="1">SUMIF(AFS_SIMs[[Ops Week]:[Ops Week]], $A55, AFS_SIMs[Operator Follow-up])</f>
        <v>0</v>
      </c>
      <c r="G55" s="20">
        <f ca="1">SUMIF(AFS_SIMs[[Ops Week]:[Ops Week]], $A55, AFS_SIMs[False Resolution])</f>
        <v>0</v>
      </c>
      <c r="H55" s="120" t="str">
        <f ca="1">IFERROR(
 1000000*C55/$B55,
 "-"
)</f>
        <v>-</v>
      </c>
      <c r="I55" s="121"/>
      <c r="J55" s="20" t="str">
        <f t="shared" ca="1" si="13"/>
        <v>-</v>
      </c>
      <c r="K55" s="20" t="str">
        <f t="shared" ca="1" si="13"/>
        <v>-</v>
      </c>
      <c r="L55" s="12"/>
    </row>
    <row r="56" spans="1:12" ht="11.25" customHeight="1" thickBot="1" x14ac:dyDescent="0.25">
      <c r="A56" s="150"/>
      <c r="B56" s="151"/>
      <c r="C56" s="151"/>
      <c r="D56" s="151"/>
      <c r="E56" s="151"/>
      <c r="F56" s="151"/>
      <c r="G56" s="151"/>
      <c r="H56" s="151"/>
      <c r="I56" s="151"/>
      <c r="J56" s="151"/>
      <c r="K56" s="152"/>
      <c r="L56" s="12"/>
    </row>
    <row r="57" spans="1:12" ht="11.25" customHeight="1" thickBot="1" x14ac:dyDescent="0.25">
      <c r="A57" s="132" t="s">
        <v>14</v>
      </c>
      <c r="B57" s="133"/>
      <c r="C57" s="133"/>
      <c r="D57" s="133"/>
      <c r="E57" s="133"/>
      <c r="F57" s="133"/>
      <c r="G57" s="133"/>
      <c r="H57" s="133"/>
      <c r="I57" s="133"/>
      <c r="J57" s="133"/>
      <c r="K57" s="134"/>
      <c r="L57" s="12"/>
    </row>
    <row r="58" spans="1:12" ht="11.25" customHeight="1" x14ac:dyDescent="0.2">
      <c r="A58" s="135" t="s">
        <v>5</v>
      </c>
      <c r="B58" s="122" t="s">
        <v>4628</v>
      </c>
      <c r="C58" s="122" t="s">
        <v>4629</v>
      </c>
      <c r="D58" s="122" t="s">
        <v>4630</v>
      </c>
      <c r="E58" s="122" t="s">
        <v>5058</v>
      </c>
      <c r="F58" s="122" t="s">
        <v>4631</v>
      </c>
      <c r="G58" s="122" t="s">
        <v>4632</v>
      </c>
      <c r="H58" s="122" t="s">
        <v>4634</v>
      </c>
      <c r="I58" s="122"/>
      <c r="J58" s="122" t="s">
        <v>4635</v>
      </c>
      <c r="K58" s="129" t="s">
        <v>20</v>
      </c>
      <c r="L58" s="12"/>
    </row>
    <row r="59" spans="1:12" ht="11.25" customHeight="1" x14ac:dyDescent="0.2">
      <c r="A59" s="136"/>
      <c r="B59" s="123"/>
      <c r="C59" s="123"/>
      <c r="D59" s="123"/>
      <c r="E59" s="123"/>
      <c r="F59" s="123"/>
      <c r="G59" s="123"/>
      <c r="H59" s="123"/>
      <c r="I59" s="123"/>
      <c r="J59" s="123"/>
      <c r="K59" s="130"/>
      <c r="L59" s="11"/>
    </row>
    <row r="60" spans="1:12" ht="11.25" customHeight="1" thickBot="1" x14ac:dyDescent="0.25">
      <c r="A60" s="137"/>
      <c r="B60" s="124"/>
      <c r="C60" s="124"/>
      <c r="D60" s="124"/>
      <c r="E60" s="124"/>
      <c r="F60" s="124"/>
      <c r="G60" s="124"/>
      <c r="H60" s="124"/>
      <c r="I60" s="124"/>
      <c r="J60" s="124"/>
      <c r="K60" s="131"/>
      <c r="L60" s="12"/>
    </row>
    <row r="61" spans="1:12" ht="11.25" customHeight="1" thickBot="1" x14ac:dyDescent="0.25">
      <c r="A61" s="63">
        <f ca="1">AFS_Date - 6</f>
        <v>45629</v>
      </c>
      <c r="B61" s="20">
        <f ca="1">COUNTIF(AFS_SIMs[Ops Date], $A61)</f>
        <v>0</v>
      </c>
      <c r="C61" s="20">
        <f ca="1">SUMIF(AFS_SIMs[[Ops Date]:[Ops Date]], $A61, AFS_SIMs[Miss])</f>
        <v>0</v>
      </c>
      <c r="D61" s="20">
        <f ca="1">SUMIF(AFS_SIMs[[Ops Date]:[Ops Date]], $A61, AFS_SIMs[CI])</f>
        <v>0</v>
      </c>
      <c r="E61" s="20">
        <f ca="1">SUMIF(AFS_SIMs[[Ops Date]:[Ops Date]], $A61, AFS_SIMs[NCI])</f>
        <v>0</v>
      </c>
      <c r="F61" s="20">
        <f ca="1">SUMIF(AFS_SIMs[[Ops Date]:[Ops Date]], $A61, AFS_SIMs[Operator Follow-up])</f>
        <v>0</v>
      </c>
      <c r="G61" s="20">
        <f ca="1">SUMIF(AFS_SIMs[[Ops Date]:[Ops Date]], $A61, AFS_SIMs[False Resolution])</f>
        <v>0</v>
      </c>
      <c r="H61" s="120" t="str">
        <f t="shared" ref="H61:H67" ca="1" si="14">IFERROR(
 1000000*C61/$B61,
 "-"
)</f>
        <v>-</v>
      </c>
      <c r="I61" s="121"/>
      <c r="J61" s="20" t="str">
        <f ca="1">IFERROR(
 1000000*D61/$B61,
 "-"
)</f>
        <v>-</v>
      </c>
      <c r="K61" s="20" t="str">
        <f ca="1">IFERROR(
 1000000*E61/$B61,
 "-"
)</f>
        <v>-</v>
      </c>
      <c r="L61" s="12"/>
    </row>
    <row r="62" spans="1:12" ht="11.25" customHeight="1" thickBot="1" x14ac:dyDescent="0.25">
      <c r="A62" s="63">
        <f ca="1">AFS_Date - 5</f>
        <v>45630</v>
      </c>
      <c r="B62" s="20">
        <f ca="1">COUNTIF(AFS_SIMs[Ops Date], $A62)</f>
        <v>0</v>
      </c>
      <c r="C62" s="20">
        <f ca="1">SUMIF(AFS_SIMs[[Ops Date]:[Ops Date]], $A62, AFS_SIMs[Miss])</f>
        <v>0</v>
      </c>
      <c r="D62" s="20">
        <f ca="1">SUMIF(AFS_SIMs[[Ops Date]:[Ops Date]], $A62, AFS_SIMs[CI])</f>
        <v>0</v>
      </c>
      <c r="E62" s="20">
        <f ca="1">SUMIF(AFS_SIMs[[Ops Date]:[Ops Date]], $A62, AFS_SIMs[NCI])</f>
        <v>0</v>
      </c>
      <c r="F62" s="20">
        <f ca="1">SUMIF(AFS_SIMs[[Ops Date]:[Ops Date]], $A62, AFS_SIMs[Operator Follow-up])</f>
        <v>0</v>
      </c>
      <c r="G62" s="20">
        <f ca="1">SUMIF(AFS_SIMs[[Ops Date]:[Ops Date]], $A62, AFS_SIMs[False Resolution])</f>
        <v>0</v>
      </c>
      <c r="H62" s="120" t="str">
        <f t="shared" ca="1" si="14"/>
        <v>-</v>
      </c>
      <c r="I62" s="121"/>
      <c r="J62" s="20" t="str">
        <f t="shared" ref="J62:J67" ca="1" si="15">IFERROR(
 1000000*D62/$B62,
 "-"
)</f>
        <v>-</v>
      </c>
      <c r="K62" s="20" t="str">
        <f t="shared" ref="K62:K67" ca="1" si="16">IFERROR(
 1000000*E62/$B62,
 "-"
)</f>
        <v>-</v>
      </c>
      <c r="L62" s="12"/>
    </row>
    <row r="63" spans="1:12" ht="11.25" customHeight="1" thickBot="1" x14ac:dyDescent="0.25">
      <c r="A63" s="63">
        <f ca="1">AFS_Date - 4</f>
        <v>45631</v>
      </c>
      <c r="B63" s="20">
        <f ca="1">COUNTIF(AFS_SIMs[Ops Date], $A63)</f>
        <v>0</v>
      </c>
      <c r="C63" s="20">
        <f ca="1">SUMIF(AFS_SIMs[[Ops Date]:[Ops Date]], $A63, AFS_SIMs[Miss])</f>
        <v>0</v>
      </c>
      <c r="D63" s="20">
        <f ca="1">SUMIF(AFS_SIMs[[Ops Date]:[Ops Date]], $A63, AFS_SIMs[CI])</f>
        <v>0</v>
      </c>
      <c r="E63" s="20">
        <f ca="1">SUMIF(AFS_SIMs[[Ops Date]:[Ops Date]], $A63, AFS_SIMs[NCI])</f>
        <v>0</v>
      </c>
      <c r="F63" s="20">
        <f ca="1">SUMIF(AFS_SIMs[[Ops Date]:[Ops Date]], $A63, AFS_SIMs[Operator Follow-up])</f>
        <v>0</v>
      </c>
      <c r="G63" s="20">
        <f ca="1">SUMIF(AFS_SIMs[[Ops Date]:[Ops Date]], $A63, AFS_SIMs[False Resolution])</f>
        <v>0</v>
      </c>
      <c r="H63" s="120" t="str">
        <f t="shared" ca="1" si="14"/>
        <v>-</v>
      </c>
      <c r="I63" s="121"/>
      <c r="J63" s="20" t="str">
        <f t="shared" ca="1" si="15"/>
        <v>-</v>
      </c>
      <c r="K63" s="20" t="str">
        <f t="shared" ca="1" si="16"/>
        <v>-</v>
      </c>
      <c r="L63" s="12"/>
    </row>
    <row r="64" spans="1:12" ht="14.25" customHeight="1" thickBot="1" x14ac:dyDescent="0.25">
      <c r="A64" s="63">
        <f ca="1">AFS_Date - 3</f>
        <v>45632</v>
      </c>
      <c r="B64" s="20">
        <f ca="1">COUNTIF(AFS_SIMs[Ops Date], $A64)</f>
        <v>0</v>
      </c>
      <c r="C64" s="20">
        <f ca="1">SUMIF(AFS_SIMs[[Ops Date]:[Ops Date]], $A64, AFS_SIMs[Miss])</f>
        <v>0</v>
      </c>
      <c r="D64" s="20">
        <f ca="1">SUMIF(AFS_SIMs[[Ops Date]:[Ops Date]], $A64, AFS_SIMs[CI])</f>
        <v>0</v>
      </c>
      <c r="E64" s="20">
        <f ca="1">SUMIF(AFS_SIMs[[Ops Date]:[Ops Date]], $A64, AFS_SIMs[NCI])</f>
        <v>0</v>
      </c>
      <c r="F64" s="20">
        <f ca="1">SUMIF(AFS_SIMs[[Ops Date]:[Ops Date]], $A64, AFS_SIMs[Operator Follow-up])</f>
        <v>0</v>
      </c>
      <c r="G64" s="20">
        <f ca="1">SUMIF(AFS_SIMs[[Ops Date]:[Ops Date]], $A64, AFS_SIMs[False Resolution])</f>
        <v>0</v>
      </c>
      <c r="H64" s="120" t="str">
        <f t="shared" ca="1" si="14"/>
        <v>-</v>
      </c>
      <c r="I64" s="121"/>
      <c r="J64" s="20" t="str">
        <f t="shared" ca="1" si="15"/>
        <v>-</v>
      </c>
      <c r="K64" s="20" t="str">
        <f t="shared" ca="1" si="16"/>
        <v>-</v>
      </c>
      <c r="L64" s="10"/>
    </row>
    <row r="65" spans="1:13" ht="14.25" customHeight="1" thickBot="1" x14ac:dyDescent="0.25">
      <c r="A65" s="63">
        <f ca="1">AFS_Date - 2</f>
        <v>45633</v>
      </c>
      <c r="B65" s="20">
        <f ca="1">COUNTIF(AFS_SIMs[Ops Date], $A65)</f>
        <v>0</v>
      </c>
      <c r="C65" s="20">
        <f ca="1">SUMIF(AFS_SIMs[[Ops Date]:[Ops Date]], $A65, AFS_SIMs[Miss])</f>
        <v>0</v>
      </c>
      <c r="D65" s="20">
        <f ca="1">SUMIF(AFS_SIMs[[Ops Date]:[Ops Date]], $A65, AFS_SIMs[CI])</f>
        <v>0</v>
      </c>
      <c r="E65" s="20">
        <f ca="1">SUMIF(AFS_SIMs[[Ops Date]:[Ops Date]], $A65, AFS_SIMs[NCI])</f>
        <v>0</v>
      </c>
      <c r="F65" s="20">
        <f ca="1">SUMIF(AFS_SIMs[[Ops Date]:[Ops Date]], $A65, AFS_SIMs[Operator Follow-up])</f>
        <v>0</v>
      </c>
      <c r="G65" s="20">
        <f ca="1">SUMIF(AFS_SIMs[[Ops Date]:[Ops Date]], $A65, AFS_SIMs[False Resolution])</f>
        <v>0</v>
      </c>
      <c r="H65" s="120" t="str">
        <f t="shared" ca="1" si="14"/>
        <v>-</v>
      </c>
      <c r="I65" s="121"/>
      <c r="J65" s="20" t="str">
        <f t="shared" ca="1" si="15"/>
        <v>-</v>
      </c>
      <c r="K65" s="20" t="str">
        <f t="shared" ca="1" si="16"/>
        <v>-</v>
      </c>
      <c r="L65" s="11"/>
    </row>
    <row r="66" spans="1:13" ht="14.25" customHeight="1" thickBot="1" x14ac:dyDescent="0.25">
      <c r="A66" s="63">
        <f ca="1">AFS_Date - 1</f>
        <v>45634</v>
      </c>
      <c r="B66" s="20">
        <f ca="1">COUNTIF(AFS_SIMs[Ops Date], $A66)</f>
        <v>0</v>
      </c>
      <c r="C66" s="20">
        <f ca="1">SUMIF(AFS_SIMs[[Ops Date]:[Ops Date]], $A66, AFS_SIMs[Miss])</f>
        <v>0</v>
      </c>
      <c r="D66" s="20">
        <f ca="1">SUMIF(AFS_SIMs[[Ops Date]:[Ops Date]], $A66, AFS_SIMs[CI])</f>
        <v>0</v>
      </c>
      <c r="E66" s="20">
        <f ca="1">SUMIF(AFS_SIMs[[Ops Date]:[Ops Date]], $A66, AFS_SIMs[NCI])</f>
        <v>0</v>
      </c>
      <c r="F66" s="20">
        <f ca="1">SUMIF(AFS_SIMs[[Ops Date]:[Ops Date]], $A66, AFS_SIMs[Operator Follow-up])</f>
        <v>0</v>
      </c>
      <c r="G66" s="20">
        <f ca="1">SUMIF(AFS_SIMs[[Ops Date]:[Ops Date]], $A66, AFS_SIMs[False Resolution])</f>
        <v>0</v>
      </c>
      <c r="H66" s="120" t="str">
        <f t="shared" ca="1" si="14"/>
        <v>-</v>
      </c>
      <c r="I66" s="121"/>
      <c r="J66" s="20" t="str">
        <f t="shared" ca="1" si="15"/>
        <v>-</v>
      </c>
      <c r="K66" s="20" t="str">
        <f t="shared" ca="1" si="16"/>
        <v>-</v>
      </c>
      <c r="L66" s="11"/>
    </row>
    <row r="67" spans="1:13" ht="11.25" customHeight="1" thickBot="1" x14ac:dyDescent="0.25">
      <c r="A67" s="63">
        <f ca="1">AFS_Date</f>
        <v>45635</v>
      </c>
      <c r="B67" s="20">
        <f ca="1">COUNTIF(AFS_SIMs[Ops Date], $A67)</f>
        <v>0</v>
      </c>
      <c r="C67" s="20">
        <f ca="1">SUMIF(AFS_SIMs[[Ops Date]:[Ops Date]], $A67, AFS_SIMs[Miss])</f>
        <v>0</v>
      </c>
      <c r="D67" s="20">
        <f ca="1">SUMIF(AFS_SIMs[[Ops Date]:[Ops Date]], $A67, AFS_SIMs[CI])</f>
        <v>0</v>
      </c>
      <c r="E67" s="20">
        <f ca="1">SUMIF(AFS_SIMs[[Ops Date]:[Ops Date]], $A67, AFS_SIMs[NCI])</f>
        <v>0</v>
      </c>
      <c r="F67" s="20">
        <f ca="1">SUMIF(AFS_SIMs[[Ops Date]:[Ops Date]], $A67, AFS_SIMs[Operator Follow-up])</f>
        <v>0</v>
      </c>
      <c r="G67" s="20">
        <f ca="1">SUMIF(AFS_SIMs[[Ops Date]:[Ops Date]], $A67, AFS_SIMs[False Resolution])</f>
        <v>0</v>
      </c>
      <c r="H67" s="120" t="str">
        <f t="shared" ca="1" si="14"/>
        <v>-</v>
      </c>
      <c r="I67" s="121"/>
      <c r="J67" s="20" t="str">
        <f t="shared" ca="1" si="15"/>
        <v>-</v>
      </c>
      <c r="K67" s="20" t="str">
        <f t="shared" ca="1" si="16"/>
        <v>-</v>
      </c>
      <c r="L67" s="11"/>
    </row>
    <row r="68" spans="1:13" ht="11.25" customHeight="1" thickBot="1" x14ac:dyDescent="0.25">
      <c r="A68" s="153"/>
      <c r="B68" s="154"/>
      <c r="C68" s="154"/>
      <c r="D68" s="154"/>
      <c r="E68" s="154"/>
      <c r="F68" s="154"/>
      <c r="G68" s="154"/>
      <c r="H68" s="154"/>
      <c r="I68" s="154"/>
      <c r="J68" s="154"/>
      <c r="K68" s="155"/>
      <c r="L68" s="12"/>
    </row>
    <row r="69" spans="1:13" ht="11.25" customHeight="1" thickBot="1" x14ac:dyDescent="0.25">
      <c r="A69" s="138" t="s">
        <v>4626</v>
      </c>
      <c r="B69" s="139"/>
      <c r="C69" s="139"/>
      <c r="D69" s="139"/>
      <c r="E69" s="139"/>
      <c r="F69" s="139"/>
      <c r="G69" s="139"/>
      <c r="H69" s="139"/>
      <c r="I69" s="139"/>
      <c r="J69" s="139"/>
      <c r="K69" s="140"/>
      <c r="L69" s="12"/>
    </row>
    <row r="70" spans="1:13" ht="11.25" customHeight="1" thickBot="1" x14ac:dyDescent="0.25">
      <c r="A70" s="125"/>
      <c r="B70" s="126"/>
      <c r="C70" s="126"/>
      <c r="D70" s="127"/>
      <c r="E70" s="141"/>
      <c r="F70" s="142"/>
      <c r="G70" s="142"/>
      <c r="H70" s="142"/>
      <c r="I70" s="142"/>
      <c r="J70" s="142"/>
      <c r="K70" s="143"/>
      <c r="L70" s="12"/>
    </row>
    <row r="71" spans="1:13" ht="11.25" customHeight="1" thickBot="1" x14ac:dyDescent="0.25">
      <c r="A71" s="125"/>
      <c r="B71" s="126"/>
      <c r="C71" s="126"/>
      <c r="D71" s="126"/>
      <c r="E71" s="126"/>
      <c r="F71" s="126"/>
      <c r="G71" s="126"/>
      <c r="H71" s="126"/>
      <c r="I71" s="126"/>
      <c r="J71" s="126"/>
      <c r="K71" s="127"/>
      <c r="L71" s="12"/>
    </row>
    <row r="72" spans="1:13" ht="11.25" customHeight="1" thickBot="1" x14ac:dyDescent="0.25">
      <c r="A72" s="144" t="s">
        <v>4637</v>
      </c>
      <c r="B72" s="145"/>
      <c r="C72" s="145"/>
      <c r="D72" s="145"/>
      <c r="E72" s="145"/>
      <c r="F72" s="145"/>
      <c r="G72" s="145"/>
      <c r="H72" s="145"/>
      <c r="I72" s="145"/>
      <c r="J72" s="145"/>
      <c r="K72" s="146"/>
      <c r="L72" s="12"/>
    </row>
    <row r="73" spans="1:13" ht="11.25" customHeight="1" x14ac:dyDescent="0.2">
      <c r="A73" s="147" t="s">
        <v>4627</v>
      </c>
      <c r="B73" s="122" t="s">
        <v>4628</v>
      </c>
      <c r="C73" s="122" t="s">
        <v>4629</v>
      </c>
      <c r="D73" s="122" t="s">
        <v>4630</v>
      </c>
      <c r="E73" s="122" t="s">
        <v>5058</v>
      </c>
      <c r="F73" s="122" t="s">
        <v>4631</v>
      </c>
      <c r="G73" s="122" t="s">
        <v>4632</v>
      </c>
      <c r="H73" s="122" t="s">
        <v>4634</v>
      </c>
      <c r="I73" s="122"/>
      <c r="J73" s="122" t="s">
        <v>4635</v>
      </c>
      <c r="K73" s="129" t="s">
        <v>20</v>
      </c>
      <c r="L73" s="12"/>
    </row>
    <row r="74" spans="1:13" ht="11.25" customHeight="1" x14ac:dyDescent="0.2">
      <c r="A74" s="148"/>
      <c r="B74" s="128"/>
      <c r="C74" s="128"/>
      <c r="D74" s="128"/>
      <c r="E74" s="128"/>
      <c r="F74" s="123"/>
      <c r="G74" s="123"/>
      <c r="H74" s="123"/>
      <c r="I74" s="123"/>
      <c r="J74" s="128"/>
      <c r="K74" s="130"/>
      <c r="L74" s="12"/>
    </row>
    <row r="75" spans="1:13" ht="15" customHeight="1" thickBot="1" x14ac:dyDescent="0.25">
      <c r="A75" s="149"/>
      <c r="B75" s="124"/>
      <c r="C75" s="124"/>
      <c r="D75" s="124"/>
      <c r="E75" s="124"/>
      <c r="F75" s="124"/>
      <c r="G75" s="124"/>
      <c r="H75" s="124"/>
      <c r="I75" s="124"/>
      <c r="J75" s="124"/>
      <c r="K75" s="131"/>
      <c r="L75" s="10"/>
    </row>
    <row r="76" spans="1:13" ht="11.25" customHeight="1" thickBot="1" x14ac:dyDescent="0.25">
      <c r="A76" s="62">
        <f ca="1">_xlfn.LET(_xlpm.weekNum, WEEKNUM(AFS_Backlog_Date - 21),
IF(_xlpm.weekNum &gt; 52, 1, _xlpm.weekNum))</f>
        <v>47</v>
      </c>
      <c r="B76" s="20">
        <f ca="1">COUNTIF(AFS_Backlog_SIMs[Ops Week], A76)</f>
        <v>0</v>
      </c>
      <c r="C76" s="20">
        <f ca="1">SUMIF(AFS_Backlog_SIMs[[Ops Week]:[Ops Week]], $A76, AFS_Backlog_SIMs[Miss])</f>
        <v>0</v>
      </c>
      <c r="D76" s="20">
        <f ca="1">SUMIF(AFS_Backlog_SIMs[[Ops Week]:[Ops Week]], $A76, AFS_Backlog_SIMs[CI])</f>
        <v>0</v>
      </c>
      <c r="E76" s="20">
        <f ca="1">SUMIF(AFS_Backlog_SIMs[[Ops Week]:[Ops Week]], $A76, AFS_Backlog_SIMs[NCI])</f>
        <v>0</v>
      </c>
      <c r="F76" s="20">
        <f ca="1">SUMIF(AFS_Backlog_SIMs[[Ops Week]:[Ops Week]], $A76, AFS_Backlog_SIMs[Operator Follow-up])</f>
        <v>0</v>
      </c>
      <c r="G76" s="20">
        <f ca="1">SUMIF(AFS_Backlog_SIMs[[Ops Week]:[Ops Week]], $A76, AFS_Backlog_SIMs[False Resolution])</f>
        <v>0</v>
      </c>
      <c r="H76" s="120" t="str">
        <f ca="1">IFERROR(
 1000000*C76/$B76,
 "-"
)</f>
        <v>-</v>
      </c>
      <c r="I76" s="121"/>
      <c r="J76" s="20" t="str">
        <f t="shared" ref="J76:K79" ca="1" si="17">IFERROR(
 1000000*D76/$B76,
 "-"
)</f>
        <v>-</v>
      </c>
      <c r="K76" s="20" t="str">
        <f t="shared" ca="1" si="17"/>
        <v>-</v>
      </c>
    </row>
    <row r="77" spans="1:13" ht="11.25" customHeight="1" thickBot="1" x14ac:dyDescent="0.25">
      <c r="A77" s="62">
        <f ca="1">_xlfn.LET(_xlpm.weekNum, WEEKNUM(AFS_Backlog_Date - 14),
IF(_xlpm.weekNum &gt; 52, 1, _xlpm.weekNum))</f>
        <v>48</v>
      </c>
      <c r="B77" s="20">
        <f ca="1">COUNTIF(AFS_Backlog_SIMs[Ops Week], A77)</f>
        <v>0</v>
      </c>
      <c r="C77" s="20">
        <f ca="1">SUMIF(AFS_Backlog_SIMs[[Ops Week]:[Ops Week]], $A77, AFS_Backlog_SIMs[Miss])</f>
        <v>0</v>
      </c>
      <c r="D77" s="20">
        <f ca="1">SUMIF(AFS_Backlog_SIMs[[Ops Week]:[Ops Week]], $A77, AFS_Backlog_SIMs[CI])</f>
        <v>0</v>
      </c>
      <c r="E77" s="20">
        <f ca="1">SUMIF(AFS_Backlog_SIMs[[Ops Week]:[Ops Week]], $A77, AFS_Backlog_SIMs[NCI])</f>
        <v>0</v>
      </c>
      <c r="F77" s="20">
        <f ca="1">SUMIF(AFS_Backlog_SIMs[[Ops Week]:[Ops Week]], $A77, AFS_Backlog_SIMs[Operator Follow-up])</f>
        <v>0</v>
      </c>
      <c r="G77" s="20">
        <f ca="1">SUMIF(AFS_Backlog_SIMs[[Ops Week]:[Ops Week]], $A77, AFS_Backlog_SIMs[False Resolution])</f>
        <v>0</v>
      </c>
      <c r="H77" s="120" t="str">
        <f ca="1">IFERROR(
 1000000*C77/$B77,
 "-"
)</f>
        <v>-</v>
      </c>
      <c r="I77" s="121"/>
      <c r="J77" s="20" t="str">
        <f t="shared" ca="1" si="17"/>
        <v>-</v>
      </c>
      <c r="K77" s="20" t="str">
        <f t="shared" ca="1" si="17"/>
        <v>-</v>
      </c>
      <c r="L77" s="10"/>
    </row>
    <row r="78" spans="1:13" ht="11.25" customHeight="1" thickBot="1" x14ac:dyDescent="0.25">
      <c r="A78" s="62">
        <f ca="1">_xlfn.LET(_xlpm.weekNum, WEEKNUM(AFS_Backlog_Date - 7),
IF(_xlpm.weekNum &gt; 52, 1, _xlpm.weekNum))</f>
        <v>49</v>
      </c>
      <c r="B78" s="20">
        <f ca="1">COUNTIF(AFS_Backlog_SIMs[Ops Week], A78)</f>
        <v>0</v>
      </c>
      <c r="C78" s="20">
        <f ca="1">SUMIF(AFS_Backlog_SIMs[[Ops Week]:[Ops Week]], $A78, AFS_Backlog_SIMs[Miss])</f>
        <v>0</v>
      </c>
      <c r="D78" s="20">
        <f ca="1">SUMIF(AFS_Backlog_SIMs[[Ops Week]:[Ops Week]], $A78, AFS_Backlog_SIMs[CI])</f>
        <v>0</v>
      </c>
      <c r="E78" s="20">
        <f ca="1">SUMIF(AFS_Backlog_SIMs[[Ops Week]:[Ops Week]], $A78, AFS_Backlog_SIMs[NCI])</f>
        <v>0</v>
      </c>
      <c r="F78" s="20">
        <f ca="1">SUMIF(AFS_Backlog_SIMs[[Ops Week]:[Ops Week]], $A78, AFS_Backlog_SIMs[Operator Follow-up])</f>
        <v>0</v>
      </c>
      <c r="G78" s="20">
        <f ca="1">SUMIF(AFS_Backlog_SIMs[[Ops Week]:[Ops Week]], $A78, AFS_Backlog_SIMs[False Resolution])</f>
        <v>0</v>
      </c>
      <c r="H78" s="120" t="str">
        <f ca="1">IFERROR(
 1000000*C78/$B78,
 "-"
)</f>
        <v>-</v>
      </c>
      <c r="I78" s="121"/>
      <c r="J78" s="20" t="str">
        <f t="shared" ca="1" si="17"/>
        <v>-</v>
      </c>
      <c r="K78" s="20" t="str">
        <f t="shared" ca="1" si="17"/>
        <v>-</v>
      </c>
    </row>
    <row r="79" spans="1:13" ht="11.25" customHeight="1" thickBot="1" x14ac:dyDescent="0.25">
      <c r="A79" s="62">
        <f ca="1">_xlfn.LET(_xlpm.weekNum, WEEKNUM(AFS_Backlog_Date),
IF(_xlpm.weekNum &gt; 52, 1, _xlpm.weekNum))</f>
        <v>50</v>
      </c>
      <c r="B79" s="20">
        <f ca="1">COUNTIF(AFS_Backlog_SIMs[Ops Week], A79)</f>
        <v>0</v>
      </c>
      <c r="C79" s="20">
        <f ca="1">SUMIF(AFS_Backlog_SIMs[[Ops Week]:[Ops Week]], $A79, AFS_Backlog_SIMs[Miss])</f>
        <v>0</v>
      </c>
      <c r="D79" s="20">
        <f ca="1">SUMIF(AFS_Backlog_SIMs[[Ops Week]:[Ops Week]], $A79, AFS_Backlog_SIMs[CI])</f>
        <v>0</v>
      </c>
      <c r="E79" s="20">
        <f ca="1">SUMIF(AFS_Backlog_SIMs[[Ops Week]:[Ops Week]], $A79, AFS_Backlog_SIMs[NCI])</f>
        <v>0</v>
      </c>
      <c r="F79" s="20">
        <f ca="1">SUMIF(AFS_Backlog_SIMs[[Ops Week]:[Ops Week]], $A79, AFS_Backlog_SIMs[Operator Follow-up])</f>
        <v>0</v>
      </c>
      <c r="G79" s="20">
        <f ca="1">SUMIF(AFS_Backlog_SIMs[[Ops Week]:[Ops Week]], $A79, AFS_Backlog_SIMs[False Resolution])</f>
        <v>0</v>
      </c>
      <c r="H79" s="120" t="str">
        <f ca="1">IFERROR(
 1000000*C79/$B79,
 "-"
)</f>
        <v>-</v>
      </c>
      <c r="I79" s="121"/>
      <c r="J79" s="20" t="str">
        <f t="shared" ca="1" si="17"/>
        <v>-</v>
      </c>
      <c r="K79" s="20" t="str">
        <f t="shared" ca="1" si="17"/>
        <v>-</v>
      </c>
      <c r="L79" s="11"/>
    </row>
    <row r="80" spans="1:13" ht="11.25" customHeight="1" thickBot="1" x14ac:dyDescent="0.25">
      <c r="A80" s="150"/>
      <c r="B80" s="151"/>
      <c r="C80" s="151"/>
      <c r="D80" s="151"/>
      <c r="E80" s="151"/>
      <c r="F80" s="151"/>
      <c r="G80" s="151"/>
      <c r="H80" s="151"/>
      <c r="I80" s="151"/>
      <c r="J80" s="151"/>
      <c r="K80" s="152"/>
      <c r="L80" s="11"/>
      <c r="M80" s="91"/>
    </row>
    <row r="81" spans="1:12" ht="11.25" customHeight="1" thickBot="1" x14ac:dyDescent="0.25">
      <c r="A81" s="132" t="s">
        <v>4638</v>
      </c>
      <c r="B81" s="133"/>
      <c r="C81" s="133"/>
      <c r="D81" s="133"/>
      <c r="E81" s="133"/>
      <c r="F81" s="133"/>
      <c r="G81" s="133"/>
      <c r="H81" s="133"/>
      <c r="I81" s="133"/>
      <c r="J81" s="133"/>
      <c r="K81" s="134"/>
      <c r="L81" s="12"/>
    </row>
    <row r="82" spans="1:12" ht="11.25" customHeight="1" x14ac:dyDescent="0.2">
      <c r="A82" s="135" t="s">
        <v>5</v>
      </c>
      <c r="B82" s="122" t="s">
        <v>4628</v>
      </c>
      <c r="C82" s="122" t="s">
        <v>4629</v>
      </c>
      <c r="D82" s="122" t="s">
        <v>4630</v>
      </c>
      <c r="E82" s="122" t="s">
        <v>5058</v>
      </c>
      <c r="F82" s="122" t="s">
        <v>4631</v>
      </c>
      <c r="G82" s="122" t="s">
        <v>4632</v>
      </c>
      <c r="H82" s="122" t="s">
        <v>4634</v>
      </c>
      <c r="I82" s="122"/>
      <c r="J82" s="122" t="s">
        <v>4635</v>
      </c>
      <c r="K82" s="129" t="s">
        <v>20</v>
      </c>
      <c r="L82" s="12"/>
    </row>
    <row r="83" spans="1:12" ht="11.25" customHeight="1" x14ac:dyDescent="0.2">
      <c r="A83" s="136"/>
      <c r="B83" s="123"/>
      <c r="C83" s="123"/>
      <c r="D83" s="123"/>
      <c r="E83" s="123"/>
      <c r="F83" s="123"/>
      <c r="G83" s="123"/>
      <c r="H83" s="123"/>
      <c r="I83" s="123"/>
      <c r="J83" s="123"/>
      <c r="K83" s="130"/>
      <c r="L83" s="11"/>
    </row>
    <row r="84" spans="1:12" ht="11.25" customHeight="1" thickBot="1" x14ac:dyDescent="0.25">
      <c r="A84" s="137"/>
      <c r="B84" s="124"/>
      <c r="C84" s="124"/>
      <c r="D84" s="124"/>
      <c r="E84" s="124"/>
      <c r="F84" s="124"/>
      <c r="G84" s="124"/>
      <c r="H84" s="123"/>
      <c r="I84" s="123"/>
      <c r="J84" s="124"/>
      <c r="K84" s="131"/>
      <c r="L84" s="12"/>
    </row>
    <row r="85" spans="1:12" ht="11.25" customHeight="1" thickBot="1" x14ac:dyDescent="0.25">
      <c r="A85" s="63">
        <f ca="1">AFS_Backlog_Date - 6</f>
        <v>45630</v>
      </c>
      <c r="B85" s="20">
        <f ca="1">COUNTIF(AFS_Backlog_SIMs[Ops Date], $A85)</f>
        <v>0</v>
      </c>
      <c r="C85" s="20">
        <f ca="1">SUMIF(AFS_Backlog_SIMs[[Ops Date]:[Ops Date]], $A85, AFS_Backlog_SIMs[Miss])</f>
        <v>0</v>
      </c>
      <c r="D85" s="20">
        <f ca="1">SUMIF(AFS_Backlog_SIMs[[Ops Date]:[Ops Date]], $A85, AFS_Backlog_SIMs[CI])</f>
        <v>0</v>
      </c>
      <c r="E85" s="20">
        <f ca="1">SUMIF(AFS_Backlog_SIMs[[Ops Date]:[Ops Date]], $A85, AFS_Backlog_SIMs[NCI])</f>
        <v>0</v>
      </c>
      <c r="F85" s="20">
        <f ca="1">SUMIF(AFS_Backlog_SIMs[[Ops Date]:[Ops Date]], $A85, AFS_Backlog_SIMs[Operator Follow-up])</f>
        <v>0</v>
      </c>
      <c r="G85" s="20">
        <f ca="1">SUMIF(AFS_Backlog_SIMs[[Ops Date]:[Ops Date]], $A85, AFS_Backlog_SIMs[False Resolution])</f>
        <v>0</v>
      </c>
      <c r="H85" s="120" t="str">
        <f t="shared" ref="H85:H91" ca="1" si="18">IFERROR(
 1000000*C85/$B85,
 "-"
)</f>
        <v>-</v>
      </c>
      <c r="I85" s="121"/>
      <c r="J85" s="20" t="str">
        <f t="shared" ref="J85:K91" ca="1" si="19">IFERROR(
 1000000*D85/$B85,
 "-"
)</f>
        <v>-</v>
      </c>
      <c r="K85" s="20" t="str">
        <f t="shared" ca="1" si="19"/>
        <v>-</v>
      </c>
      <c r="L85" s="12"/>
    </row>
    <row r="86" spans="1:12" ht="11.25" customHeight="1" thickBot="1" x14ac:dyDescent="0.25">
      <c r="A86" s="63">
        <f ca="1">AFS_Backlog_Date - 5</f>
        <v>45631</v>
      </c>
      <c r="B86" s="20">
        <f ca="1">COUNTIF(AFS_Backlog_SIMs[Ops Date], $A86)</f>
        <v>0</v>
      </c>
      <c r="C86" s="20">
        <f ca="1">SUMIF(AFS_Backlog_SIMs[[Ops Date]:[Ops Date]], $A86, AFS_Backlog_SIMs[Miss])</f>
        <v>0</v>
      </c>
      <c r="D86" s="20">
        <f ca="1">SUMIF(AFS_Backlog_SIMs[[Ops Date]:[Ops Date]], $A86, AFS_Backlog_SIMs[CI])</f>
        <v>0</v>
      </c>
      <c r="E86" s="20">
        <f ca="1">SUMIF(AFS_Backlog_SIMs[[Ops Date]:[Ops Date]], $A86, AFS_Backlog_SIMs[NCI])</f>
        <v>0</v>
      </c>
      <c r="F86" s="20">
        <f ca="1">SUMIF(AFS_Backlog_SIMs[[Ops Date]:[Ops Date]], $A86, AFS_Backlog_SIMs[Operator Follow-up])</f>
        <v>0</v>
      </c>
      <c r="G86" s="20">
        <f ca="1">SUMIF(AFS_Backlog_SIMs[[Ops Date]:[Ops Date]], $A86, AFS_Backlog_SIMs[False Resolution])</f>
        <v>0</v>
      </c>
      <c r="H86" s="120" t="str">
        <f t="shared" ca="1" si="18"/>
        <v>-</v>
      </c>
      <c r="I86" s="121"/>
      <c r="J86" s="20" t="str">
        <f t="shared" ca="1" si="19"/>
        <v>-</v>
      </c>
      <c r="K86" s="20" t="str">
        <f t="shared" ca="1" si="19"/>
        <v>-</v>
      </c>
      <c r="L86" s="12"/>
    </row>
    <row r="87" spans="1:12" ht="11.25" customHeight="1" thickBot="1" x14ac:dyDescent="0.25">
      <c r="A87" s="63">
        <f ca="1">AFS_Backlog_Date - 4</f>
        <v>45632</v>
      </c>
      <c r="B87" s="20">
        <f ca="1">COUNTIF(AFS_Backlog_SIMs[Ops Date], $A87)</f>
        <v>0</v>
      </c>
      <c r="C87" s="20">
        <f ca="1">SUMIF(AFS_Backlog_SIMs[[Ops Date]:[Ops Date]], $A87, AFS_Backlog_SIMs[Miss])</f>
        <v>0</v>
      </c>
      <c r="D87" s="20">
        <f ca="1">SUMIF(AFS_Backlog_SIMs[[Ops Date]:[Ops Date]], $A87, AFS_Backlog_SIMs[CI])</f>
        <v>0</v>
      </c>
      <c r="E87" s="20">
        <f ca="1">SUMIF(AFS_Backlog_SIMs[[Ops Date]:[Ops Date]], $A87, AFS_Backlog_SIMs[NCI])</f>
        <v>0</v>
      </c>
      <c r="F87" s="20">
        <f ca="1">SUMIF(AFS_Backlog_SIMs[[Ops Date]:[Ops Date]], $A87, AFS_Backlog_SIMs[Operator Follow-up])</f>
        <v>0</v>
      </c>
      <c r="G87" s="20">
        <f ca="1">SUMIF(AFS_Backlog_SIMs[[Ops Date]:[Ops Date]], $A87, AFS_Backlog_SIMs[False Resolution])</f>
        <v>0</v>
      </c>
      <c r="H87" s="120" t="str">
        <f t="shared" ca="1" si="18"/>
        <v>-</v>
      </c>
      <c r="I87" s="121"/>
      <c r="J87" s="20" t="str">
        <f t="shared" ca="1" si="19"/>
        <v>-</v>
      </c>
      <c r="K87" s="20" t="str">
        <f t="shared" ca="1" si="19"/>
        <v>-</v>
      </c>
      <c r="L87" s="12"/>
    </row>
    <row r="88" spans="1:12" ht="11.25" customHeight="1" thickBot="1" x14ac:dyDescent="0.25">
      <c r="A88" s="63">
        <f ca="1">AFS_Backlog_Date - 3</f>
        <v>45633</v>
      </c>
      <c r="B88" s="20">
        <f ca="1">COUNTIF(AFS_Backlog_SIMs[Ops Date], $A88)</f>
        <v>0</v>
      </c>
      <c r="C88" s="20">
        <f ca="1">SUMIF(AFS_Backlog_SIMs[[Ops Date]:[Ops Date]], $A88, AFS_Backlog_SIMs[Miss])</f>
        <v>0</v>
      </c>
      <c r="D88" s="20">
        <f ca="1">SUMIF(AFS_Backlog_SIMs[[Ops Date]:[Ops Date]], $A88, AFS_Backlog_SIMs[CI])</f>
        <v>0</v>
      </c>
      <c r="E88" s="20">
        <f ca="1">SUMIF(AFS_Backlog_SIMs[[Ops Date]:[Ops Date]], $A88, AFS_Backlog_SIMs[NCI])</f>
        <v>0</v>
      </c>
      <c r="F88" s="20">
        <f ca="1">SUMIF(AFS_Backlog_SIMs[[Ops Date]:[Ops Date]], $A88, AFS_Backlog_SIMs[Operator Follow-up])</f>
        <v>0</v>
      </c>
      <c r="G88" s="20">
        <f ca="1">SUMIF(AFS_Backlog_SIMs[[Ops Date]:[Ops Date]], $A88, AFS_Backlog_SIMs[False Resolution])</f>
        <v>0</v>
      </c>
      <c r="H88" s="120" t="str">
        <f t="shared" ca="1" si="18"/>
        <v>-</v>
      </c>
      <c r="I88" s="121"/>
      <c r="J88" s="20" t="str">
        <f t="shared" ca="1" si="19"/>
        <v>-</v>
      </c>
      <c r="K88" s="20" t="str">
        <f t="shared" ca="1" si="19"/>
        <v>-</v>
      </c>
      <c r="L88" s="10"/>
    </row>
    <row r="89" spans="1:12" ht="11.25" customHeight="1" thickBot="1" x14ac:dyDescent="0.25">
      <c r="A89" s="63">
        <f ca="1">AFS_Backlog_Date - 2</f>
        <v>45634</v>
      </c>
      <c r="B89" s="20">
        <f ca="1">COUNTIF(AFS_Backlog_SIMs[Ops Date], $A89)</f>
        <v>0</v>
      </c>
      <c r="C89" s="20">
        <f ca="1">SUMIF(AFS_Backlog_SIMs[[Ops Date]:[Ops Date]], $A89, AFS_Backlog_SIMs[Miss])</f>
        <v>0</v>
      </c>
      <c r="D89" s="20">
        <f ca="1">SUMIF(AFS_Backlog_SIMs[[Ops Date]:[Ops Date]], $A89, AFS_Backlog_SIMs[CI])</f>
        <v>0</v>
      </c>
      <c r="E89" s="20">
        <f ca="1">SUMIF(AFS_Backlog_SIMs[[Ops Date]:[Ops Date]], $A89, AFS_Backlog_SIMs[NCI])</f>
        <v>0</v>
      </c>
      <c r="F89" s="20">
        <f ca="1">SUMIF(AFS_Backlog_SIMs[[Ops Date]:[Ops Date]], $A89, AFS_Backlog_SIMs[Operator Follow-up])</f>
        <v>0</v>
      </c>
      <c r="G89" s="20">
        <f ca="1">SUMIF(AFS_Backlog_SIMs[[Ops Date]:[Ops Date]], $A89, AFS_Backlog_SIMs[False Resolution])</f>
        <v>0</v>
      </c>
      <c r="H89" s="120" t="str">
        <f t="shared" ca="1" si="18"/>
        <v>-</v>
      </c>
      <c r="I89" s="121"/>
      <c r="J89" s="20" t="str">
        <f t="shared" ca="1" si="19"/>
        <v>-</v>
      </c>
      <c r="K89" s="20" t="str">
        <f t="shared" ca="1" si="19"/>
        <v>-</v>
      </c>
      <c r="L89" s="11"/>
    </row>
    <row r="90" spans="1:12" ht="15.75" customHeight="1" thickBot="1" x14ac:dyDescent="0.25">
      <c r="A90" s="63">
        <f ca="1">AFS_Backlog_Date - 1</f>
        <v>45635</v>
      </c>
      <c r="B90" s="20">
        <f ca="1">COUNTIF(AFS_Backlog_SIMs[Ops Date], $A90)</f>
        <v>0</v>
      </c>
      <c r="C90" s="20">
        <f ca="1">SUMIF(AFS_Backlog_SIMs[[Ops Date]:[Ops Date]], $A90, AFS_Backlog_SIMs[Miss])</f>
        <v>0</v>
      </c>
      <c r="D90" s="20">
        <f ca="1">SUMIF(AFS_Backlog_SIMs[[Ops Date]:[Ops Date]], $A90, AFS_Backlog_SIMs[CI])</f>
        <v>0</v>
      </c>
      <c r="E90" s="20">
        <f ca="1">SUMIF(AFS_Backlog_SIMs[[Ops Date]:[Ops Date]], $A90, AFS_Backlog_SIMs[NCI])</f>
        <v>0</v>
      </c>
      <c r="F90" s="20">
        <f ca="1">SUMIF(AFS_Backlog_SIMs[[Ops Date]:[Ops Date]], $A90, AFS_Backlog_SIMs[Operator Follow-up])</f>
        <v>0</v>
      </c>
      <c r="G90" s="20">
        <f ca="1">SUMIF(AFS_Backlog_SIMs[[Ops Date]:[Ops Date]], $A90, AFS_Backlog_SIMs[False Resolution])</f>
        <v>0</v>
      </c>
      <c r="H90" s="120" t="str">
        <f t="shared" ca="1" si="18"/>
        <v>-</v>
      </c>
      <c r="I90" s="121"/>
      <c r="J90" s="20" t="str">
        <f t="shared" ca="1" si="19"/>
        <v>-</v>
      </c>
      <c r="K90" s="20" t="str">
        <f t="shared" ca="1" si="19"/>
        <v>-</v>
      </c>
      <c r="L90" s="11"/>
    </row>
    <row r="91" spans="1:12" ht="11.25" customHeight="1" thickBot="1" x14ac:dyDescent="0.25">
      <c r="A91" s="63">
        <f ca="1">AFS_Backlog_Date</f>
        <v>45636</v>
      </c>
      <c r="B91" s="20">
        <f ca="1">COUNTIF(AFS_Backlog_SIMs[Ops Date], $A91)</f>
        <v>0</v>
      </c>
      <c r="C91" s="20">
        <f ca="1">SUMIF(AFS_Backlog_SIMs[[Ops Date]:[Ops Date]], $A91, AFS_Backlog_SIMs[Miss])</f>
        <v>0</v>
      </c>
      <c r="D91" s="20">
        <f ca="1">SUMIF(AFS_Backlog_SIMs[[Ops Date]:[Ops Date]], $A91, AFS_Backlog_SIMs[CI])</f>
        <v>0</v>
      </c>
      <c r="E91" s="20">
        <f ca="1">SUMIF(AFS_Backlog_SIMs[[Ops Date]:[Ops Date]], $A91, AFS_Backlog_SIMs[NCI])</f>
        <v>0</v>
      </c>
      <c r="F91" s="20">
        <f ca="1">SUMIF(AFS_Backlog_SIMs[[Ops Date]:[Ops Date]], $A91, AFS_Backlog_SIMs[Operator Follow-up])</f>
        <v>0</v>
      </c>
      <c r="G91" s="20">
        <f ca="1">SUMIF(AFS_Backlog_SIMs[[Ops Date]:[Ops Date]], $A91, AFS_Backlog_SIMs[False Resolution])</f>
        <v>0</v>
      </c>
      <c r="H91" s="120" t="str">
        <f t="shared" ca="1" si="18"/>
        <v>-</v>
      </c>
      <c r="I91" s="121"/>
      <c r="J91" s="20" t="str">
        <f t="shared" ca="1" si="19"/>
        <v>-</v>
      </c>
      <c r="K91" s="20" t="str">
        <f t="shared" ca="1" si="19"/>
        <v>-</v>
      </c>
      <c r="L91" s="11"/>
    </row>
    <row r="92" spans="1:12" ht="11.25" customHeight="1" thickBot="1" x14ac:dyDescent="0.25">
      <c r="A92" s="153"/>
      <c r="B92" s="154"/>
      <c r="C92" s="154"/>
      <c r="D92" s="154"/>
      <c r="E92" s="154"/>
      <c r="F92" s="154"/>
      <c r="G92" s="154"/>
      <c r="H92" s="154"/>
      <c r="I92" s="154"/>
      <c r="J92" s="154"/>
      <c r="K92" s="155"/>
      <c r="L92" s="12"/>
    </row>
    <row r="93" spans="1:12" ht="11.25" customHeight="1" thickBot="1" x14ac:dyDescent="0.25">
      <c r="A93" s="138" t="s">
        <v>18</v>
      </c>
      <c r="B93" s="139"/>
      <c r="C93" s="139"/>
      <c r="D93" s="139"/>
      <c r="E93" s="139"/>
      <c r="F93" s="139"/>
      <c r="G93" s="139"/>
      <c r="H93" s="139"/>
      <c r="I93" s="139"/>
      <c r="J93" s="139"/>
      <c r="K93" s="140"/>
      <c r="L93" s="12"/>
    </row>
    <row r="94" spans="1:12" ht="11.25" customHeight="1" thickBot="1" x14ac:dyDescent="0.25">
      <c r="A94" s="125"/>
      <c r="B94" s="126"/>
      <c r="C94" s="126"/>
      <c r="D94" s="127"/>
      <c r="E94" s="141"/>
      <c r="F94" s="142"/>
      <c r="G94" s="142"/>
      <c r="H94" s="142"/>
      <c r="I94" s="142"/>
      <c r="J94" s="142"/>
      <c r="K94" s="143"/>
      <c r="L94" s="12"/>
    </row>
    <row r="95" spans="1:12" ht="11.25" customHeight="1" thickBot="1" x14ac:dyDescent="0.25">
      <c r="A95" s="125"/>
      <c r="B95" s="126"/>
      <c r="C95" s="126"/>
      <c r="D95" s="126"/>
      <c r="E95" s="126"/>
      <c r="F95" s="126"/>
      <c r="G95" s="126"/>
      <c r="H95" s="126"/>
      <c r="I95" s="126"/>
      <c r="J95" s="126"/>
      <c r="K95" s="127"/>
      <c r="L95" s="12"/>
    </row>
    <row r="96" spans="1:12" ht="11.25" customHeight="1" thickBot="1" x14ac:dyDescent="0.25">
      <c r="A96" s="144" t="s">
        <v>22</v>
      </c>
      <c r="B96" s="145"/>
      <c r="C96" s="145"/>
      <c r="D96" s="145"/>
      <c r="E96" s="145"/>
      <c r="F96" s="145"/>
      <c r="G96" s="145"/>
      <c r="H96" s="145"/>
      <c r="I96" s="145"/>
      <c r="J96" s="145"/>
      <c r="K96" s="146"/>
      <c r="L96" s="12"/>
    </row>
    <row r="97" spans="1:12" ht="11.25" customHeight="1" x14ac:dyDescent="0.2">
      <c r="A97" s="147" t="s">
        <v>4627</v>
      </c>
      <c r="B97" s="122" t="s">
        <v>4628</v>
      </c>
      <c r="C97" s="122" t="s">
        <v>4629</v>
      </c>
      <c r="D97" s="122" t="s">
        <v>4630</v>
      </c>
      <c r="E97" s="122" t="s">
        <v>5058</v>
      </c>
      <c r="F97" s="122" t="s">
        <v>4632</v>
      </c>
      <c r="G97" s="122"/>
      <c r="H97" s="122" t="s">
        <v>4634</v>
      </c>
      <c r="I97" s="122"/>
      <c r="J97" s="122" t="s">
        <v>4635</v>
      </c>
      <c r="K97" s="129" t="s">
        <v>20</v>
      </c>
      <c r="L97" s="12"/>
    </row>
    <row r="98" spans="1:12" ht="11.25" customHeight="1" x14ac:dyDescent="0.2">
      <c r="A98" s="148"/>
      <c r="B98" s="128"/>
      <c r="C98" s="128"/>
      <c r="D98" s="128"/>
      <c r="E98" s="128"/>
      <c r="F98" s="123"/>
      <c r="G98" s="123"/>
      <c r="H98" s="123"/>
      <c r="I98" s="123"/>
      <c r="J98" s="128"/>
      <c r="K98" s="130"/>
      <c r="L98" s="12"/>
    </row>
    <row r="99" spans="1:12" ht="15.75" customHeight="1" thickBot="1" x14ac:dyDescent="0.25">
      <c r="A99" s="149"/>
      <c r="B99" s="124"/>
      <c r="C99" s="124"/>
      <c r="D99" s="124"/>
      <c r="E99" s="124"/>
      <c r="F99" s="124"/>
      <c r="G99" s="124"/>
      <c r="H99" s="124"/>
      <c r="I99" s="124"/>
      <c r="J99" s="124"/>
      <c r="K99" s="131"/>
      <c r="L99" s="10"/>
    </row>
    <row r="100" spans="1:12" ht="11.25" customHeight="1" thickBot="1" x14ac:dyDescent="0.25">
      <c r="A100" s="62">
        <f ca="1">_xlfn.LET(_xlpm.weekNum, WEEKNUM(Ungrounding_Date - 21),
IF(_xlpm.weekNum &gt; 52, 1, _xlpm.weekNum))</f>
        <v>47</v>
      </c>
      <c r="B100" s="20">
        <f ca="1">COUNTIF(Ungrounding_SIMs[Ops Week], A100)</f>
        <v>0</v>
      </c>
      <c r="C100" s="20">
        <f ca="1">SUMIF(Ungrounding_SIMs[[Ops Week]:[Ops Week]], $A100, Ungrounding_SIMs[Miss])</f>
        <v>0</v>
      </c>
      <c r="D100" s="20">
        <f ca="1">SUMIF(Ungrounding_SIMs[[Ops Week]:[Ops Week]], $A100, Ungrounding_SIMs[CI])</f>
        <v>0</v>
      </c>
      <c r="E100" s="20">
        <f ca="1">SUMIF(Ungrounding_SIMs[[Ops Week]:[Ops Week]], $A100, Ungrounding_SIMs[NCI])</f>
        <v>0</v>
      </c>
      <c r="F100" s="120">
        <f ca="1">SUMIF(Ungrounding_SIMs[[Ops Week]:[Ops Week]], $A100, Ungrounding_SIMs[False Resolution])</f>
        <v>0</v>
      </c>
      <c r="G100" s="121"/>
      <c r="H100" s="120" t="str">
        <f ca="1">IFERROR(
 1000000*C100/$B100,
 "-"
)</f>
        <v>-</v>
      </c>
      <c r="I100" s="121"/>
      <c r="J100" s="20" t="str">
        <f t="shared" ref="J100:K103" ca="1" si="20">IFERROR(
 1000000*D100/$B100,
 "-"
)</f>
        <v>-</v>
      </c>
      <c r="K100" s="20" t="str">
        <f t="shared" ca="1" si="20"/>
        <v>-</v>
      </c>
    </row>
    <row r="101" spans="1:12" ht="11.25" customHeight="1" thickBot="1" x14ac:dyDescent="0.25">
      <c r="A101" s="62">
        <f ca="1">_xlfn.LET(_xlpm.weekNum, WEEKNUM(Ungrounding_Date - 14),
IF(_xlpm.weekNum &gt; 52, 1, _xlpm.weekNum))</f>
        <v>48</v>
      </c>
      <c r="B101" s="20">
        <f ca="1">COUNTIF(Ungrounding_SIMs[Ops Week], A101)</f>
        <v>0</v>
      </c>
      <c r="C101" s="20">
        <f ca="1">SUMIF(Ungrounding_SIMs[[Ops Week]:[Ops Week]], $A101, Ungrounding_SIMs[Miss])</f>
        <v>0</v>
      </c>
      <c r="D101" s="20">
        <f ca="1">SUMIF(Ungrounding_SIMs[[Ops Week]:[Ops Week]], $A101, Ungrounding_SIMs[CI])</f>
        <v>0</v>
      </c>
      <c r="E101" s="20">
        <f ca="1">SUMIF(Ungrounding_SIMs[[Ops Week]:[Ops Week]], $A101, Ungrounding_SIMs[NCI])</f>
        <v>0</v>
      </c>
      <c r="F101" s="120">
        <f ca="1">SUMIF(Ungrounding_SIMs[[Ops Week]:[Ops Week]], $A101, Ungrounding_SIMs[False Resolution])</f>
        <v>0</v>
      </c>
      <c r="G101" s="121"/>
      <c r="H101" s="120" t="str">
        <f ca="1">IFERROR(
 1000000*C101/$B101,
 "-"
)</f>
        <v>-</v>
      </c>
      <c r="I101" s="121"/>
      <c r="J101" s="20" t="str">
        <f t="shared" ca="1" si="20"/>
        <v>-</v>
      </c>
      <c r="K101" s="20" t="str">
        <f t="shared" ca="1" si="20"/>
        <v>-</v>
      </c>
      <c r="L101" s="94"/>
    </row>
    <row r="102" spans="1:12" ht="11.25" customHeight="1" thickBot="1" x14ac:dyDescent="0.25">
      <c r="A102" s="62">
        <f ca="1">_xlfn.LET(_xlpm.weekNum, WEEKNUM(Ungrounding_Date - 7),
IF(_xlpm.weekNum &gt; 52, 1, _xlpm.weekNum))</f>
        <v>49</v>
      </c>
      <c r="B102" s="20">
        <f ca="1">COUNTIF(Ungrounding_SIMs[Ops Week], A102)</f>
        <v>0</v>
      </c>
      <c r="C102" s="20">
        <f ca="1">SUMIF(Ungrounding_SIMs[[Ops Week]:[Ops Week]], $A102, Ungrounding_SIMs[Miss])</f>
        <v>0</v>
      </c>
      <c r="D102" s="20">
        <f ca="1">SUMIF(Ungrounding_SIMs[[Ops Week]:[Ops Week]], $A102, Ungrounding_SIMs[CI])</f>
        <v>0</v>
      </c>
      <c r="E102" s="20">
        <f ca="1">SUMIF(Ungrounding_SIMs[[Ops Week]:[Ops Week]], $A102, Ungrounding_SIMs[NCI])</f>
        <v>0</v>
      </c>
      <c r="F102" s="120">
        <f ca="1">SUMIF(Ungrounding_SIMs[[Ops Week]:[Ops Week]], $A102, Ungrounding_SIMs[False Resolution])</f>
        <v>0</v>
      </c>
      <c r="G102" s="121"/>
      <c r="H102" s="120" t="str">
        <f ca="1">IFERROR(
 1000000*C102/$B102,
 "-"
)</f>
        <v>-</v>
      </c>
      <c r="I102" s="121"/>
      <c r="J102" s="20" t="str">
        <f t="shared" ca="1" si="20"/>
        <v>-</v>
      </c>
      <c r="K102" s="20" t="str">
        <f t="shared" ca="1" si="20"/>
        <v>-</v>
      </c>
    </row>
    <row r="103" spans="1:12" ht="11.25" customHeight="1" thickBot="1" x14ac:dyDescent="0.25">
      <c r="A103" s="62">
        <f ca="1">_xlfn.LET(_xlpm.weekNum, WEEKNUM(Ungrounding_Date),
IF(_xlpm.weekNum &gt; 52, 1, _xlpm.weekNum))</f>
        <v>50</v>
      </c>
      <c r="B103" s="20">
        <f ca="1">COUNTIF(Ungrounding_SIMs[Ops Week], A103)</f>
        <v>0</v>
      </c>
      <c r="C103" s="20">
        <f ca="1">SUMIF(Ungrounding_SIMs[[Ops Week]:[Ops Week]], $A103, Ungrounding_SIMs[Miss])</f>
        <v>0</v>
      </c>
      <c r="D103" s="20">
        <f ca="1">SUMIF(Ungrounding_SIMs[[Ops Week]:[Ops Week]], $A103, Ungrounding_SIMs[CI])</f>
        <v>0</v>
      </c>
      <c r="E103" s="20">
        <f ca="1">SUMIF(Ungrounding_SIMs[[Ops Week]:[Ops Week]], $A103, Ungrounding_SIMs[NCI])</f>
        <v>0</v>
      </c>
      <c r="F103" s="120">
        <f ca="1">SUMIF(Ungrounding_SIMs[[Ops Week]:[Ops Week]], $A103, Ungrounding_SIMs[False Resolution])</f>
        <v>0</v>
      </c>
      <c r="G103" s="121"/>
      <c r="H103" s="120" t="str">
        <f ca="1">IFERROR(
 1000000*C103/$B103,
 "-"
)</f>
        <v>-</v>
      </c>
      <c r="I103" s="121"/>
      <c r="J103" s="20" t="str">
        <f t="shared" ca="1" si="20"/>
        <v>-</v>
      </c>
      <c r="K103" s="20" t="str">
        <f t="shared" ca="1" si="20"/>
        <v>-</v>
      </c>
      <c r="L103" s="11"/>
    </row>
    <row r="104" spans="1:12" ht="11.25" customHeight="1" thickBot="1" x14ac:dyDescent="0.25">
      <c r="A104" s="150"/>
      <c r="B104" s="151"/>
      <c r="C104" s="151"/>
      <c r="D104" s="151"/>
      <c r="E104" s="151"/>
      <c r="F104" s="151"/>
      <c r="G104" s="151"/>
      <c r="H104" s="151"/>
      <c r="I104" s="151"/>
      <c r="J104" s="151"/>
      <c r="K104" s="152"/>
      <c r="L104" s="11"/>
    </row>
    <row r="105" spans="1:12" ht="11.25" customHeight="1" thickBot="1" x14ac:dyDescent="0.25">
      <c r="A105" s="132" t="s">
        <v>23</v>
      </c>
      <c r="B105" s="133"/>
      <c r="C105" s="133"/>
      <c r="D105" s="133"/>
      <c r="E105" s="133"/>
      <c r="F105" s="133"/>
      <c r="G105" s="133"/>
      <c r="H105" s="133"/>
      <c r="I105" s="133"/>
      <c r="J105" s="133"/>
      <c r="K105" s="134"/>
      <c r="L105" s="12"/>
    </row>
    <row r="106" spans="1:12" ht="11.25" customHeight="1" x14ac:dyDescent="0.2">
      <c r="A106" s="135" t="s">
        <v>5</v>
      </c>
      <c r="B106" s="122" t="s">
        <v>4628</v>
      </c>
      <c r="C106" s="122" t="s">
        <v>4629</v>
      </c>
      <c r="D106" s="122" t="s">
        <v>4630</v>
      </c>
      <c r="E106" s="122" t="s">
        <v>5058</v>
      </c>
      <c r="F106" s="122" t="s">
        <v>4632</v>
      </c>
      <c r="G106" s="122"/>
      <c r="H106" s="122" t="s">
        <v>4634</v>
      </c>
      <c r="I106" s="122"/>
      <c r="J106" s="122" t="s">
        <v>4635</v>
      </c>
      <c r="K106" s="129" t="s">
        <v>20</v>
      </c>
      <c r="L106" s="12"/>
    </row>
    <row r="107" spans="1:12" ht="11.25" customHeight="1" x14ac:dyDescent="0.2">
      <c r="A107" s="136"/>
      <c r="B107" s="123"/>
      <c r="C107" s="123"/>
      <c r="D107" s="123"/>
      <c r="E107" s="123"/>
      <c r="F107" s="123"/>
      <c r="G107" s="123"/>
      <c r="H107" s="123"/>
      <c r="I107" s="123"/>
      <c r="J107" s="123"/>
      <c r="K107" s="130"/>
      <c r="L107" s="12"/>
    </row>
    <row r="108" spans="1:12" ht="11.25" customHeight="1" thickBot="1" x14ac:dyDescent="0.25">
      <c r="A108" s="137"/>
      <c r="B108" s="124"/>
      <c r="C108" s="124"/>
      <c r="D108" s="124"/>
      <c r="E108" s="124"/>
      <c r="F108" s="124"/>
      <c r="G108" s="124"/>
      <c r="H108" s="124"/>
      <c r="I108" s="124"/>
      <c r="J108" s="124"/>
      <c r="K108" s="131"/>
      <c r="L108" s="12"/>
    </row>
    <row r="109" spans="1:12" ht="11.25" customHeight="1" thickBot="1" x14ac:dyDescent="0.25">
      <c r="A109" s="63">
        <f ca="1">Ungrounding_Date - 6</f>
        <v>45630</v>
      </c>
      <c r="B109" s="20">
        <f ca="1">COUNTIF(Ungrounding_SIMs[Ops Date], $A109)</f>
        <v>0</v>
      </c>
      <c r="C109" s="20">
        <f ca="1">SUMIF(Ungrounding_SIMs[[Ops Date]:[Ops Date]], $A109, Ungrounding_SIMs[Miss])</f>
        <v>0</v>
      </c>
      <c r="D109" s="20">
        <f ca="1">SUMIF(Ungrounding_SIMs[[Ops Date]:[Ops Date]], $A109, Ungrounding_SIMs[CI])</f>
        <v>0</v>
      </c>
      <c r="E109" s="20">
        <f ca="1">SUMIF(Ungrounding_SIMs[[Ops Date]:[Ops Date]], $A110, Ungrounding_SIMs[NCI])</f>
        <v>0</v>
      </c>
      <c r="F109" s="120">
        <f ca="1">SUMIF(Ungrounding_SIMs[[Ops Date]:[Ops Date]], $A109, Ungrounding_SIMs[False Resolution])</f>
        <v>0</v>
      </c>
      <c r="G109" s="121"/>
      <c r="H109" s="120" t="str">
        <f t="shared" ref="H109:H115" ca="1" si="21">IFERROR(
 1000000*C109/$B109,
 "-"
)</f>
        <v>-</v>
      </c>
      <c r="I109" s="121"/>
      <c r="J109" s="20" t="str">
        <f t="shared" ref="J109:K115" ca="1" si="22">IFERROR(
 1000000*D109/$B109,
 "-"
)</f>
        <v>-</v>
      </c>
      <c r="K109" s="20" t="str">
        <f t="shared" ca="1" si="22"/>
        <v>-</v>
      </c>
      <c r="L109" s="10"/>
    </row>
    <row r="110" spans="1:12" ht="11.25" customHeight="1" thickBot="1" x14ac:dyDescent="0.25">
      <c r="A110" s="63">
        <f ca="1">Ungrounding_Date - 5</f>
        <v>45631</v>
      </c>
      <c r="B110" s="20">
        <f ca="1">COUNTIF(Ungrounding_SIMs[Ops Date], $A110)</f>
        <v>0</v>
      </c>
      <c r="C110" s="20">
        <f ca="1">SUMIF(Ungrounding_SIMs[[Ops Date]:[Ops Date]], $A110, Ungrounding_SIMs[Miss])</f>
        <v>0</v>
      </c>
      <c r="D110" s="20">
        <f ca="1">SUMIF(Ungrounding_SIMs[[Ops Date]:[Ops Date]], $A110, Ungrounding_SIMs[CI])</f>
        <v>0</v>
      </c>
      <c r="E110" s="20">
        <f ca="1">SUMIF(Ungrounding_SIMs[[Ops Date]:[Ops Date]], $A110, Ungrounding_SIMs[NCI])</f>
        <v>0</v>
      </c>
      <c r="F110" s="120">
        <f ca="1">SUMIF(Ungrounding_SIMs[[Ops Date]:[Ops Date]], $A110, Ungrounding_SIMs[False Resolution])</f>
        <v>0</v>
      </c>
      <c r="G110" s="121"/>
      <c r="H110" s="120" t="str">
        <f t="shared" ca="1" si="21"/>
        <v>-</v>
      </c>
      <c r="I110" s="121"/>
      <c r="J110" s="20" t="str">
        <f t="shared" ca="1" si="22"/>
        <v>-</v>
      </c>
      <c r="K110" s="20" t="str">
        <f t="shared" ca="1" si="22"/>
        <v>-</v>
      </c>
      <c r="L110" s="11"/>
    </row>
    <row r="111" spans="1:12" ht="11.25" customHeight="1" thickBot="1" x14ac:dyDescent="0.25">
      <c r="A111" s="63">
        <f ca="1">Ungrounding_Date - 4</f>
        <v>45632</v>
      </c>
      <c r="B111" s="20">
        <f ca="1">COUNTIF(Ungrounding_SIMs[Ops Date], $A111)</f>
        <v>0</v>
      </c>
      <c r="C111" s="20">
        <f ca="1">SUMIF(Ungrounding_SIMs[[Ops Date]:[Ops Date]], $A111, Ungrounding_SIMs[Miss])</f>
        <v>0</v>
      </c>
      <c r="D111" s="20">
        <f ca="1">SUMIF(Ungrounding_SIMs[[Ops Date]:[Ops Date]], $A111, Ungrounding_SIMs[CI])</f>
        <v>0</v>
      </c>
      <c r="E111" s="20">
        <f ca="1">SUMIF(Ungrounding_SIMs[[Ops Date]:[Ops Date]], $A111, Ungrounding_SIMs[NCI])</f>
        <v>0</v>
      </c>
      <c r="F111" s="120">
        <f ca="1">SUMIF(Ungrounding_SIMs[[Ops Date]:[Ops Date]], $A111, Ungrounding_SIMs[False Resolution])</f>
        <v>0</v>
      </c>
      <c r="G111" s="121"/>
      <c r="H111" s="120" t="str">
        <f t="shared" ca="1" si="21"/>
        <v>-</v>
      </c>
      <c r="I111" s="121"/>
      <c r="J111" s="20" t="str">
        <f t="shared" ca="1" si="22"/>
        <v>-</v>
      </c>
      <c r="K111" s="20" t="str">
        <f t="shared" ca="1" si="22"/>
        <v>-</v>
      </c>
      <c r="L111" s="11"/>
    </row>
    <row r="112" spans="1:12" ht="13.5" thickBot="1" x14ac:dyDescent="0.25">
      <c r="A112" s="63">
        <f ca="1">Ungrounding_Date - 3</f>
        <v>45633</v>
      </c>
      <c r="B112" s="20">
        <f ca="1">COUNTIF(Ungrounding_SIMs[Ops Date], $A112)</f>
        <v>0</v>
      </c>
      <c r="C112" s="20">
        <f ca="1">SUMIF(Ungrounding_SIMs[[Ops Date]:[Ops Date]], $A112, Ungrounding_SIMs[Miss])</f>
        <v>0</v>
      </c>
      <c r="D112" s="20">
        <f ca="1">SUMIF(Ungrounding_SIMs[[Ops Date]:[Ops Date]], $A112, Ungrounding_SIMs[CI])</f>
        <v>0</v>
      </c>
      <c r="E112" s="20">
        <f ca="1">SUMIF(Ungrounding_SIMs[[Ops Date]:[Ops Date]], $A112, Ungrounding_SIMs[NCI])</f>
        <v>0</v>
      </c>
      <c r="F112" s="120">
        <f ca="1">SUMIF(Ungrounding_SIMs[[Ops Date]:[Ops Date]], $A112, Ungrounding_SIMs[False Resolution])</f>
        <v>0</v>
      </c>
      <c r="G112" s="121"/>
      <c r="H112" s="120" t="str">
        <f t="shared" ca="1" si="21"/>
        <v>-</v>
      </c>
      <c r="I112" s="121"/>
      <c r="J112" s="20" t="str">
        <f t="shared" ca="1" si="22"/>
        <v>-</v>
      </c>
      <c r="K112" s="20" t="str">
        <f t="shared" ca="1" si="22"/>
        <v>-</v>
      </c>
      <c r="L112" s="11"/>
    </row>
    <row r="113" spans="1:12" ht="14.25" customHeight="1" thickBot="1" x14ac:dyDescent="0.25">
      <c r="A113" s="63">
        <f ca="1">Ungrounding_Date - 2</f>
        <v>45634</v>
      </c>
      <c r="B113" s="20">
        <f ca="1">COUNTIF(Ungrounding_SIMs[Ops Date], $A113)</f>
        <v>0</v>
      </c>
      <c r="C113" s="20">
        <f ca="1">SUMIF(Ungrounding_SIMs[[Ops Date]:[Ops Date]], $A113, Ungrounding_SIMs[Miss])</f>
        <v>0</v>
      </c>
      <c r="D113" s="20">
        <f ca="1">SUMIF(Ungrounding_SIMs[[Ops Date]:[Ops Date]], $A113, Ungrounding_SIMs[CI])</f>
        <v>0</v>
      </c>
      <c r="E113" s="20">
        <f ca="1">SUMIF(Ungrounding_SIMs[[Ops Date]:[Ops Date]], $A113, Ungrounding_SIMs[NCI])</f>
        <v>0</v>
      </c>
      <c r="F113" s="120">
        <f ca="1">SUMIF(Ungrounding_SIMs[[Ops Date]:[Ops Date]], $A113, Ungrounding_SIMs[False Resolution])</f>
        <v>0</v>
      </c>
      <c r="G113" s="121"/>
      <c r="H113" s="120" t="str">
        <f t="shared" ca="1" si="21"/>
        <v>-</v>
      </c>
      <c r="I113" s="121"/>
      <c r="J113" s="20" t="str">
        <f t="shared" ca="1" si="22"/>
        <v>-</v>
      </c>
      <c r="K113" s="20" t="str">
        <f t="shared" ca="1" si="22"/>
        <v>-</v>
      </c>
      <c r="L113" s="12"/>
    </row>
    <row r="114" spans="1:12" ht="12.75" customHeight="1" thickBot="1" x14ac:dyDescent="0.25">
      <c r="A114" s="63">
        <f ca="1">Ungrounding_Date - 1</f>
        <v>45635</v>
      </c>
      <c r="B114" s="20">
        <f ca="1">COUNTIF(Ungrounding_SIMs[Ops Date], $A114)</f>
        <v>0</v>
      </c>
      <c r="C114" s="20">
        <f ca="1">SUMIF(Ungrounding_SIMs[[Ops Date]:[Ops Date]], $A114, Ungrounding_SIMs[Miss])</f>
        <v>0</v>
      </c>
      <c r="D114" s="20">
        <f ca="1">SUMIF(Ungrounding_SIMs[[Ops Date]:[Ops Date]], $A114, Ungrounding_SIMs[CI])</f>
        <v>0</v>
      </c>
      <c r="E114" s="20">
        <f ca="1">SUMIF(Ungrounding_SIMs[[Ops Date]:[Ops Date]], $A114, Ungrounding_SIMs[NCI])</f>
        <v>0</v>
      </c>
      <c r="F114" s="120">
        <f ca="1">SUMIF(Ungrounding_SIMs[[Ops Date]:[Ops Date]], $A114, Ungrounding_SIMs[False Resolution])</f>
        <v>0</v>
      </c>
      <c r="G114" s="121"/>
      <c r="H114" s="120" t="str">
        <f t="shared" ca="1" si="21"/>
        <v>-</v>
      </c>
      <c r="I114" s="121"/>
      <c r="J114" s="20" t="str">
        <f t="shared" ca="1" si="22"/>
        <v>-</v>
      </c>
      <c r="K114" s="20" t="str">
        <f t="shared" ca="1" si="22"/>
        <v>-</v>
      </c>
      <c r="L114" s="12"/>
    </row>
    <row r="115" spans="1:12" ht="11.25" customHeight="1" thickBot="1" x14ac:dyDescent="0.25">
      <c r="A115" s="63">
        <f ca="1">Ungrounding_Date</f>
        <v>45636</v>
      </c>
      <c r="B115" s="20">
        <f ca="1">COUNTIF(Ungrounding_SIMs[Ops Date], $A115)</f>
        <v>0</v>
      </c>
      <c r="C115" s="20">
        <f ca="1">SUMIF(Ungrounding_SIMs[[Ops Date]:[Ops Date]], $A115, Ungrounding_SIMs[Miss])</f>
        <v>0</v>
      </c>
      <c r="D115" s="20">
        <f ca="1">SUMIF(Ungrounding_SIMs[[Ops Date]:[Ops Date]], $A115, Ungrounding_SIMs[CI])</f>
        <v>0</v>
      </c>
      <c r="E115" s="20">
        <f ca="1">SUMIF(Ungrounding_SIMs[[Ops Date]:[Ops Date]], $A115, Ungrounding_SIMs[NCI])</f>
        <v>0</v>
      </c>
      <c r="F115" s="120">
        <f ca="1">SUMIF(Ungrounding_SIMs[[Ops Date]:[Ops Date]], $A115, Ungrounding_SIMs[False Resolution])</f>
        <v>0</v>
      </c>
      <c r="G115" s="121"/>
      <c r="H115" s="120" t="str">
        <f t="shared" ca="1" si="21"/>
        <v>-</v>
      </c>
      <c r="I115" s="121"/>
      <c r="J115" s="20" t="str">
        <f t="shared" ca="1" si="22"/>
        <v>-</v>
      </c>
      <c r="K115" s="20" t="str">
        <f t="shared" ca="1" si="22"/>
        <v>-</v>
      </c>
      <c r="L115" s="12"/>
    </row>
    <row r="116" spans="1:12" ht="11.25" customHeight="1" thickBot="1" x14ac:dyDescent="0.25">
      <c r="A116" s="168"/>
      <c r="B116" s="169"/>
      <c r="C116" s="169"/>
      <c r="D116" s="169"/>
      <c r="E116" s="169"/>
      <c r="F116" s="169"/>
      <c r="G116" s="169"/>
      <c r="H116" s="169"/>
      <c r="I116" s="169"/>
      <c r="J116" s="169"/>
      <c r="K116" s="170"/>
      <c r="L116" s="12"/>
    </row>
    <row r="117" spans="1:12" ht="11.25" customHeight="1" thickBot="1" x14ac:dyDescent="0.25">
      <c r="A117" s="138" t="s">
        <v>39</v>
      </c>
      <c r="B117" s="139"/>
      <c r="C117" s="139"/>
      <c r="D117" s="139"/>
      <c r="E117" s="139"/>
      <c r="F117" s="139"/>
      <c r="G117" s="139"/>
      <c r="H117" s="139"/>
      <c r="I117" s="139"/>
      <c r="J117" s="139"/>
      <c r="K117" s="140"/>
      <c r="L117" s="12"/>
    </row>
    <row r="118" spans="1:12" ht="11.25" customHeight="1" thickBot="1" x14ac:dyDescent="0.25">
      <c r="A118" s="125"/>
      <c r="B118" s="126"/>
      <c r="C118" s="126"/>
      <c r="D118" s="127"/>
      <c r="E118" s="141"/>
      <c r="F118" s="142"/>
      <c r="G118" s="142"/>
      <c r="H118" s="142"/>
      <c r="I118" s="142"/>
      <c r="J118" s="142"/>
      <c r="K118" s="143"/>
      <c r="L118" s="12"/>
    </row>
    <row r="119" spans="1:12" ht="11.25" customHeight="1" thickBot="1" x14ac:dyDescent="0.25">
      <c r="A119" s="125"/>
      <c r="B119" s="126"/>
      <c r="C119" s="126"/>
      <c r="D119" s="126"/>
      <c r="E119" s="126"/>
      <c r="F119" s="126"/>
      <c r="G119" s="126"/>
      <c r="H119" s="126"/>
      <c r="I119" s="126"/>
      <c r="J119" s="126"/>
      <c r="K119" s="127"/>
      <c r="L119" s="12"/>
    </row>
    <row r="120" spans="1:12" ht="11.25" customHeight="1" thickBot="1" x14ac:dyDescent="0.25">
      <c r="A120" s="144" t="s">
        <v>26</v>
      </c>
      <c r="B120" s="145"/>
      <c r="C120" s="145"/>
      <c r="D120" s="145"/>
      <c r="E120" s="145"/>
      <c r="F120" s="145"/>
      <c r="G120" s="145"/>
      <c r="H120" s="145"/>
      <c r="I120" s="145"/>
      <c r="J120" s="145"/>
      <c r="K120" s="146"/>
      <c r="L120" s="10"/>
    </row>
    <row r="121" spans="1:12" ht="11.25" customHeight="1" x14ac:dyDescent="0.2">
      <c r="A121" s="147" t="s">
        <v>4627</v>
      </c>
      <c r="B121" s="122" t="s">
        <v>4628</v>
      </c>
      <c r="C121" s="122" t="s">
        <v>4629</v>
      </c>
      <c r="D121" s="122" t="s">
        <v>4630</v>
      </c>
      <c r="E121" s="122" t="s">
        <v>5058</v>
      </c>
      <c r="F121" s="122" t="s">
        <v>4632</v>
      </c>
      <c r="G121" s="122"/>
      <c r="H121" s="122" t="s">
        <v>4634</v>
      </c>
      <c r="I121" s="122"/>
      <c r="J121" s="122" t="s">
        <v>4635</v>
      </c>
      <c r="K121" s="129" t="s">
        <v>20</v>
      </c>
    </row>
    <row r="122" spans="1:12" ht="11.25" customHeight="1" x14ac:dyDescent="0.2">
      <c r="A122" s="148"/>
      <c r="B122" s="128"/>
      <c r="C122" s="128"/>
      <c r="D122" s="128"/>
      <c r="E122" s="128"/>
      <c r="F122" s="123"/>
      <c r="G122" s="123"/>
      <c r="H122" s="123"/>
      <c r="I122" s="123"/>
      <c r="J122" s="128"/>
      <c r="K122" s="130"/>
      <c r="L122" s="10"/>
    </row>
    <row r="123" spans="1:12" ht="11.25" customHeight="1" thickBot="1" x14ac:dyDescent="0.25">
      <c r="A123" s="149"/>
      <c r="B123" s="124"/>
      <c r="C123" s="124"/>
      <c r="D123" s="124"/>
      <c r="E123" s="124"/>
      <c r="F123" s="124"/>
      <c r="G123" s="124"/>
      <c r="H123" s="124"/>
      <c r="I123" s="124"/>
      <c r="J123" s="124"/>
      <c r="K123" s="131"/>
      <c r="L123" s="11"/>
    </row>
    <row r="124" spans="1:12" ht="11.25" customHeight="1" thickBot="1" x14ac:dyDescent="0.25">
      <c r="A124" s="62">
        <f ca="1">_xlfn.LET(_xlpm.weekNum, WEEKNUM(PM_Date - 21),
IF(_xlpm.weekNum &gt; 52, 1, _xlpm.weekNum))</f>
        <v>47</v>
      </c>
      <c r="B124" s="20">
        <f ca="1">COUNTIF(PM_SIMs[Ops Week], A124)</f>
        <v>0</v>
      </c>
      <c r="C124" s="20">
        <f ca="1">SUMIF(PM_SIMs[[Ops Week]:[Ops Week]], $A124, PM_SIMs[Miss])</f>
        <v>0</v>
      </c>
      <c r="D124" s="20">
        <f ca="1">SUMIF(PM_SIMs[[Ops Week]:[Ops Week]], $A124, PM_SIMs[CI])</f>
        <v>0</v>
      </c>
      <c r="E124" s="20">
        <f ca="1">SUMIF(PM_SIMs[[Ops Week]:[Ops Week]], $A124, PM_SIMs[NCI])</f>
        <v>0</v>
      </c>
      <c r="F124" s="120">
        <f ca="1">SUMIF(PM_SIMs[[Ops Week]:[Ops Week]], $A124, PM_SIMs[False Resolution])</f>
        <v>0</v>
      </c>
      <c r="G124" s="121"/>
      <c r="H124" s="120" t="str">
        <f ca="1">IFERROR(
 1000000*C124/$B124,
 "-"
)</f>
        <v>-</v>
      </c>
      <c r="I124" s="121"/>
      <c r="J124" s="20" t="str">
        <f t="shared" ref="J124:K127" ca="1" si="23">IFERROR(
 1000000*D124/$B124,
 "-"
)</f>
        <v>-</v>
      </c>
      <c r="K124" s="20" t="str">
        <f t="shared" ca="1" si="23"/>
        <v>-</v>
      </c>
      <c r="L124" s="11"/>
    </row>
    <row r="125" spans="1:12" ht="11.25" customHeight="1" thickBot="1" x14ac:dyDescent="0.25">
      <c r="A125" s="62">
        <f ca="1">_xlfn.LET(_xlpm.weekNum, WEEKNUM(PM_Date - 14),
IF(_xlpm.weekNum &gt; 52, 1, _xlpm.weekNum))</f>
        <v>48</v>
      </c>
      <c r="B125" s="20">
        <f ca="1">COUNTIF(PM_SIMs[Ops Week], A125)</f>
        <v>0</v>
      </c>
      <c r="C125" s="20">
        <f ca="1">SUMIF(PM_SIMs[[Ops Week]:[Ops Week]], $A125, PM_SIMs[Miss])</f>
        <v>0</v>
      </c>
      <c r="D125" s="20">
        <f ca="1">SUMIF(PM_SIMs[[Ops Week]:[Ops Week]], $A125, PM_SIMs[CI])</f>
        <v>0</v>
      </c>
      <c r="E125" s="20">
        <f ca="1">SUMIF(PM_SIMs[[Ops Week]:[Ops Week]], $A125, PM_SIMs[NCI])</f>
        <v>0</v>
      </c>
      <c r="F125" s="120">
        <f ca="1">SUMIF(PM_SIMs[[Ops Week]:[Ops Week]], $A125, PM_SIMs[False Resolution])</f>
        <v>0</v>
      </c>
      <c r="G125" s="121"/>
      <c r="H125" s="120" t="str">
        <f ca="1">IFERROR(
 1000000*C125/$B125,
 "-"
)</f>
        <v>-</v>
      </c>
      <c r="I125" s="121"/>
      <c r="J125" s="20" t="str">
        <f t="shared" ca="1" si="23"/>
        <v>-</v>
      </c>
      <c r="K125" s="20" t="str">
        <f t="shared" ca="1" si="23"/>
        <v>-</v>
      </c>
      <c r="L125" s="11"/>
    </row>
    <row r="126" spans="1:12" ht="11.25" customHeight="1" thickBot="1" x14ac:dyDescent="0.25">
      <c r="A126" s="62">
        <f ca="1">_xlfn.LET(_xlpm.weekNum, WEEKNUM(PM_Date - 7),
IF(_xlpm.weekNum &gt; 52, 1, _xlpm.weekNum))</f>
        <v>49</v>
      </c>
      <c r="B126" s="20">
        <f ca="1">COUNTIF(PM_SIMs[Ops Week], A126)</f>
        <v>0</v>
      </c>
      <c r="C126" s="20">
        <f ca="1">SUMIF(PM_SIMs[[Ops Week]:[Ops Week]], $A126, PM_SIMs[Miss])</f>
        <v>0</v>
      </c>
      <c r="D126" s="20">
        <f ca="1">SUMIF(PM_SIMs[[Ops Week]:[Ops Week]], $A126, PM_SIMs[CI])</f>
        <v>0</v>
      </c>
      <c r="E126" s="20">
        <f ca="1">SUMIF(PM_SIMs[[Ops Week]:[Ops Week]], $A126, PM_SIMs[NCI])</f>
        <v>0</v>
      </c>
      <c r="F126" s="120">
        <f ca="1">SUMIF(PM_SIMs[[Ops Week]:[Ops Week]], $A126, PM_SIMs[False Resolution])</f>
        <v>0</v>
      </c>
      <c r="G126" s="121"/>
      <c r="H126" s="120" t="str">
        <f ca="1">IFERROR(
 1000000*C126/$B126,
 "-"
)</f>
        <v>-</v>
      </c>
      <c r="I126" s="121"/>
      <c r="J126" s="20" t="str">
        <f t="shared" ca="1" si="23"/>
        <v>-</v>
      </c>
      <c r="K126" s="20" t="str">
        <f t="shared" ca="1" si="23"/>
        <v>-</v>
      </c>
      <c r="L126" s="12"/>
    </row>
    <row r="127" spans="1:12" ht="11.25" customHeight="1" thickBot="1" x14ac:dyDescent="0.25">
      <c r="A127" s="62">
        <f ca="1">_xlfn.LET(_xlpm.weekNum, WEEKNUM(PM_Date),
IF(_xlpm.weekNum &gt; 52, 1, _xlpm.weekNum))</f>
        <v>50</v>
      </c>
      <c r="B127" s="20">
        <f ca="1">COUNTIF(PM_SIMs[Ops Week], A127)</f>
        <v>0</v>
      </c>
      <c r="C127" s="20">
        <f ca="1">SUMIF(PM_SIMs[[Ops Week]:[Ops Week]], $A127, PM_SIMs[Miss])</f>
        <v>0</v>
      </c>
      <c r="D127" s="20">
        <f ca="1">SUMIF(PM_SIMs[[Ops Week]:[Ops Week]], $A127, PM_SIMs[CI])</f>
        <v>0</v>
      </c>
      <c r="E127" s="20">
        <f ca="1">SUMIF(PM_SIMs[[Ops Week]:[Ops Week]], $A127, PM_SIMs[NCI])</f>
        <v>0</v>
      </c>
      <c r="F127" s="120">
        <f ca="1">SUMIF(PM_SIMs[[Ops Week]:[Ops Week]], $A127, PM_SIMs[False Resolution])</f>
        <v>0</v>
      </c>
      <c r="G127" s="121"/>
      <c r="H127" s="120" t="str">
        <f ca="1">IFERROR(
 1000000*C127/$B127,
 "-"
)</f>
        <v>-</v>
      </c>
      <c r="I127" s="121"/>
      <c r="J127" s="20" t="str">
        <f t="shared" ca="1" si="23"/>
        <v>-</v>
      </c>
      <c r="K127" s="20" t="str">
        <f t="shared" ca="1" si="23"/>
        <v>-</v>
      </c>
      <c r="L127" s="12"/>
    </row>
    <row r="128" spans="1:12" ht="11.25" customHeight="1" thickBot="1" x14ac:dyDescent="0.25">
      <c r="A128" s="150"/>
      <c r="B128" s="151"/>
      <c r="C128" s="151"/>
      <c r="D128" s="151"/>
      <c r="E128" s="151"/>
      <c r="F128" s="151"/>
      <c r="G128" s="151"/>
      <c r="H128" s="151"/>
      <c r="I128" s="151"/>
      <c r="J128" s="151"/>
      <c r="K128" s="152"/>
      <c r="L128" s="12"/>
    </row>
    <row r="129" spans="1:12" ht="11.25" customHeight="1" thickBot="1" x14ac:dyDescent="0.25">
      <c r="A129" s="132" t="s">
        <v>15</v>
      </c>
      <c r="B129" s="133"/>
      <c r="C129" s="133"/>
      <c r="D129" s="133"/>
      <c r="E129" s="133"/>
      <c r="F129" s="133"/>
      <c r="G129" s="133"/>
      <c r="H129" s="133"/>
      <c r="I129" s="133"/>
      <c r="J129" s="133"/>
      <c r="K129" s="134"/>
      <c r="L129" s="12"/>
    </row>
    <row r="130" spans="1:12" ht="11.25" customHeight="1" x14ac:dyDescent="0.2">
      <c r="A130" s="135" t="s">
        <v>5</v>
      </c>
      <c r="B130" s="122" t="s">
        <v>4628</v>
      </c>
      <c r="C130" s="122" t="s">
        <v>4629</v>
      </c>
      <c r="D130" s="122" t="s">
        <v>4630</v>
      </c>
      <c r="E130" s="122" t="s">
        <v>5058</v>
      </c>
      <c r="F130" s="122" t="s">
        <v>4632</v>
      </c>
      <c r="G130" s="122"/>
      <c r="H130" s="122" t="s">
        <v>4634</v>
      </c>
      <c r="I130" s="122"/>
      <c r="J130" s="122" t="s">
        <v>4635</v>
      </c>
      <c r="K130" s="129" t="s">
        <v>20</v>
      </c>
      <c r="L130" s="10"/>
    </row>
    <row r="131" spans="1:12" ht="11.25" customHeight="1" x14ac:dyDescent="0.2">
      <c r="A131" s="136"/>
      <c r="B131" s="123"/>
      <c r="C131" s="123"/>
      <c r="D131" s="123"/>
      <c r="E131" s="123"/>
      <c r="F131" s="123"/>
      <c r="G131" s="123"/>
      <c r="H131" s="123"/>
      <c r="I131" s="123"/>
      <c r="J131" s="123"/>
      <c r="K131" s="130"/>
      <c r="L131" s="11"/>
    </row>
    <row r="132" spans="1:12" ht="11.25" customHeight="1" thickBot="1" x14ac:dyDescent="0.25">
      <c r="A132" s="137"/>
      <c r="B132" s="124"/>
      <c r="C132" s="124"/>
      <c r="D132" s="124"/>
      <c r="E132" s="124"/>
      <c r="F132" s="124"/>
      <c r="G132" s="124"/>
      <c r="H132" s="124"/>
      <c r="I132" s="124"/>
      <c r="J132" s="124"/>
      <c r="K132" s="131"/>
      <c r="L132" s="11"/>
    </row>
    <row r="133" spans="1:12" ht="11.25" customHeight="1" thickBot="1" x14ac:dyDescent="0.25">
      <c r="A133" s="63">
        <f ca="1">PM_Date - 6</f>
        <v>45630</v>
      </c>
      <c r="B133" s="20">
        <f ca="1">COUNTIF(PM_SIMs[Ops Date], $A133)</f>
        <v>0</v>
      </c>
      <c r="C133" s="20">
        <f ca="1">SUMIF(PM_SIMs[[Ops Date]:[Ops Date]], $A133, PM_SIMs[Miss])</f>
        <v>0</v>
      </c>
      <c r="D133" s="20">
        <f ca="1">SUMIF(PM_SIMs[[Ops Date]:[Ops Date]], $A133, PM_SIMs[CI])</f>
        <v>0</v>
      </c>
      <c r="E133" s="20">
        <f ca="1">SUMIF(PM_SIMs[[Ops Date]:[Ops Date]], $A133, PM_SIMs[NCI])</f>
        <v>0</v>
      </c>
      <c r="F133" s="120">
        <f ca="1">SUMIF(PM_SIMs[[Ops Date]:[Ops Date]], $A133, PM_SIMs[False Resolution])</f>
        <v>0</v>
      </c>
      <c r="G133" s="121"/>
      <c r="H133" s="120" t="str">
        <f t="shared" ref="H133:H139" ca="1" si="24">IFERROR(
 1000000*C133/$B133,
 "-"
)</f>
        <v>-</v>
      </c>
      <c r="I133" s="121"/>
      <c r="J133" s="20" t="str">
        <f ca="1">IFERROR(
 1000000*D133/$B133,
 "-"
)</f>
        <v>-</v>
      </c>
      <c r="K133" s="20" t="str">
        <f ca="1">IFERROR(
 1000000*E133/$B133,
 "-"
)</f>
        <v>-</v>
      </c>
      <c r="L133" s="11"/>
    </row>
    <row r="134" spans="1:12" ht="11.25" customHeight="1" thickBot="1" x14ac:dyDescent="0.25">
      <c r="A134" s="63">
        <f ca="1">PM_Date - 5</f>
        <v>45631</v>
      </c>
      <c r="B134" s="20">
        <f ca="1">COUNTIF(PM_SIMs[Ops Date], $A134)</f>
        <v>0</v>
      </c>
      <c r="C134" s="20">
        <f ca="1">SUMIF(PM_SIMs[[Ops Date]:[Ops Date]], $A134, PM_SIMs[Miss])</f>
        <v>0</v>
      </c>
      <c r="D134" s="20">
        <f ca="1">SUMIF(PM_SIMs[[Ops Date]:[Ops Date]], $A134, PM_SIMs[CI])</f>
        <v>0</v>
      </c>
      <c r="E134" s="20">
        <f ca="1">SUMIF(PM_SIMs[[Ops Date]:[Ops Date]], $A134, PM_SIMs[NCI])</f>
        <v>0</v>
      </c>
      <c r="F134" s="120">
        <f ca="1">SUMIF(PM_SIMs[[Ops Date]:[Ops Date]], $A134, PM_SIMs[False Resolution])</f>
        <v>0</v>
      </c>
      <c r="G134" s="121"/>
      <c r="H134" s="120" t="str">
        <f t="shared" ca="1" si="24"/>
        <v>-</v>
      </c>
      <c r="I134" s="121"/>
      <c r="J134" s="20" t="str">
        <f t="shared" ref="J134:J139" ca="1" si="25">IFERROR(
 1000000*D134/$B134,
 "-"
)</f>
        <v>-</v>
      </c>
      <c r="K134" s="20" t="str">
        <f t="shared" ref="K134:K139" ca="1" si="26">IFERROR(
 1000000*E134/$B134,
 "-"
)</f>
        <v>-</v>
      </c>
      <c r="L134" s="12"/>
    </row>
    <row r="135" spans="1:12" ht="11.25" customHeight="1" thickBot="1" x14ac:dyDescent="0.25">
      <c r="A135" s="63">
        <f ca="1">PM_Date - 4</f>
        <v>45632</v>
      </c>
      <c r="B135" s="20">
        <f ca="1">COUNTIF(PM_SIMs[Ops Date], $A135)</f>
        <v>0</v>
      </c>
      <c r="C135" s="20">
        <f ca="1">SUMIF(PM_SIMs[[Ops Date]:[Ops Date]], $A135, PM_SIMs[Miss])</f>
        <v>0</v>
      </c>
      <c r="D135" s="20">
        <f ca="1">SUMIF(PM_SIMs[[Ops Date]:[Ops Date]], $A135, PM_SIMs[CI])</f>
        <v>0</v>
      </c>
      <c r="E135" s="20">
        <f ca="1">SUMIF(PM_SIMs[[Ops Date]:[Ops Date]], $A135, PM_SIMs[NCI])</f>
        <v>0</v>
      </c>
      <c r="F135" s="120">
        <f ca="1">SUMIF(PM_SIMs[[Ops Date]:[Ops Date]], $A135, PM_SIMs[False Resolution])</f>
        <v>0</v>
      </c>
      <c r="G135" s="121"/>
      <c r="H135" s="120" t="str">
        <f t="shared" ca="1" si="24"/>
        <v>-</v>
      </c>
      <c r="I135" s="121"/>
      <c r="J135" s="20" t="str">
        <f t="shared" ca="1" si="25"/>
        <v>-</v>
      </c>
      <c r="K135" s="20" t="str">
        <f t="shared" ca="1" si="26"/>
        <v>-</v>
      </c>
      <c r="L135" s="12"/>
    </row>
    <row r="136" spans="1:12" ht="11.25" customHeight="1" thickBot="1" x14ac:dyDescent="0.25">
      <c r="A136" s="63">
        <f ca="1">PM_Date - 3</f>
        <v>45633</v>
      </c>
      <c r="B136" s="20">
        <f ca="1">COUNTIF(PM_SIMs[Ops Date], $A136)</f>
        <v>0</v>
      </c>
      <c r="C136" s="20">
        <f ca="1">SUMIF(PM_SIMs[[Ops Date]:[Ops Date]], $A136, PM_SIMs[Miss])</f>
        <v>0</v>
      </c>
      <c r="D136" s="20">
        <f ca="1">SUMIF(PM_SIMs[[Ops Date]:[Ops Date]], $A136, PM_SIMs[CI])</f>
        <v>0</v>
      </c>
      <c r="E136" s="20">
        <f ca="1">SUMIF(PM_SIMs[[Ops Date]:[Ops Date]], $A136, PM_SIMs[NCI])</f>
        <v>0</v>
      </c>
      <c r="F136" s="120">
        <f ca="1">SUMIF(PM_SIMs[[Ops Date]:[Ops Date]], $A136, PM_SIMs[False Resolution])</f>
        <v>0</v>
      </c>
      <c r="G136" s="121"/>
      <c r="H136" s="120" t="str">
        <f t="shared" ca="1" si="24"/>
        <v>-</v>
      </c>
      <c r="I136" s="121"/>
      <c r="J136" s="20" t="str">
        <f t="shared" ca="1" si="25"/>
        <v>-</v>
      </c>
      <c r="K136" s="20" t="str">
        <f t="shared" ca="1" si="26"/>
        <v>-</v>
      </c>
      <c r="L136" s="12"/>
    </row>
    <row r="137" spans="1:12" ht="11.25" customHeight="1" thickBot="1" x14ac:dyDescent="0.25">
      <c r="A137" s="63">
        <f ca="1">PM_Date - 2</f>
        <v>45634</v>
      </c>
      <c r="B137" s="20">
        <f ca="1">COUNTIF(PM_SIMs[Ops Date], $A137)</f>
        <v>0</v>
      </c>
      <c r="C137" s="20">
        <f ca="1">SUMIF(PM_SIMs[[Ops Date]:[Ops Date]], $A137, PM_SIMs[Miss])</f>
        <v>0</v>
      </c>
      <c r="D137" s="20">
        <f ca="1">SUMIF(PM_SIMs[[Ops Date]:[Ops Date]], $A137, PM_SIMs[CI])</f>
        <v>0</v>
      </c>
      <c r="E137" s="20">
        <f ca="1">SUMIF(PM_SIMs[[Ops Date]:[Ops Date]], $A137, PM_SIMs[NCI])</f>
        <v>0</v>
      </c>
      <c r="F137" s="120">
        <f ca="1">SUMIF(PM_SIMs[[Ops Date]:[Ops Date]], $A137, PM_SIMs[False Resolution])</f>
        <v>0</v>
      </c>
      <c r="G137" s="121"/>
      <c r="H137" s="120" t="str">
        <f t="shared" ca="1" si="24"/>
        <v>-</v>
      </c>
      <c r="I137" s="121"/>
      <c r="J137" s="20" t="str">
        <f t="shared" ca="1" si="25"/>
        <v>-</v>
      </c>
      <c r="K137" s="20" t="str">
        <f t="shared" ca="1" si="26"/>
        <v>-</v>
      </c>
      <c r="L137" s="12"/>
    </row>
    <row r="138" spans="1:12" ht="11.25" customHeight="1" thickBot="1" x14ac:dyDescent="0.25">
      <c r="A138" s="63">
        <f ca="1">PM_Date - 1</f>
        <v>45635</v>
      </c>
      <c r="B138" s="20">
        <f ca="1">COUNTIF(PM_SIMs[Ops Date], $A138)</f>
        <v>0</v>
      </c>
      <c r="C138" s="20">
        <f ca="1">SUMIF(PM_SIMs[[Ops Date]:[Ops Date]], $A138, PM_SIMs[Miss])</f>
        <v>0</v>
      </c>
      <c r="D138" s="20">
        <f ca="1">SUMIF(PM_SIMs[[Ops Date]:[Ops Date]], $A138, PM_SIMs[CI])</f>
        <v>0</v>
      </c>
      <c r="E138" s="20">
        <f ca="1">SUMIF(PM_SIMs[[Ops Date]:[Ops Date]], $A138, PM_SIMs[NCI])</f>
        <v>0</v>
      </c>
      <c r="F138" s="120">
        <f ca="1">SUMIF(PM_SIMs[[Ops Date]:[Ops Date]], $A138, PM_SIMs[False Resolution])</f>
        <v>0</v>
      </c>
      <c r="G138" s="121"/>
      <c r="H138" s="120" t="str">
        <f t="shared" ca="1" si="24"/>
        <v>-</v>
      </c>
      <c r="I138" s="121"/>
      <c r="J138" s="20" t="str">
        <f t="shared" ca="1" si="25"/>
        <v>-</v>
      </c>
      <c r="K138" s="20" t="str">
        <f t="shared" ca="1" si="26"/>
        <v>-</v>
      </c>
      <c r="L138" s="12"/>
    </row>
    <row r="139" spans="1:12" ht="11.25" customHeight="1" thickBot="1" x14ac:dyDescent="0.25">
      <c r="A139" s="63">
        <f ca="1">PM_Date</f>
        <v>45636</v>
      </c>
      <c r="B139" s="20">
        <f ca="1">COUNTIF(PM_SIMs[Ops Date], $A139)</f>
        <v>0</v>
      </c>
      <c r="C139" s="20">
        <f ca="1">SUMIF(PM_SIMs[[Ops Date]:[Ops Date]], $A139, PM_SIMs[Miss])</f>
        <v>0</v>
      </c>
      <c r="D139" s="20">
        <f ca="1">SUMIF(PM_SIMs[[Ops Date]:[Ops Date]], $A139, PM_SIMs[CI])</f>
        <v>0</v>
      </c>
      <c r="E139" s="20">
        <f ca="1">SUMIF(PM_SIMs[[Ops Date]:[Ops Date]], $A139, PM_SIMs[NCI])</f>
        <v>0</v>
      </c>
      <c r="F139" s="120">
        <f ca="1">SUMIF(PM_SIMs[[Ops Date]:[Ops Date]], $A139, PM_SIMs[False Resolution])</f>
        <v>0</v>
      </c>
      <c r="G139" s="121"/>
      <c r="H139" s="120" t="str">
        <f t="shared" ca="1" si="24"/>
        <v>-</v>
      </c>
      <c r="I139" s="121"/>
      <c r="J139" s="20" t="str">
        <f t="shared" ca="1" si="25"/>
        <v>-</v>
      </c>
      <c r="K139" s="20" t="str">
        <f t="shared" ca="1" si="26"/>
        <v>-</v>
      </c>
      <c r="L139" s="12"/>
    </row>
    <row r="140" spans="1:12" ht="11.25" customHeight="1" thickBot="1" x14ac:dyDescent="0.25">
      <c r="A140" s="168"/>
      <c r="B140" s="169"/>
      <c r="C140" s="169"/>
      <c r="D140" s="169"/>
      <c r="E140" s="169"/>
      <c r="F140" s="169"/>
      <c r="G140" s="169"/>
      <c r="H140" s="169"/>
      <c r="I140" s="169"/>
      <c r="J140" s="169"/>
      <c r="K140" s="170"/>
      <c r="L140" s="12"/>
    </row>
    <row r="141" spans="1:12" ht="11.25" customHeight="1" thickBot="1" x14ac:dyDescent="0.25">
      <c r="A141" s="138" t="s">
        <v>40</v>
      </c>
      <c r="B141" s="139"/>
      <c r="C141" s="139"/>
      <c r="D141" s="139"/>
      <c r="E141" s="139"/>
      <c r="F141" s="139"/>
      <c r="G141" s="139"/>
      <c r="H141" s="139"/>
      <c r="I141" s="139"/>
      <c r="J141" s="139"/>
      <c r="K141" s="140"/>
      <c r="L141" s="10"/>
    </row>
    <row r="142" spans="1:12" ht="11.25" customHeight="1" thickBot="1" x14ac:dyDescent="0.25">
      <c r="A142" s="125"/>
      <c r="B142" s="126"/>
      <c r="C142" s="126"/>
      <c r="D142" s="127"/>
      <c r="E142" s="141"/>
      <c r="F142" s="142"/>
      <c r="G142" s="142"/>
      <c r="H142" s="142"/>
      <c r="I142" s="142"/>
      <c r="J142" s="142"/>
      <c r="K142" s="143"/>
    </row>
    <row r="143" spans="1:12" ht="11.25" customHeight="1" thickBot="1" x14ac:dyDescent="0.25">
      <c r="A143" s="125"/>
      <c r="B143" s="126"/>
      <c r="C143" s="126"/>
      <c r="D143" s="126"/>
      <c r="E143" s="126"/>
      <c r="F143" s="126"/>
      <c r="G143" s="126"/>
      <c r="H143" s="126"/>
      <c r="I143" s="126"/>
      <c r="J143" s="126"/>
      <c r="K143" s="127"/>
      <c r="L143" s="10"/>
    </row>
    <row r="144" spans="1:12" ht="11.25" customHeight="1" thickBot="1" x14ac:dyDescent="0.25">
      <c r="A144" s="144" t="s">
        <v>16</v>
      </c>
      <c r="B144" s="145"/>
      <c r="C144" s="145"/>
      <c r="D144" s="145"/>
      <c r="E144" s="145"/>
      <c r="F144" s="145"/>
      <c r="G144" s="145"/>
      <c r="H144" s="145"/>
      <c r="I144" s="145"/>
      <c r="J144" s="145"/>
      <c r="K144" s="146"/>
      <c r="L144" s="11"/>
    </row>
    <row r="145" spans="1:12" ht="11.25" customHeight="1" x14ac:dyDescent="0.2">
      <c r="A145" s="147" t="s">
        <v>4627</v>
      </c>
      <c r="B145" s="122" t="s">
        <v>4628</v>
      </c>
      <c r="C145" s="122" t="s">
        <v>4629</v>
      </c>
      <c r="D145" s="122" t="s">
        <v>4630</v>
      </c>
      <c r="E145" s="122" t="s">
        <v>5058</v>
      </c>
      <c r="F145" s="122" t="s">
        <v>4631</v>
      </c>
      <c r="G145" s="122" t="s">
        <v>4632</v>
      </c>
      <c r="H145" s="122" t="s">
        <v>4633</v>
      </c>
      <c r="I145" s="122" t="s">
        <v>4634</v>
      </c>
      <c r="J145" s="122" t="s">
        <v>4635</v>
      </c>
      <c r="K145" s="129" t="s">
        <v>20</v>
      </c>
      <c r="L145" s="11"/>
    </row>
    <row r="146" spans="1:12" ht="11.25" customHeight="1" x14ac:dyDescent="0.2">
      <c r="A146" s="148"/>
      <c r="B146" s="128"/>
      <c r="C146" s="128"/>
      <c r="D146" s="128"/>
      <c r="E146" s="128"/>
      <c r="F146" s="123"/>
      <c r="G146" s="123"/>
      <c r="H146" s="128"/>
      <c r="I146" s="128"/>
      <c r="J146" s="128"/>
      <c r="K146" s="130"/>
      <c r="L146" s="11"/>
    </row>
    <row r="147" spans="1:12" ht="11.25" customHeight="1" thickBot="1" x14ac:dyDescent="0.25">
      <c r="A147" s="149"/>
      <c r="B147" s="124"/>
      <c r="C147" s="124"/>
      <c r="D147" s="124"/>
      <c r="E147" s="124"/>
      <c r="F147" s="124"/>
      <c r="G147" s="124"/>
      <c r="H147" s="124"/>
      <c r="I147" s="124"/>
      <c r="J147" s="124"/>
      <c r="K147" s="131"/>
      <c r="L147" s="12"/>
    </row>
    <row r="148" spans="1:12" ht="11.25" customHeight="1" thickBot="1" x14ac:dyDescent="0.25">
      <c r="A148" s="62">
        <f ca="1">_xlfn.LET(_xlpm.weekNum, WEEKNUM(VFC_Date - 21),
IF(_xlpm.weekNum &gt; 52, 1, _xlpm.weekNum))</f>
        <v>47</v>
      </c>
      <c r="B148" s="20">
        <f ca="1">COUNTIF(VFC_SIMs[Ops Week], A148)</f>
        <v>0</v>
      </c>
      <c r="C148" s="20">
        <f ca="1">SUMIF(VFC_SIMs[[Ops Week]:[Ops Week]], $A148, VFC_SIMs[Miss])</f>
        <v>0</v>
      </c>
      <c r="D148" s="20">
        <f ca="1">SUMIF(VFC_SIMs[[Ops Week]:[Ops Week]], $A148, VFC_SIMs[CI])</f>
        <v>0</v>
      </c>
      <c r="E148" s="20">
        <f ca="1">SUMIF(VFC_SIMs[[Ops Week]:[Ops Week]], $A148, VFC_SIMs[NCI])</f>
        <v>0</v>
      </c>
      <c r="F148" s="20">
        <f ca="1">SUMIF(VFC_SIMs[[Ops Week]:[Ops Week]], $A148, VFC_SIMs[Operator Follow-up])</f>
        <v>0</v>
      </c>
      <c r="G148" s="20">
        <f ca="1">SUMIF(VFC_SIMs[[Ops Week]:[Ops Week]], $A148, VFC_SIMs[False Resolution])</f>
        <v>0</v>
      </c>
      <c r="H148" s="20">
        <f ca="1">SUMIF(VFC_SIMs[[Ops Week]:[Ops Week]], $A148, VFC_SIMs[SLA])</f>
        <v>0</v>
      </c>
      <c r="I148" s="20" t="str">
        <f t="shared" ref="I148:K151" ca="1" si="27">IFERROR(
 1000000*C148/$B148,
 "-"
)</f>
        <v>-</v>
      </c>
      <c r="J148" s="20" t="str">
        <f t="shared" ca="1" si="27"/>
        <v>-</v>
      </c>
      <c r="K148" s="20" t="str">
        <f t="shared" ca="1" si="27"/>
        <v>-</v>
      </c>
      <c r="L148" s="12"/>
    </row>
    <row r="149" spans="1:12" ht="11.25" customHeight="1" thickBot="1" x14ac:dyDescent="0.25">
      <c r="A149" s="62">
        <f ca="1">_xlfn.LET(_xlpm.weekNum, WEEKNUM(VFC_Date - 14),
IF(_xlpm.weekNum &gt; 52, 1, _xlpm.weekNum))</f>
        <v>48</v>
      </c>
      <c r="B149" s="20">
        <f ca="1">COUNTIF(VFC_SIMs[Ops Week], A149)</f>
        <v>0</v>
      </c>
      <c r="C149" s="20">
        <f ca="1">SUMIF(VFC_SIMs[[Ops Week]:[Ops Week]], $A149, VFC_SIMs[Miss])</f>
        <v>0</v>
      </c>
      <c r="D149" s="20">
        <f ca="1">SUMIF(VFC_SIMs[[Ops Week]:[Ops Week]], $A149, VFC_SIMs[CI])</f>
        <v>0</v>
      </c>
      <c r="E149" s="20">
        <f ca="1">SUMIF(VFC_SIMs[[Ops Week]:[Ops Week]], $A149, VFC_SIMs[NCI])</f>
        <v>0</v>
      </c>
      <c r="F149" s="20">
        <f ca="1">SUMIF(VFC_SIMs[[Ops Week]:[Ops Week]], $A149, VFC_SIMs[Operator Follow-up])</f>
        <v>0</v>
      </c>
      <c r="G149" s="20">
        <f ca="1">SUMIF(VFC_SIMs[[Ops Week]:[Ops Week]], $A149, VFC_SIMs[False Resolution])</f>
        <v>0</v>
      </c>
      <c r="H149" s="20">
        <f ca="1">SUMIF(VFC_SIMs[[Ops Week]:[Ops Week]], $A149, VFC_SIMs[SLA])</f>
        <v>0</v>
      </c>
      <c r="I149" s="20" t="str">
        <f t="shared" ca="1" si="27"/>
        <v>-</v>
      </c>
      <c r="J149" s="20" t="str">
        <f t="shared" ca="1" si="27"/>
        <v>-</v>
      </c>
      <c r="K149" s="20" t="str">
        <f t="shared" ca="1" si="27"/>
        <v>-</v>
      </c>
      <c r="L149" s="12"/>
    </row>
    <row r="150" spans="1:12" ht="11.25" customHeight="1" thickBot="1" x14ac:dyDescent="0.25">
      <c r="A150" s="62">
        <f ca="1">_xlfn.LET(_xlpm.weekNum, WEEKNUM(VFC_Date - 7),
IF(_xlpm.weekNum &gt; 52, 1, _xlpm.weekNum))</f>
        <v>49</v>
      </c>
      <c r="B150" s="20">
        <f ca="1">COUNTIF(VFC_SIMs[Ops Week], A150)</f>
        <v>0</v>
      </c>
      <c r="C150" s="20">
        <f ca="1">SUMIF(VFC_SIMs[[Ops Week]:[Ops Week]], $A150, VFC_SIMs[Miss])</f>
        <v>0</v>
      </c>
      <c r="D150" s="20">
        <f ca="1">SUMIF(VFC_SIMs[[Ops Week]:[Ops Week]], $A150, VFC_SIMs[CI])</f>
        <v>0</v>
      </c>
      <c r="E150" s="20">
        <f ca="1">SUMIF(VFC_SIMs[[Ops Week]:[Ops Week]], $A150, VFC_SIMs[NCI])</f>
        <v>0</v>
      </c>
      <c r="F150" s="20">
        <f ca="1">SUMIF(VFC_SIMs[[Ops Week]:[Ops Week]], $A150, VFC_SIMs[Operator Follow-up])</f>
        <v>0</v>
      </c>
      <c r="G150" s="20">
        <f ca="1">SUMIF(VFC_SIMs[[Ops Week]:[Ops Week]], $A150, VFC_SIMs[False Resolution])</f>
        <v>0</v>
      </c>
      <c r="H150" s="20">
        <f ca="1">SUMIF(VFC_SIMs[[Ops Week]:[Ops Week]], $A150, VFC_SIMs[SLA])</f>
        <v>0</v>
      </c>
      <c r="I150" s="20" t="str">
        <f t="shared" ca="1" si="27"/>
        <v>-</v>
      </c>
      <c r="J150" s="20" t="str">
        <f t="shared" ca="1" si="27"/>
        <v>-</v>
      </c>
      <c r="K150" s="20" t="str">
        <f t="shared" ca="1" si="27"/>
        <v>-</v>
      </c>
      <c r="L150" s="12"/>
    </row>
    <row r="151" spans="1:12" ht="11.25" customHeight="1" thickBot="1" x14ac:dyDescent="0.25">
      <c r="A151" s="62">
        <f ca="1">_xlfn.LET(_xlpm.weekNum, WEEKNUM(VFC_Date),
IF(_xlpm.weekNum &gt; 52, 1, _xlpm.weekNum))</f>
        <v>50</v>
      </c>
      <c r="B151" s="20">
        <f ca="1">COUNTIF(VFC_SIMs[Ops Week], A151)</f>
        <v>0</v>
      </c>
      <c r="C151" s="20">
        <f ca="1">SUMIF(VFC_SIMs[[Ops Week]:[Ops Week]], $A151, VFC_SIMs[Miss])</f>
        <v>0</v>
      </c>
      <c r="D151" s="20">
        <f ca="1">SUMIF(VFC_SIMs[[Ops Week]:[Ops Week]], $A151, VFC_SIMs[CI])</f>
        <v>0</v>
      </c>
      <c r="E151" s="20">
        <f ca="1">SUMIF(VFC_SIMs[[Ops Week]:[Ops Week]], $A151, VFC_SIMs[NCI])</f>
        <v>0</v>
      </c>
      <c r="F151" s="20">
        <f ca="1">SUMIF(VFC_SIMs[[Ops Week]:[Ops Week]], $A151, VFC_SIMs[Operator Follow-up])</f>
        <v>0</v>
      </c>
      <c r="G151" s="20">
        <f ca="1">SUMIF(VFC_SIMs[[Ops Week]:[Ops Week]], $A151, VFC_SIMs[False Resolution])</f>
        <v>0</v>
      </c>
      <c r="H151" s="20">
        <f ca="1">SUMIF(VFC_SIMs[[Ops Week]:[Ops Week]], $A151, VFC_SIMs[SLA])</f>
        <v>0</v>
      </c>
      <c r="I151" s="20" t="str">
        <f t="shared" ca="1" si="27"/>
        <v>-</v>
      </c>
      <c r="J151" s="20" t="str">
        <f t="shared" ca="1" si="27"/>
        <v>-</v>
      </c>
      <c r="K151" s="20" t="str">
        <f t="shared" ca="1" si="27"/>
        <v>-</v>
      </c>
      <c r="L151" s="10"/>
    </row>
    <row r="152" spans="1:12" ht="11.25" customHeight="1" thickBot="1" x14ac:dyDescent="0.25">
      <c r="A152" s="64"/>
      <c r="B152" s="24"/>
      <c r="C152" s="24"/>
      <c r="D152" s="24"/>
      <c r="E152" s="24"/>
      <c r="F152" s="24"/>
      <c r="G152" s="24"/>
      <c r="H152" s="24"/>
      <c r="I152" s="23"/>
      <c r="J152" s="53"/>
      <c r="K152" s="20"/>
      <c r="L152" s="11"/>
    </row>
    <row r="153" spans="1:12" ht="11.25" customHeight="1" thickBot="1" x14ac:dyDescent="0.25">
      <c r="A153" s="132" t="s">
        <v>17</v>
      </c>
      <c r="B153" s="133"/>
      <c r="C153" s="133"/>
      <c r="D153" s="133"/>
      <c r="E153" s="133"/>
      <c r="F153" s="133"/>
      <c r="G153" s="133"/>
      <c r="H153" s="133"/>
      <c r="I153" s="133"/>
      <c r="J153" s="133"/>
      <c r="K153" s="134"/>
      <c r="L153" s="11"/>
    </row>
    <row r="154" spans="1:12" ht="11.25" customHeight="1" x14ac:dyDescent="0.2">
      <c r="A154" s="135" t="s">
        <v>5</v>
      </c>
      <c r="B154" s="122" t="s">
        <v>4628</v>
      </c>
      <c r="C154" s="122" t="s">
        <v>4629</v>
      </c>
      <c r="D154" s="122" t="s">
        <v>4630</v>
      </c>
      <c r="E154" s="122" t="s">
        <v>5058</v>
      </c>
      <c r="F154" s="122" t="s">
        <v>4631</v>
      </c>
      <c r="G154" s="122" t="s">
        <v>4632</v>
      </c>
      <c r="H154" s="122" t="s">
        <v>4633</v>
      </c>
      <c r="I154" s="122" t="s">
        <v>4634</v>
      </c>
      <c r="J154" s="122" t="s">
        <v>4635</v>
      </c>
      <c r="K154" s="129" t="s">
        <v>20</v>
      </c>
      <c r="L154" s="11"/>
    </row>
    <row r="155" spans="1:12" ht="11.25" customHeight="1" x14ac:dyDescent="0.2">
      <c r="A155" s="136"/>
      <c r="B155" s="123"/>
      <c r="C155" s="123"/>
      <c r="D155" s="123"/>
      <c r="E155" s="123"/>
      <c r="F155" s="123"/>
      <c r="G155" s="123"/>
      <c r="H155" s="123"/>
      <c r="I155" s="123"/>
      <c r="J155" s="123"/>
      <c r="K155" s="130"/>
      <c r="L155" s="12"/>
    </row>
    <row r="156" spans="1:12" ht="11.25" customHeight="1" thickBot="1" x14ac:dyDescent="0.25">
      <c r="A156" s="137"/>
      <c r="B156" s="124"/>
      <c r="C156" s="124"/>
      <c r="D156" s="124"/>
      <c r="E156" s="124"/>
      <c r="F156" s="124"/>
      <c r="G156" s="124"/>
      <c r="H156" s="124"/>
      <c r="I156" s="124"/>
      <c r="J156" s="124"/>
      <c r="K156" s="131"/>
      <c r="L156" s="12"/>
    </row>
    <row r="157" spans="1:12" ht="11.25" customHeight="1" thickBot="1" x14ac:dyDescent="0.25">
      <c r="A157" s="63">
        <f ca="1">VFC_Date - 6</f>
        <v>45630</v>
      </c>
      <c r="B157" s="20">
        <f ca="1">COUNTIF(VFC_SIMs[Ops Date], $A157)</f>
        <v>0</v>
      </c>
      <c r="C157" s="20">
        <f ca="1">SUMIF(VFC_SIMs[[Ops Date]:[Ops Date]], $A157, VFC_SIMs[Miss])</f>
        <v>0</v>
      </c>
      <c r="D157" s="20">
        <f ca="1">SUMIF(VFC_SIMs[[Ops Date]:[Ops Date]], $A157, VFC_SIMs[CI])</f>
        <v>0</v>
      </c>
      <c r="E157" s="20">
        <f ca="1">SUMIF(VFC_SIMs[[Ops Date]:[Ops Date]], $A157, VFC_SIMs[NCI])</f>
        <v>0</v>
      </c>
      <c r="F157" s="20">
        <f ca="1">SUMIF(VFC_SIMs[[Ops Date]:[Ops Date]], $A157, VFC_SIMs[Operator Follow-up])</f>
        <v>0</v>
      </c>
      <c r="G157" s="20">
        <f ca="1">SUMIF(VFC_SIMs[[Ops Date]:[Ops Date]], $A157, VFC_SIMs[False Resolution])</f>
        <v>0</v>
      </c>
      <c r="H157" s="20">
        <f ca="1">SUMIF(VFC_SIMs[[Ops Date]:[Ops Date]], $A157, VFC_SIMs[SLA])</f>
        <v>0</v>
      </c>
      <c r="I157" s="20" t="str">
        <f ca="1">IFERROR(
 1000000*C157/$B157,
 "-"
)</f>
        <v>-</v>
      </c>
      <c r="J157" s="20" t="str">
        <f ca="1">IFERROR(
 1000000*D157/$B157,
 "-"
)</f>
        <v>-</v>
      </c>
      <c r="K157" s="20" t="str">
        <f ca="1">IFERROR(
 1000000*E157/$B157,
 "-"
)</f>
        <v>-</v>
      </c>
      <c r="L157" s="12"/>
    </row>
    <row r="158" spans="1:12" ht="11.25" customHeight="1" thickBot="1" x14ac:dyDescent="0.25">
      <c r="A158" s="63">
        <f ca="1">VFC_Date - 5</f>
        <v>45631</v>
      </c>
      <c r="B158" s="20">
        <f ca="1">COUNTIF(VFC_SIMs[Ops Date], $A158)</f>
        <v>0</v>
      </c>
      <c r="C158" s="20">
        <f ca="1">SUMIF(VFC_SIMs[[Ops Date]:[Ops Date]], $A158, VFC_SIMs[Miss])</f>
        <v>0</v>
      </c>
      <c r="D158" s="20">
        <f ca="1">SUMIF(VFC_SIMs[[Ops Date]:[Ops Date]], $A158, VFC_SIMs[CI])</f>
        <v>0</v>
      </c>
      <c r="E158" s="20">
        <f ca="1">SUMIF(VFC_SIMs[[Ops Date]:[Ops Date]], $A158, VFC_SIMs[NCI])</f>
        <v>0</v>
      </c>
      <c r="F158" s="20">
        <f ca="1">SUMIF(VFC_SIMs[[Ops Date]:[Ops Date]], $A158, VFC_SIMs[Operator Follow-up])</f>
        <v>0</v>
      </c>
      <c r="G158" s="20">
        <f ca="1">SUMIF(VFC_SIMs[[Ops Date]:[Ops Date]], $A158, VFC_SIMs[False Resolution])</f>
        <v>0</v>
      </c>
      <c r="H158" s="20">
        <f ca="1">SUMIF(VFC_SIMs[[Ops Date]:[Ops Date]], $A158, VFC_SIMs[SLA])</f>
        <v>0</v>
      </c>
      <c r="I158" s="20" t="str">
        <f t="shared" ref="I158:I163" ca="1" si="28">IFERROR(
 1000000*C158/$B158,
 "-"
)</f>
        <v>-</v>
      </c>
      <c r="J158" s="20" t="str">
        <f t="shared" ref="J158:J163" ca="1" si="29">IFERROR(
 1000000*D158/$B158,
 "-"
)</f>
        <v>-</v>
      </c>
      <c r="K158" s="20" t="str">
        <f t="shared" ref="K158:K163" ca="1" si="30">IFERROR(
 1000000*E158/$B158,
 "-"
)</f>
        <v>-</v>
      </c>
      <c r="L158" s="12"/>
    </row>
    <row r="159" spans="1:12" ht="11.25" customHeight="1" thickBot="1" x14ac:dyDescent="0.25">
      <c r="A159" s="63">
        <f ca="1">VFC_Date - 4</f>
        <v>45632</v>
      </c>
      <c r="B159" s="20">
        <f ca="1">COUNTIF(VFC_SIMs[Ops Date], $A159)</f>
        <v>0</v>
      </c>
      <c r="C159" s="20">
        <f ca="1">SUMIF(VFC_SIMs[[Ops Date]:[Ops Date]], $A159, VFC_SIMs[Miss])</f>
        <v>0</v>
      </c>
      <c r="D159" s="20">
        <f ca="1">SUMIF(VFC_SIMs[[Ops Date]:[Ops Date]], $A159, VFC_SIMs[CI])</f>
        <v>0</v>
      </c>
      <c r="E159" s="20">
        <f ca="1">SUMIF(VFC_SIMs[[Ops Date]:[Ops Date]], $A159, VFC_SIMs[NCI])</f>
        <v>0</v>
      </c>
      <c r="F159" s="20">
        <f ca="1">SUMIF(VFC_SIMs[[Ops Date]:[Ops Date]], $A159, VFC_SIMs[Operator Follow-up])</f>
        <v>0</v>
      </c>
      <c r="G159" s="20">
        <f ca="1">SUMIF(VFC_SIMs[[Ops Date]:[Ops Date]], $A159, VFC_SIMs[False Resolution])</f>
        <v>0</v>
      </c>
      <c r="H159" s="20">
        <f ca="1">SUMIF(VFC_SIMs[[Ops Date]:[Ops Date]], $A159, VFC_SIMs[SLA])</f>
        <v>0</v>
      </c>
      <c r="I159" s="20" t="str">
        <f t="shared" ca="1" si="28"/>
        <v>-</v>
      </c>
      <c r="J159" s="20" t="str">
        <f t="shared" ca="1" si="29"/>
        <v>-</v>
      </c>
      <c r="K159" s="20" t="str">
        <f t="shared" ca="1" si="30"/>
        <v>-</v>
      </c>
      <c r="L159" s="12"/>
    </row>
    <row r="160" spans="1:12" ht="11.25" customHeight="1" thickBot="1" x14ac:dyDescent="0.25">
      <c r="A160" s="63">
        <f ca="1">VFC_Date - 3</f>
        <v>45633</v>
      </c>
      <c r="B160" s="20">
        <f ca="1">COUNTIF(VFC_SIMs[Ops Date], $A160)</f>
        <v>0</v>
      </c>
      <c r="C160" s="20">
        <f ca="1">SUMIF(VFC_SIMs[[Ops Date]:[Ops Date]], $A160, VFC_SIMs[Miss])</f>
        <v>0</v>
      </c>
      <c r="D160" s="20">
        <f ca="1">SUMIF(VFC_SIMs[[Ops Date]:[Ops Date]], $A160, VFC_SIMs[CI])</f>
        <v>0</v>
      </c>
      <c r="E160" s="20">
        <f ca="1">SUMIF(VFC_SIMs[[Ops Date]:[Ops Date]], $A160, VFC_SIMs[NCI])</f>
        <v>0</v>
      </c>
      <c r="F160" s="20">
        <f ca="1">SUMIF(VFC_SIMs[[Ops Date]:[Ops Date]], $A160, VFC_SIMs[Operator Follow-up])</f>
        <v>0</v>
      </c>
      <c r="G160" s="20">
        <f ca="1">SUMIF(VFC_SIMs[[Ops Date]:[Ops Date]], $A160, VFC_SIMs[False Resolution])</f>
        <v>0</v>
      </c>
      <c r="H160" s="20">
        <f ca="1">SUMIF(VFC_SIMs[[Ops Date]:[Ops Date]], $A160, VFC_SIMs[SLA])</f>
        <v>0</v>
      </c>
      <c r="I160" s="20" t="str">
        <f t="shared" ca="1" si="28"/>
        <v>-</v>
      </c>
      <c r="J160" s="20" t="str">
        <f t="shared" ca="1" si="29"/>
        <v>-</v>
      </c>
      <c r="K160" s="20" t="str">
        <f t="shared" ca="1" si="30"/>
        <v>-</v>
      </c>
      <c r="L160" s="12"/>
    </row>
    <row r="161" spans="1:12" ht="11.25" customHeight="1" thickBot="1" x14ac:dyDescent="0.25">
      <c r="A161" s="63">
        <f ca="1">VFC_Date - 2</f>
        <v>45634</v>
      </c>
      <c r="B161" s="20">
        <f ca="1">COUNTIF(VFC_SIMs[Ops Date], $A161)</f>
        <v>0</v>
      </c>
      <c r="C161" s="20">
        <f ca="1">SUMIF(VFC_SIMs[[Ops Date]:[Ops Date]], $A161, VFC_SIMs[Miss])</f>
        <v>0</v>
      </c>
      <c r="D161" s="20">
        <f ca="1">SUMIF(VFC_SIMs[[Ops Date]:[Ops Date]], $A161, VFC_SIMs[CI])</f>
        <v>0</v>
      </c>
      <c r="E161" s="20">
        <f ca="1">SUMIF(VFC_SIMs[[Ops Date]:[Ops Date]], $A161, VFC_SIMs[NCI])</f>
        <v>0</v>
      </c>
      <c r="F161" s="20">
        <f ca="1">SUMIF(VFC_SIMs[[Ops Date]:[Ops Date]], $A161, VFC_SIMs[Operator Follow-up])</f>
        <v>0</v>
      </c>
      <c r="G161" s="20">
        <f ca="1">SUMIF(VFC_SIMs[[Ops Date]:[Ops Date]], $A161, VFC_SIMs[False Resolution])</f>
        <v>0</v>
      </c>
      <c r="H161" s="20">
        <f ca="1">SUMIF(VFC_SIMs[[Ops Date]:[Ops Date]], $A161, VFC_SIMs[SLA])</f>
        <v>0</v>
      </c>
      <c r="I161" s="20" t="str">
        <f t="shared" ca="1" si="28"/>
        <v>-</v>
      </c>
      <c r="J161" s="20" t="str">
        <f t="shared" ca="1" si="29"/>
        <v>-</v>
      </c>
      <c r="K161" s="20" t="str">
        <f t="shared" ca="1" si="30"/>
        <v>-</v>
      </c>
      <c r="L161" s="12"/>
    </row>
    <row r="162" spans="1:12" ht="11.25" customHeight="1" thickBot="1" x14ac:dyDescent="0.25">
      <c r="A162" s="63">
        <f ca="1">VFC_Date - 1</f>
        <v>45635</v>
      </c>
      <c r="B162" s="20">
        <f ca="1">COUNTIF(VFC_SIMs[Ops Date], $A162)</f>
        <v>0</v>
      </c>
      <c r="C162" s="20">
        <f ca="1">SUMIF(VFC_SIMs[[Ops Date]:[Ops Date]], $A162, VFC_SIMs[Miss])</f>
        <v>0</v>
      </c>
      <c r="D162" s="20">
        <f ca="1">SUMIF(VFC_SIMs[[Ops Date]:[Ops Date]], $A162, VFC_SIMs[CI])</f>
        <v>0</v>
      </c>
      <c r="E162" s="20">
        <f ca="1">SUMIF(VFC_SIMs[[Ops Date]:[Ops Date]], $A162, VFC_SIMs[NCI])</f>
        <v>0</v>
      </c>
      <c r="F162" s="20">
        <f ca="1">SUMIF(VFC_SIMs[[Ops Date]:[Ops Date]], $A162, VFC_SIMs[Operator Follow-up])</f>
        <v>0</v>
      </c>
      <c r="G162" s="20">
        <f ca="1">SUMIF(VFC_SIMs[[Ops Date]:[Ops Date]], $A162, VFC_SIMs[False Resolution])</f>
        <v>0</v>
      </c>
      <c r="H162" s="20">
        <f ca="1">SUMIF(VFC_SIMs[[Ops Date]:[Ops Date]], $A162, VFC_SIMs[SLA])</f>
        <v>0</v>
      </c>
      <c r="I162" s="20" t="str">
        <f t="shared" ca="1" si="28"/>
        <v>-</v>
      </c>
      <c r="J162" s="20" t="str">
        <f t="shared" ca="1" si="29"/>
        <v>-</v>
      </c>
      <c r="K162" s="20" t="str">
        <f t="shared" ca="1" si="30"/>
        <v>-</v>
      </c>
      <c r="L162" s="6"/>
    </row>
    <row r="163" spans="1:12" ht="11.25" customHeight="1" thickBot="1" x14ac:dyDescent="0.25">
      <c r="A163" s="63">
        <f ca="1">VFC_Date</f>
        <v>45636</v>
      </c>
      <c r="B163" s="20">
        <f ca="1">COUNTIF(VFC_SIMs[Ops Date], $A163)</f>
        <v>0</v>
      </c>
      <c r="C163" s="20">
        <f ca="1">SUMIF(VFC_SIMs[[Ops Date]:[Ops Date]], $A163, VFC_SIMs[Miss])</f>
        <v>0</v>
      </c>
      <c r="D163" s="20">
        <f ca="1">SUMIF(VFC_SIMs[[Ops Date]:[Ops Date]], $A163, VFC_SIMs[CI])</f>
        <v>0</v>
      </c>
      <c r="E163" s="20">
        <f ca="1">SUMIF(VFC_SIMs[[Ops Date]:[Ops Date]], $A163, VFC_SIMs[NCI])</f>
        <v>0</v>
      </c>
      <c r="F163" s="20">
        <f ca="1">SUMIF(VFC_SIMs[[Ops Date]:[Ops Date]], $A163, VFC_SIMs[Operator Follow-up])</f>
        <v>0</v>
      </c>
      <c r="G163" s="20">
        <f ca="1">SUMIF(VFC_SIMs[[Ops Date]:[Ops Date]], $A163, VFC_SIMs[False Resolution])</f>
        <v>0</v>
      </c>
      <c r="H163" s="20">
        <f ca="1">SUMIF(VFC_SIMs[[Ops Date]:[Ops Date]], $A163, VFC_SIMs[SLA])</f>
        <v>0</v>
      </c>
      <c r="I163" s="20" t="str">
        <f t="shared" ca="1" si="28"/>
        <v>-</v>
      </c>
      <c r="J163" s="20" t="str">
        <f t="shared" ca="1" si="29"/>
        <v>-</v>
      </c>
      <c r="K163" s="20" t="str">
        <f t="shared" ca="1" si="30"/>
        <v>-</v>
      </c>
      <c r="L163" s="13"/>
    </row>
    <row r="164" spans="1:12" ht="11.25" customHeight="1" thickBot="1" x14ac:dyDescent="0.25">
      <c r="A164" s="65"/>
      <c r="B164" s="24"/>
      <c r="C164" s="24"/>
      <c r="D164" s="24"/>
      <c r="E164" s="24"/>
      <c r="F164" s="24"/>
      <c r="G164" s="24"/>
      <c r="H164" s="24"/>
      <c r="I164" s="23"/>
      <c r="J164" s="53"/>
      <c r="K164" s="20"/>
      <c r="L164" s="13"/>
    </row>
    <row r="165" spans="1:12" ht="11.25" customHeight="1" thickBot="1" x14ac:dyDescent="0.25">
      <c r="A165" s="138" t="s">
        <v>24</v>
      </c>
      <c r="B165" s="139"/>
      <c r="C165" s="139"/>
      <c r="D165" s="139"/>
      <c r="E165" s="139"/>
      <c r="F165" s="139"/>
      <c r="G165" s="139"/>
      <c r="H165" s="139"/>
      <c r="I165" s="139"/>
      <c r="J165" s="139"/>
      <c r="K165" s="140"/>
    </row>
    <row r="166" spans="1:12" ht="11.25" customHeight="1" thickBot="1" x14ac:dyDescent="0.25">
      <c r="A166" s="125"/>
      <c r="B166" s="126"/>
      <c r="C166" s="126"/>
      <c r="D166" s="127"/>
      <c r="E166" s="141"/>
      <c r="F166" s="142"/>
      <c r="G166" s="142"/>
      <c r="H166" s="142"/>
      <c r="I166" s="142"/>
      <c r="J166" s="142"/>
      <c r="K166" s="143"/>
    </row>
    <row r="167" spans="1:12" ht="11.25" customHeight="1" thickBot="1" x14ac:dyDescent="0.25">
      <c r="A167" s="125"/>
      <c r="B167" s="126"/>
      <c r="C167" s="126"/>
      <c r="D167" s="126"/>
      <c r="E167" s="126"/>
      <c r="F167" s="126"/>
      <c r="G167" s="126"/>
      <c r="H167" s="126"/>
      <c r="I167" s="126"/>
      <c r="J167" s="126"/>
      <c r="K167" s="127"/>
    </row>
    <row r="168" spans="1:12" ht="11.25" customHeight="1" thickBot="1" x14ac:dyDescent="0.25">
      <c r="A168" s="144" t="s">
        <v>30</v>
      </c>
      <c r="B168" s="145"/>
      <c r="C168" s="145"/>
      <c r="D168" s="145"/>
      <c r="E168" s="145"/>
      <c r="F168" s="145"/>
      <c r="G168" s="145"/>
      <c r="H168" s="145"/>
      <c r="I168" s="145"/>
      <c r="J168" s="145"/>
      <c r="K168" s="146"/>
    </row>
    <row r="169" spans="1:12" ht="11.25" customHeight="1" x14ac:dyDescent="0.2">
      <c r="A169" s="147" t="s">
        <v>4627</v>
      </c>
      <c r="B169" s="122" t="s">
        <v>4628</v>
      </c>
      <c r="C169" s="122" t="s">
        <v>4629</v>
      </c>
      <c r="D169" s="122" t="s">
        <v>4630</v>
      </c>
      <c r="E169" s="122" t="s">
        <v>5058</v>
      </c>
      <c r="F169" s="122" t="s">
        <v>4631</v>
      </c>
      <c r="G169" s="122" t="s">
        <v>4632</v>
      </c>
      <c r="H169" s="122" t="s">
        <v>4633</v>
      </c>
      <c r="I169" s="122" t="s">
        <v>4634</v>
      </c>
      <c r="J169" s="122" t="s">
        <v>4635</v>
      </c>
      <c r="K169" s="129" t="s">
        <v>20</v>
      </c>
    </row>
    <row r="170" spans="1:12" ht="11.25" customHeight="1" x14ac:dyDescent="0.2">
      <c r="A170" s="148"/>
      <c r="B170" s="128"/>
      <c r="C170" s="128"/>
      <c r="D170" s="128"/>
      <c r="E170" s="128"/>
      <c r="F170" s="123"/>
      <c r="G170" s="123"/>
      <c r="H170" s="128"/>
      <c r="I170" s="128"/>
      <c r="J170" s="128"/>
      <c r="K170" s="130"/>
    </row>
    <row r="171" spans="1:12" ht="11.25" customHeight="1" thickBot="1" x14ac:dyDescent="0.25">
      <c r="A171" s="149"/>
      <c r="B171" s="124"/>
      <c r="C171" s="124"/>
      <c r="D171" s="124"/>
      <c r="E171" s="124"/>
      <c r="F171" s="124"/>
      <c r="G171" s="124"/>
      <c r="H171" s="124"/>
      <c r="I171" s="124"/>
      <c r="J171" s="124"/>
      <c r="K171" s="131"/>
    </row>
    <row r="172" spans="1:12" ht="11.25" customHeight="1" thickBot="1" x14ac:dyDescent="0.25">
      <c r="A172" s="62">
        <f ca="1">_xlfn.LET(_xlpm.weekNum, WEEKNUM(Reimbursement_Date - 21),
IF(_xlpm.weekNum &gt; 52, 1, _xlpm.weekNum))</f>
        <v>47</v>
      </c>
      <c r="B172" s="20">
        <f ca="1">COUNTIF(Reimbursement_SIMs[Ops Week], A172)</f>
        <v>0</v>
      </c>
      <c r="C172" s="20">
        <f ca="1">SUMIF(Reimbursement_SIMs[[Ops Week]:[Ops Week]], $A172, Reimbursement_SIMs[Miss])</f>
        <v>0</v>
      </c>
      <c r="D172" s="20">
        <f ca="1">SUMIF(Reimbursement_SIMs[[Ops Week]:[Ops Week]], $A172, Reimbursement_SIMs[CI])</f>
        <v>0</v>
      </c>
      <c r="E172" s="20">
        <f ca="1">SUMIF(Reimbursement_SIMs[[Ops Week]:[Ops Week]], $A172, Reimbursement_SIMs[NCI])</f>
        <v>0</v>
      </c>
      <c r="F172" s="20">
        <f ca="1">SUMIF(Reimbursement_SIMs[[Ops Week]:[Ops Week]], $A172, Reimbursement_SIMs[Operator Follow-up])</f>
        <v>0</v>
      </c>
      <c r="G172" s="20">
        <f ca="1">SUMIF(Reimbursement_SIMs[[Ops Week]:[Ops Week]], $A172, Reimbursement_SIMs[False Resolution])</f>
        <v>0</v>
      </c>
      <c r="H172" s="20">
        <f ca="1">SUMIF(Reimbursement_SIMs[[Ops Week]:[Ops Week]], $A172, Reimbursement_SIMs[SLA])</f>
        <v>0</v>
      </c>
      <c r="I172" s="20" t="str">
        <f t="shared" ref="I172:K175" ca="1" si="31">IFERROR(
 1000000*C172/$B172,
 "-"
)</f>
        <v>-</v>
      </c>
      <c r="J172" s="20" t="str">
        <f t="shared" ca="1" si="31"/>
        <v>-</v>
      </c>
      <c r="K172" s="20" t="str">
        <f t="shared" ca="1" si="31"/>
        <v>-</v>
      </c>
    </row>
    <row r="173" spans="1:12" ht="11.25" customHeight="1" thickBot="1" x14ac:dyDescent="0.25">
      <c r="A173" s="62">
        <f ca="1">_xlfn.LET(_xlpm.weekNum, WEEKNUM(Reimbursement_Date - 14),
IF(_xlpm.weekNum &gt; 52, 1, _xlpm.weekNum))</f>
        <v>48</v>
      </c>
      <c r="B173" s="20">
        <f ca="1">COUNTIF(Reimbursement_SIMs[Ops Week], A173)</f>
        <v>0</v>
      </c>
      <c r="C173" s="20">
        <f ca="1">SUMIF(Reimbursement_SIMs[[Ops Week]:[Ops Week]], $A173, Reimbursement_SIMs[Miss])</f>
        <v>0</v>
      </c>
      <c r="D173" s="20">
        <f ca="1">SUMIF(Reimbursement_SIMs[[Ops Week]:[Ops Week]], $A173, Reimbursement_SIMs[CI])</f>
        <v>0</v>
      </c>
      <c r="E173" s="20">
        <f ca="1">SUMIF(Reimbursement_SIMs[[Ops Week]:[Ops Week]], $A173, Reimbursement_SIMs[NCI])</f>
        <v>0</v>
      </c>
      <c r="F173" s="20">
        <f ca="1">SUMIF(Reimbursement_SIMs[[Ops Week]:[Ops Week]], $A173, Reimbursement_SIMs[Operator Follow-up])</f>
        <v>0</v>
      </c>
      <c r="G173" s="20">
        <f ca="1">SUMIF(Reimbursement_SIMs[[Ops Week]:[Ops Week]], $A173, Reimbursement_SIMs[False Resolution])</f>
        <v>0</v>
      </c>
      <c r="H173" s="20">
        <f ca="1">SUMIF(Reimbursement_SIMs[[Ops Week]:[Ops Week]], $A173, Reimbursement_SIMs[SLA])</f>
        <v>0</v>
      </c>
      <c r="I173" s="20" t="str">
        <f t="shared" ca="1" si="31"/>
        <v>-</v>
      </c>
      <c r="J173" s="20" t="str">
        <f t="shared" ca="1" si="31"/>
        <v>-</v>
      </c>
      <c r="K173" s="20" t="str">
        <f t="shared" ca="1" si="31"/>
        <v>-</v>
      </c>
    </row>
    <row r="174" spans="1:12" ht="11.25" customHeight="1" thickBot="1" x14ac:dyDescent="0.25">
      <c r="A174" s="62">
        <f ca="1">_xlfn.LET(_xlpm.weekNum, WEEKNUM(Reimbursement_Date - 7),
IF(_xlpm.weekNum &gt; 52, 1, _xlpm.weekNum))</f>
        <v>49</v>
      </c>
      <c r="B174" s="20">
        <f ca="1">COUNTIF(Reimbursement_SIMs[Ops Week], A174)</f>
        <v>0</v>
      </c>
      <c r="C174" s="20">
        <f ca="1">SUMIF(Reimbursement_SIMs[[Ops Week]:[Ops Week]], $A174, Reimbursement_SIMs[Miss])</f>
        <v>0</v>
      </c>
      <c r="D174" s="20">
        <f ca="1">SUMIF(Reimbursement_SIMs[[Ops Week]:[Ops Week]], $A174, Reimbursement_SIMs[CI])</f>
        <v>0</v>
      </c>
      <c r="E174" s="20">
        <f ca="1">SUMIF(Reimbursement_SIMs[[Ops Week]:[Ops Week]], $A174, Reimbursement_SIMs[NCI])</f>
        <v>0</v>
      </c>
      <c r="F174" s="20">
        <f ca="1">SUMIF(Reimbursement_SIMs[[Ops Week]:[Ops Week]], $A174, Reimbursement_SIMs[Operator Follow-up])</f>
        <v>0</v>
      </c>
      <c r="G174" s="20">
        <f ca="1">SUMIF(Reimbursement_SIMs[[Ops Week]:[Ops Week]], $A174, Reimbursement_SIMs[False Resolution])</f>
        <v>0</v>
      </c>
      <c r="H174" s="20">
        <f ca="1">SUMIF(Reimbursement_SIMs[[Ops Week]:[Ops Week]], $A174, Reimbursement_SIMs[SLA])</f>
        <v>0</v>
      </c>
      <c r="I174" s="20" t="str">
        <f t="shared" ca="1" si="31"/>
        <v>-</v>
      </c>
      <c r="J174" s="20" t="str">
        <f t="shared" ca="1" si="31"/>
        <v>-</v>
      </c>
      <c r="K174" s="20" t="str">
        <f t="shared" ca="1" si="31"/>
        <v>-</v>
      </c>
    </row>
    <row r="175" spans="1:12" ht="11.25" customHeight="1" thickBot="1" x14ac:dyDescent="0.25">
      <c r="A175" s="62">
        <f ca="1">_xlfn.LET(_xlpm.weekNum, WEEKNUM(Reimbursement_Date),
IF(_xlpm.weekNum &gt; 52, 1, _xlpm.weekNum))</f>
        <v>50</v>
      </c>
      <c r="B175" s="20">
        <f ca="1">COUNTIF(Reimbursement_SIMs[Ops Week], A175)</f>
        <v>0</v>
      </c>
      <c r="C175" s="20">
        <f ca="1">SUMIF(Reimbursement_SIMs[[Ops Week]:[Ops Week]], $A175, Reimbursement_SIMs[Miss])</f>
        <v>0</v>
      </c>
      <c r="D175" s="20">
        <f ca="1">SUMIF(Reimbursement_SIMs[[Ops Week]:[Ops Week]], $A175, Reimbursement_SIMs[CI])</f>
        <v>0</v>
      </c>
      <c r="E175" s="20">
        <f ca="1">SUMIF(Reimbursement_SIMs[[Ops Week]:[Ops Week]], $A175, Reimbursement_SIMs[NCI])</f>
        <v>0</v>
      </c>
      <c r="F175" s="20">
        <f ca="1">SUMIF(Reimbursement_SIMs[[Ops Week]:[Ops Week]], $A175, Reimbursement_SIMs[Operator Follow-up])</f>
        <v>0</v>
      </c>
      <c r="G175" s="20">
        <f ca="1">SUMIF(Reimbursement_SIMs[[Ops Week]:[Ops Week]], $A175, Reimbursement_SIMs[False Resolution])</f>
        <v>0</v>
      </c>
      <c r="H175" s="20">
        <f ca="1">SUMIF(Reimbursement_SIMs[[Ops Week]:[Ops Week]], $A175, Reimbursement_SIMs[SLA])</f>
        <v>0</v>
      </c>
      <c r="I175" s="20" t="str">
        <f t="shared" ca="1" si="31"/>
        <v>-</v>
      </c>
      <c r="J175" s="20" t="str">
        <f t="shared" ca="1" si="31"/>
        <v>-</v>
      </c>
      <c r="K175" s="20" t="str">
        <f t="shared" ca="1" si="31"/>
        <v>-</v>
      </c>
    </row>
    <row r="176" spans="1:12" ht="11.25" customHeight="1" thickBot="1" x14ac:dyDescent="0.25">
      <c r="A176" s="64"/>
      <c r="B176" s="24"/>
      <c r="C176" s="24"/>
      <c r="D176" s="24"/>
      <c r="E176" s="24"/>
      <c r="F176" s="24"/>
      <c r="G176" s="24"/>
      <c r="H176" s="24"/>
      <c r="I176" s="23"/>
      <c r="J176" s="53"/>
      <c r="K176" s="20"/>
    </row>
    <row r="177" spans="1:11" ht="11.25" customHeight="1" thickBot="1" x14ac:dyDescent="0.25">
      <c r="A177" s="132" t="s">
        <v>31</v>
      </c>
      <c r="B177" s="133"/>
      <c r="C177" s="133"/>
      <c r="D177" s="133"/>
      <c r="E177" s="133"/>
      <c r="F177" s="133"/>
      <c r="G177" s="133"/>
      <c r="H177" s="133"/>
      <c r="I177" s="133"/>
      <c r="J177" s="133"/>
      <c r="K177" s="134"/>
    </row>
    <row r="178" spans="1:11" ht="11.25" customHeight="1" x14ac:dyDescent="0.2">
      <c r="A178" s="135" t="s">
        <v>5</v>
      </c>
      <c r="B178" s="122" t="s">
        <v>4628</v>
      </c>
      <c r="C178" s="122" t="s">
        <v>4629</v>
      </c>
      <c r="D178" s="122" t="s">
        <v>4630</v>
      </c>
      <c r="E178" s="122" t="s">
        <v>5058</v>
      </c>
      <c r="F178" s="122" t="s">
        <v>4631</v>
      </c>
      <c r="G178" s="122" t="s">
        <v>4632</v>
      </c>
      <c r="H178" s="122" t="s">
        <v>4633</v>
      </c>
      <c r="I178" s="122" t="s">
        <v>4634</v>
      </c>
      <c r="J178" s="122" t="s">
        <v>4635</v>
      </c>
      <c r="K178" s="129" t="s">
        <v>20</v>
      </c>
    </row>
    <row r="179" spans="1:11" ht="11.25" customHeight="1" x14ac:dyDescent="0.2">
      <c r="A179" s="136"/>
      <c r="B179" s="123"/>
      <c r="C179" s="123"/>
      <c r="D179" s="123"/>
      <c r="E179" s="123"/>
      <c r="F179" s="123"/>
      <c r="G179" s="123"/>
      <c r="H179" s="123"/>
      <c r="I179" s="123"/>
      <c r="J179" s="123"/>
      <c r="K179" s="130"/>
    </row>
    <row r="180" spans="1:11" ht="11.25" customHeight="1" thickBot="1" x14ac:dyDescent="0.25">
      <c r="A180" s="137"/>
      <c r="B180" s="124"/>
      <c r="C180" s="124"/>
      <c r="D180" s="124"/>
      <c r="E180" s="124"/>
      <c r="F180" s="124"/>
      <c r="G180" s="124"/>
      <c r="H180" s="124"/>
      <c r="I180" s="124"/>
      <c r="J180" s="124"/>
      <c r="K180" s="131"/>
    </row>
    <row r="181" spans="1:11" ht="11.25" customHeight="1" thickBot="1" x14ac:dyDescent="0.25">
      <c r="A181" s="63">
        <f ca="1">Reimbursement_Date - 6</f>
        <v>45630</v>
      </c>
      <c r="B181" s="20">
        <f ca="1">COUNTIF(Reimbursement_SIMs[Ops Date], $A181)</f>
        <v>0</v>
      </c>
      <c r="C181" s="20">
        <f ca="1">SUMIF(Reimbursement_SIMs[[Ops Date]:[Ops Date]], $A181, Reimbursement_SIMs[Miss])</f>
        <v>0</v>
      </c>
      <c r="D181" s="20">
        <f ca="1">SUMIF(Reimbursement_SIMs[[Ops Date]:[Ops Date]], $A181, Reimbursement_SIMs[CI])</f>
        <v>0</v>
      </c>
      <c r="E181" s="20">
        <f ca="1">SUMIF(Reimbursement_SIMs[[Ops Date]:[Ops Date]], $A181, Reimbursement_SIMs[NCI])</f>
        <v>0</v>
      </c>
      <c r="F181" s="20">
        <f ca="1">SUMIF(Reimbursement_SIMs[[Ops Date]:[Ops Date]], $A181, Reimbursement_SIMs[Operator Follow-up])</f>
        <v>0</v>
      </c>
      <c r="G181" s="20">
        <f ca="1">SUMIF(Reimbursement_SIMs[[Ops Date]:[Ops Date]], $A181, Reimbursement_SIMs[False Resolution])</f>
        <v>0</v>
      </c>
      <c r="H181" s="20">
        <f ca="1">SUMIF(Reimbursement_SIMs[[Ops Date]:[Ops Date]], $A181, Reimbursement_SIMs[SLA])</f>
        <v>0</v>
      </c>
      <c r="I181" s="20" t="str">
        <f t="shared" ref="I181:K187" ca="1" si="32">IFERROR(
 1000000*C181/$B181,
 "-"
)</f>
        <v>-</v>
      </c>
      <c r="J181" s="20" t="str">
        <f t="shared" ca="1" si="32"/>
        <v>-</v>
      </c>
      <c r="K181" s="20" t="str">
        <f t="shared" ca="1" si="32"/>
        <v>-</v>
      </c>
    </row>
    <row r="182" spans="1:11" ht="11.25" customHeight="1" thickBot="1" x14ac:dyDescent="0.25">
      <c r="A182" s="63">
        <f ca="1">Reimbursement_Date - 5</f>
        <v>45631</v>
      </c>
      <c r="B182" s="20">
        <f ca="1">COUNTIF(Reimbursement_SIMs[Ops Date], $A182)</f>
        <v>0</v>
      </c>
      <c r="C182" s="20">
        <f ca="1">SUMIF(Reimbursement_SIMs[[Ops Date]:[Ops Date]], $A182, Reimbursement_SIMs[Miss])</f>
        <v>0</v>
      </c>
      <c r="D182" s="20">
        <f ca="1">SUMIF(Reimbursement_SIMs[[Ops Date]:[Ops Date]], $A182, Reimbursement_SIMs[CI])</f>
        <v>0</v>
      </c>
      <c r="E182" s="20">
        <f ca="1">SUMIF(Reimbursement_SIMs[[Ops Date]:[Ops Date]], $A182, Reimbursement_SIMs[NCI])</f>
        <v>0</v>
      </c>
      <c r="F182" s="20">
        <f ca="1">SUMIF(Reimbursement_SIMs[[Ops Date]:[Ops Date]], $A182, Reimbursement_SIMs[Operator Follow-up])</f>
        <v>0</v>
      </c>
      <c r="G182" s="20">
        <f ca="1">SUMIF(Reimbursement_SIMs[[Ops Date]:[Ops Date]], $A182, Reimbursement_SIMs[False Resolution])</f>
        <v>0</v>
      </c>
      <c r="H182" s="20">
        <f ca="1">SUMIF(Reimbursement_SIMs[[Ops Date]:[Ops Date]], $A182, Reimbursement_SIMs[SLA])</f>
        <v>0</v>
      </c>
      <c r="I182" s="20" t="str">
        <f t="shared" ca="1" si="32"/>
        <v>-</v>
      </c>
      <c r="J182" s="20" t="str">
        <f t="shared" ca="1" si="32"/>
        <v>-</v>
      </c>
      <c r="K182" s="20" t="str">
        <f t="shared" ca="1" si="32"/>
        <v>-</v>
      </c>
    </row>
    <row r="183" spans="1:11" ht="11.25" customHeight="1" thickBot="1" x14ac:dyDescent="0.25">
      <c r="A183" s="63">
        <f ca="1">Reimbursement_Date - 4</f>
        <v>45632</v>
      </c>
      <c r="B183" s="20">
        <f ca="1">COUNTIF(Reimbursement_SIMs[Ops Date], $A183)</f>
        <v>0</v>
      </c>
      <c r="C183" s="20">
        <f ca="1">SUMIF(Reimbursement_SIMs[[Ops Date]:[Ops Date]], $A183, Reimbursement_SIMs[Miss])</f>
        <v>0</v>
      </c>
      <c r="D183" s="20">
        <f ca="1">SUMIF(Reimbursement_SIMs[[Ops Date]:[Ops Date]], $A183, Reimbursement_SIMs[CI])</f>
        <v>0</v>
      </c>
      <c r="E183" s="20">
        <f ca="1">SUMIF(Reimbursement_SIMs[[Ops Date]:[Ops Date]], $A183, Reimbursement_SIMs[NCI])</f>
        <v>0</v>
      </c>
      <c r="F183" s="20">
        <f ca="1">SUMIF(Reimbursement_SIMs[[Ops Date]:[Ops Date]], $A183, Reimbursement_SIMs[Operator Follow-up])</f>
        <v>0</v>
      </c>
      <c r="G183" s="20">
        <f ca="1">SUMIF(Reimbursement_SIMs[[Ops Date]:[Ops Date]], $A183, Reimbursement_SIMs[False Resolution])</f>
        <v>0</v>
      </c>
      <c r="H183" s="20">
        <f ca="1">SUMIF(Reimbursement_SIMs[[Ops Date]:[Ops Date]], $A183, Reimbursement_SIMs[SLA])</f>
        <v>0</v>
      </c>
      <c r="I183" s="20" t="str">
        <f t="shared" ca="1" si="32"/>
        <v>-</v>
      </c>
      <c r="J183" s="20" t="str">
        <f t="shared" ca="1" si="32"/>
        <v>-</v>
      </c>
      <c r="K183" s="20" t="str">
        <f t="shared" ca="1" si="32"/>
        <v>-</v>
      </c>
    </row>
    <row r="184" spans="1:11" ht="11.25" customHeight="1" thickBot="1" x14ac:dyDescent="0.25">
      <c r="A184" s="63">
        <f ca="1">Reimbursement_Date - 3</f>
        <v>45633</v>
      </c>
      <c r="B184" s="20">
        <f ca="1">COUNTIF(Reimbursement_SIMs[Ops Date], $A184)</f>
        <v>0</v>
      </c>
      <c r="C184" s="20">
        <f ca="1">SUMIF(Reimbursement_SIMs[[Ops Date]:[Ops Date]], $A184, Reimbursement_SIMs[Miss])</f>
        <v>0</v>
      </c>
      <c r="D184" s="20">
        <f ca="1">SUMIF(Reimbursement_SIMs[[Ops Date]:[Ops Date]], $A184, Reimbursement_SIMs[CI])</f>
        <v>0</v>
      </c>
      <c r="E184" s="20">
        <f ca="1">SUMIF(Reimbursement_SIMs[[Ops Date]:[Ops Date]], $A184, Reimbursement_SIMs[NCI])</f>
        <v>0</v>
      </c>
      <c r="F184" s="20">
        <f ca="1">SUMIF(Reimbursement_SIMs[[Ops Date]:[Ops Date]], $A184, Reimbursement_SIMs[Operator Follow-up])</f>
        <v>0</v>
      </c>
      <c r="G184" s="20">
        <f ca="1">SUMIF(Reimbursement_SIMs[[Ops Date]:[Ops Date]], $A184, Reimbursement_SIMs[False Resolution])</f>
        <v>0</v>
      </c>
      <c r="H184" s="20">
        <f ca="1">SUMIF(Reimbursement_SIMs[[Ops Date]:[Ops Date]], $A184, Reimbursement_SIMs[SLA])</f>
        <v>0</v>
      </c>
      <c r="I184" s="20" t="str">
        <f t="shared" ca="1" si="32"/>
        <v>-</v>
      </c>
      <c r="J184" s="20" t="str">
        <f t="shared" ca="1" si="32"/>
        <v>-</v>
      </c>
      <c r="K184" s="20" t="str">
        <f t="shared" ca="1" si="32"/>
        <v>-</v>
      </c>
    </row>
    <row r="185" spans="1:11" ht="11.25" customHeight="1" thickBot="1" x14ac:dyDescent="0.25">
      <c r="A185" s="63">
        <f ca="1">Reimbursement_Date - 2</f>
        <v>45634</v>
      </c>
      <c r="B185" s="20">
        <f ca="1">COUNTIF(Reimbursement_SIMs[Ops Date], $A185)</f>
        <v>0</v>
      </c>
      <c r="C185" s="20">
        <f ca="1">SUMIF(Reimbursement_SIMs[[Ops Date]:[Ops Date]], $A185, Reimbursement_SIMs[Miss])</f>
        <v>0</v>
      </c>
      <c r="D185" s="20">
        <f ca="1">SUMIF(Reimbursement_SIMs[[Ops Date]:[Ops Date]], $A185, Reimbursement_SIMs[CI])</f>
        <v>0</v>
      </c>
      <c r="E185" s="20">
        <f ca="1">SUMIF(Reimbursement_SIMs[[Ops Date]:[Ops Date]], $A185, Reimbursement_SIMs[NCI])</f>
        <v>0</v>
      </c>
      <c r="F185" s="20">
        <f ca="1">SUMIF(Reimbursement_SIMs[[Ops Date]:[Ops Date]], $A185, Reimbursement_SIMs[Operator Follow-up])</f>
        <v>0</v>
      </c>
      <c r="G185" s="20">
        <f ca="1">SUMIF(Reimbursement_SIMs[[Ops Date]:[Ops Date]], $A185, Reimbursement_SIMs[False Resolution])</f>
        <v>0</v>
      </c>
      <c r="H185" s="20">
        <f ca="1">SUMIF(Reimbursement_SIMs[[Ops Date]:[Ops Date]], $A185, Reimbursement_SIMs[SLA])</f>
        <v>0</v>
      </c>
      <c r="I185" s="20" t="str">
        <f t="shared" ca="1" si="32"/>
        <v>-</v>
      </c>
      <c r="J185" s="20" t="str">
        <f t="shared" ca="1" si="32"/>
        <v>-</v>
      </c>
      <c r="K185" s="20" t="str">
        <f t="shared" ca="1" si="32"/>
        <v>-</v>
      </c>
    </row>
    <row r="186" spans="1:11" ht="11.25" customHeight="1" thickBot="1" x14ac:dyDescent="0.25">
      <c r="A186" s="63">
        <f ca="1">Reimbursement_Date - 1</f>
        <v>45635</v>
      </c>
      <c r="B186" s="20">
        <f ca="1">COUNTIF(Reimbursement_SIMs[Ops Date], $A186)</f>
        <v>0</v>
      </c>
      <c r="C186" s="20">
        <f ca="1">SUMIF(Reimbursement_SIMs[[Ops Date]:[Ops Date]], $A186, Reimbursement_SIMs[Miss])</f>
        <v>0</v>
      </c>
      <c r="D186" s="20">
        <f ca="1">SUMIF(Reimbursement_SIMs[[Ops Date]:[Ops Date]], $A186, Reimbursement_SIMs[CI])</f>
        <v>0</v>
      </c>
      <c r="E186" s="20">
        <f ca="1">SUMIF(Reimbursement_SIMs[[Ops Date]:[Ops Date]], $A186, Reimbursement_SIMs[NCI])</f>
        <v>0</v>
      </c>
      <c r="F186" s="20">
        <f ca="1">SUMIF(Reimbursement_SIMs[[Ops Date]:[Ops Date]], $A186, Reimbursement_SIMs[Operator Follow-up])</f>
        <v>0</v>
      </c>
      <c r="G186" s="20">
        <f ca="1">SUMIF(Reimbursement_SIMs[[Ops Date]:[Ops Date]], $A186, Reimbursement_SIMs[False Resolution])</f>
        <v>0</v>
      </c>
      <c r="H186" s="20">
        <f ca="1">SUMIF(Reimbursement_SIMs[[Ops Date]:[Ops Date]], $A186, Reimbursement_SIMs[SLA])</f>
        <v>0</v>
      </c>
      <c r="I186" s="20" t="str">
        <f t="shared" ca="1" si="32"/>
        <v>-</v>
      </c>
      <c r="J186" s="20" t="str">
        <f t="shared" ca="1" si="32"/>
        <v>-</v>
      </c>
      <c r="K186" s="20" t="str">
        <f t="shared" ca="1" si="32"/>
        <v>-</v>
      </c>
    </row>
    <row r="187" spans="1:11" ht="11.25" customHeight="1" thickBot="1" x14ac:dyDescent="0.25">
      <c r="A187" s="63">
        <f ca="1">Reimbursement_Date</f>
        <v>45636</v>
      </c>
      <c r="B187" s="20">
        <f ca="1">COUNTIF(Reimbursement_SIMs[Ops Date], $A187)</f>
        <v>0</v>
      </c>
      <c r="C187" s="20">
        <f ca="1">SUMIF(Reimbursement_SIMs[[Ops Date]:[Ops Date]], $A187, Reimbursement_SIMs[Miss])</f>
        <v>0</v>
      </c>
      <c r="D187" s="20">
        <f ca="1">SUMIF(Reimbursement_SIMs[[Ops Date]:[Ops Date]], $A187, Reimbursement_SIMs[CI])</f>
        <v>0</v>
      </c>
      <c r="E187" s="20">
        <f ca="1">SUMIF(Reimbursement_SIMs[[Ops Date]:[Ops Date]], $A187, Reimbursement_SIMs[NCI])</f>
        <v>0</v>
      </c>
      <c r="F187" s="20">
        <f ca="1">SUMIF(Reimbursement_SIMs[[Ops Date]:[Ops Date]], $A187, Reimbursement_SIMs[Operator Follow-up])</f>
        <v>0</v>
      </c>
      <c r="G187" s="20">
        <f ca="1">SUMIF(Reimbursement_SIMs[[Ops Date]:[Ops Date]], $A187, Reimbursement_SIMs[False Resolution])</f>
        <v>0</v>
      </c>
      <c r="H187" s="20">
        <f ca="1">SUMIF(Reimbursement_SIMs[[Ops Date]:[Ops Date]], $A187, Reimbursement_SIMs[SLA])</f>
        <v>0</v>
      </c>
      <c r="I187" s="20" t="str">
        <f t="shared" ca="1" si="32"/>
        <v>-</v>
      </c>
      <c r="J187" s="20" t="str">
        <f t="shared" ca="1" si="32"/>
        <v>-</v>
      </c>
      <c r="K187" s="20" t="str">
        <f t="shared" ca="1" si="32"/>
        <v>-</v>
      </c>
    </row>
    <row r="188" spans="1:11" ht="11.25" customHeight="1" thickBot="1" x14ac:dyDescent="0.25">
      <c r="A188" s="65"/>
      <c r="B188" s="24"/>
      <c r="C188" s="24"/>
      <c r="D188" s="24"/>
      <c r="E188" s="24"/>
      <c r="F188" s="24"/>
      <c r="G188" s="24"/>
      <c r="H188" s="24"/>
      <c r="I188" s="23"/>
      <c r="J188" s="53"/>
      <c r="K188" s="20"/>
    </row>
    <row r="189" spans="1:11" ht="11.25" customHeight="1" thickBot="1" x14ac:dyDescent="0.25">
      <c r="A189" s="138" t="s">
        <v>4477</v>
      </c>
      <c r="B189" s="139"/>
      <c r="C189" s="139"/>
      <c r="D189" s="139"/>
      <c r="E189" s="139"/>
      <c r="F189" s="139"/>
      <c r="G189" s="139"/>
      <c r="H189" s="139"/>
      <c r="I189" s="139"/>
      <c r="J189" s="139"/>
      <c r="K189" s="140"/>
    </row>
    <row r="190" spans="1:11" ht="11.25" customHeight="1" thickBot="1" x14ac:dyDescent="0.25">
      <c r="A190" s="125"/>
      <c r="B190" s="126"/>
      <c r="C190" s="126"/>
      <c r="D190" s="127"/>
      <c r="E190" s="141"/>
      <c r="F190" s="142"/>
      <c r="G190" s="142"/>
      <c r="H190" s="142"/>
      <c r="I190" s="142"/>
      <c r="J190" s="142"/>
      <c r="K190" s="143"/>
    </row>
    <row r="191" spans="1:11" ht="11.25" customHeight="1" thickBot="1" x14ac:dyDescent="0.25">
      <c r="A191" s="125"/>
      <c r="B191" s="126"/>
      <c r="C191" s="126"/>
      <c r="D191" s="126"/>
      <c r="E191" s="126"/>
      <c r="F191" s="126"/>
      <c r="G191" s="126"/>
      <c r="H191" s="126"/>
      <c r="I191" s="126"/>
      <c r="J191" s="126"/>
      <c r="K191" s="127"/>
    </row>
    <row r="192" spans="1:11" ht="11.25" customHeight="1" thickBot="1" x14ac:dyDescent="0.25">
      <c r="A192" s="144" t="s">
        <v>4479</v>
      </c>
      <c r="B192" s="145"/>
      <c r="C192" s="145"/>
      <c r="D192" s="145"/>
      <c r="E192" s="145"/>
      <c r="F192" s="145"/>
      <c r="G192" s="145"/>
      <c r="H192" s="145"/>
      <c r="I192" s="145"/>
      <c r="J192" s="145"/>
      <c r="K192" s="146"/>
    </row>
    <row r="193" spans="1:11" ht="11.25" customHeight="1" x14ac:dyDescent="0.2">
      <c r="A193" s="147" t="s">
        <v>4636</v>
      </c>
      <c r="B193" s="122" t="s">
        <v>4628</v>
      </c>
      <c r="C193" s="122" t="s">
        <v>4629</v>
      </c>
      <c r="D193" s="122" t="s">
        <v>4630</v>
      </c>
      <c r="E193" s="122" t="s">
        <v>5058</v>
      </c>
      <c r="F193" s="122" t="s">
        <v>4632</v>
      </c>
      <c r="G193" s="122"/>
      <c r="H193" s="122" t="s">
        <v>4634</v>
      </c>
      <c r="I193" s="122"/>
      <c r="J193" s="122" t="s">
        <v>4635</v>
      </c>
      <c r="K193" s="129" t="s">
        <v>20</v>
      </c>
    </row>
    <row r="194" spans="1:11" ht="11.25" customHeight="1" x14ac:dyDescent="0.2">
      <c r="A194" s="148"/>
      <c r="B194" s="128"/>
      <c r="C194" s="128"/>
      <c r="D194" s="128"/>
      <c r="E194" s="128"/>
      <c r="F194" s="123"/>
      <c r="G194" s="123"/>
      <c r="H194" s="123"/>
      <c r="I194" s="123"/>
      <c r="J194" s="128"/>
      <c r="K194" s="130"/>
    </row>
    <row r="195" spans="1:11" ht="11.25" customHeight="1" thickBot="1" x14ac:dyDescent="0.25">
      <c r="A195" s="149"/>
      <c r="B195" s="124"/>
      <c r="C195" s="124"/>
      <c r="D195" s="124"/>
      <c r="E195" s="124"/>
      <c r="F195" s="124"/>
      <c r="G195" s="124"/>
      <c r="H195" s="124"/>
      <c r="I195" s="124"/>
      <c r="J195" s="124"/>
      <c r="K195" s="131"/>
    </row>
    <row r="196" spans="1:11" ht="11.25" customHeight="1" thickBot="1" x14ac:dyDescent="0.25">
      <c r="A196" s="62">
        <f t="shared" ref="A196:A197" ca="1" si="33">A197-1</f>
        <v>9</v>
      </c>
      <c r="B196" s="20">
        <f ca="1">COUNTIF(FIF_SIMs[Ops Month], A196)</f>
        <v>0</v>
      </c>
      <c r="C196" s="20">
        <f ca="1">SUMIF(FIF_SIMs[[Ops Month]:[Ops Month]], $A196, FIF_SIMs[Miss])</f>
        <v>0</v>
      </c>
      <c r="D196" s="20">
        <f ca="1">SUMIF(FIF_SIMs[[Ops Month]:[Ops Month]], $A196, FIF_SIMs[CI])</f>
        <v>0</v>
      </c>
      <c r="E196" s="20">
        <f ca="1">SUMIF(FIF_SIMs[[Ops Month]:[Ops Month]], $A196, FIF_SIMs[NCI])</f>
        <v>0</v>
      </c>
      <c r="F196" s="120">
        <f ca="1">SUMIF(FIF_SIMs[[Ops Month]:[Ops Month]], $A196, FIF_SIMs[False Resolution])</f>
        <v>0</v>
      </c>
      <c r="G196" s="121"/>
      <c r="H196" s="120" t="str">
        <f ca="1">IFERROR(
 1000000*C196/$B196,
 "-"
)</f>
        <v>-</v>
      </c>
      <c r="I196" s="121"/>
      <c r="J196" s="20" t="str">
        <f t="shared" ref="J196:K199" ca="1" si="34">IFERROR(
 1000000*D196/$B196,
 "-"
)</f>
        <v>-</v>
      </c>
      <c r="K196" s="20" t="str">
        <f t="shared" ca="1" si="34"/>
        <v>-</v>
      </c>
    </row>
    <row r="197" spans="1:11" ht="11.25" customHeight="1" thickBot="1" x14ac:dyDescent="0.25">
      <c r="A197" s="62">
        <f t="shared" ca="1" si="33"/>
        <v>10</v>
      </c>
      <c r="B197" s="20">
        <f ca="1">COUNTIF(FIF_SIMs[Ops Month], A197)</f>
        <v>0</v>
      </c>
      <c r="C197" s="20">
        <f ca="1">SUMIF(FIF_SIMs[[Ops Month]:[Ops Month]], $A197, FIF_SIMs[Miss])</f>
        <v>0</v>
      </c>
      <c r="D197" s="20">
        <f ca="1">SUMIF(FIF_SIMs[[Ops Month]:[Ops Month]], $A197, FIF_SIMs[CI])</f>
        <v>0</v>
      </c>
      <c r="E197" s="20">
        <f ca="1">SUMIF(FIF_SIMs[[Ops Month]:[Ops Month]], $A197, FIF_SIMs[NCI])</f>
        <v>0</v>
      </c>
      <c r="F197" s="120">
        <f ca="1">SUMIF(FIF_SIMs[[Ops Month]:[Ops Month]], $A197, FIF_SIMs[False Resolution])</f>
        <v>0</v>
      </c>
      <c r="G197" s="121"/>
      <c r="H197" s="120" t="str">
        <f ca="1">IFERROR(
 1000000*C197/$B197,
 "-"
)</f>
        <v>-</v>
      </c>
      <c r="I197" s="121"/>
      <c r="J197" s="20" t="str">
        <f t="shared" ca="1" si="34"/>
        <v>-</v>
      </c>
      <c r="K197" s="20" t="str">
        <f t="shared" ca="1" si="34"/>
        <v>-</v>
      </c>
    </row>
    <row r="198" spans="1:11" ht="11.25" customHeight="1" thickBot="1" x14ac:dyDescent="0.25">
      <c r="A198" s="62">
        <f ca="1">A199-1</f>
        <v>11</v>
      </c>
      <c r="B198" s="20">
        <f ca="1">COUNTIF(FIF_SIMs[Ops Month], A198)</f>
        <v>0</v>
      </c>
      <c r="C198" s="20">
        <f ca="1">SUMIF(FIF_SIMs[[Ops Month]:[Ops Month]], $A198, FIF_SIMs[Miss])</f>
        <v>0</v>
      </c>
      <c r="D198" s="20">
        <f ca="1">SUMIF(FIF_SIMs[[Ops Month]:[Ops Month]], $A198, FIF_SIMs[CI])</f>
        <v>0</v>
      </c>
      <c r="E198" s="20">
        <f ca="1">SUMIF(FIF_SIMs[[Ops Month]:[Ops Month]], $A198, FIF_SIMs[NCI])</f>
        <v>0</v>
      </c>
      <c r="F198" s="120">
        <f ca="1">SUMIF(FIF_SIMs[[Ops Month]:[Ops Month]], $A198, FIF_SIMs[False Resolution])</f>
        <v>0</v>
      </c>
      <c r="G198" s="121"/>
      <c r="H198" s="120" t="str">
        <f ca="1">IFERROR(
 1000000*C198/$B198,
 "-"
)</f>
        <v>-</v>
      </c>
      <c r="I198" s="121"/>
      <c r="J198" s="20" t="str">
        <f t="shared" ca="1" si="34"/>
        <v>-</v>
      </c>
      <c r="K198" s="20" t="str">
        <f t="shared" ca="1" si="34"/>
        <v>-</v>
      </c>
    </row>
    <row r="199" spans="1:11" ht="11.25" customHeight="1" thickBot="1" x14ac:dyDescent="0.25">
      <c r="A199" s="62">
        <f ca="1">_xlfn.LET(_xlpm.dateValue, FIF_Date, MONTH(_xlpm.dateValue))</f>
        <v>12</v>
      </c>
      <c r="B199" s="20">
        <f ca="1">COUNTIF(FIF_SIMs[Ops Month], A199)</f>
        <v>0</v>
      </c>
      <c r="C199" s="20">
        <f ca="1">SUMIF(FIF_SIMs[[Ops Month]:[Ops Month]], $A199, FIF_SIMs[Miss])</f>
        <v>0</v>
      </c>
      <c r="D199" s="20">
        <f ca="1">SUMIF(FIF_SIMs[[Ops Month]:[Ops Month]], $A199, FIF_SIMs[CI])</f>
        <v>0</v>
      </c>
      <c r="E199" s="20">
        <f ca="1">SUMIF(FIF_SIMs[[Ops Month]:[Ops Month]], $A199, FIF_SIMs[NCI])</f>
        <v>0</v>
      </c>
      <c r="F199" s="120">
        <f ca="1">SUMIF(FIF_SIMs[[Ops Month]:[Ops Month]], $A199, FIF_SIMs[False Resolution])</f>
        <v>0</v>
      </c>
      <c r="G199" s="121"/>
      <c r="H199" s="120" t="str">
        <f ca="1">IFERROR(
 1000000*C199/$B199,
 "-"
)</f>
        <v>-</v>
      </c>
      <c r="I199" s="121"/>
      <c r="J199" s="20" t="str">
        <f t="shared" ca="1" si="34"/>
        <v>-</v>
      </c>
      <c r="K199" s="20" t="str">
        <f t="shared" ca="1" si="34"/>
        <v>-</v>
      </c>
    </row>
    <row r="200" spans="1:11" ht="11.25" customHeight="1" thickBot="1" x14ac:dyDescent="0.25">
      <c r="A200" s="64"/>
      <c r="B200" s="24"/>
      <c r="C200" s="24"/>
      <c r="D200" s="24"/>
      <c r="E200" s="24"/>
      <c r="F200" s="24"/>
      <c r="G200" s="24"/>
      <c r="H200" s="24"/>
      <c r="I200" s="23"/>
      <c r="J200" s="53"/>
      <c r="K200" s="20"/>
    </row>
    <row r="201" spans="1:11" ht="11.25" customHeight="1" thickBot="1" x14ac:dyDescent="0.25">
      <c r="A201" s="132" t="s">
        <v>1738</v>
      </c>
      <c r="B201" s="133"/>
      <c r="C201" s="133"/>
      <c r="D201" s="133"/>
      <c r="E201" s="133"/>
      <c r="F201" s="133"/>
      <c r="G201" s="133"/>
      <c r="H201" s="133"/>
      <c r="I201" s="133"/>
      <c r="J201" s="133"/>
      <c r="K201" s="134"/>
    </row>
    <row r="202" spans="1:11" ht="11.25" customHeight="1" x14ac:dyDescent="0.2">
      <c r="A202" s="135" t="s">
        <v>4627</v>
      </c>
      <c r="B202" s="122" t="s">
        <v>4628</v>
      </c>
      <c r="C202" s="122" t="s">
        <v>4629</v>
      </c>
      <c r="D202" s="122" t="s">
        <v>4630</v>
      </c>
      <c r="E202" s="122" t="s">
        <v>5058</v>
      </c>
      <c r="F202" s="122" t="s">
        <v>4632</v>
      </c>
      <c r="G202" s="122"/>
      <c r="H202" s="122" t="s">
        <v>4634</v>
      </c>
      <c r="I202" s="122"/>
      <c r="J202" s="122" t="s">
        <v>4635</v>
      </c>
      <c r="K202" s="129" t="s">
        <v>20</v>
      </c>
    </row>
    <row r="203" spans="1:11" ht="11.25" customHeight="1" x14ac:dyDescent="0.2">
      <c r="A203" s="136"/>
      <c r="B203" s="123"/>
      <c r="C203" s="123"/>
      <c r="D203" s="123"/>
      <c r="E203" s="123"/>
      <c r="F203" s="123"/>
      <c r="G203" s="123"/>
      <c r="H203" s="123"/>
      <c r="I203" s="123"/>
      <c r="J203" s="123"/>
      <c r="K203" s="130"/>
    </row>
    <row r="204" spans="1:11" ht="11.25" customHeight="1" thickBot="1" x14ac:dyDescent="0.25">
      <c r="A204" s="137"/>
      <c r="B204" s="124"/>
      <c r="C204" s="124"/>
      <c r="D204" s="124"/>
      <c r="E204" s="124"/>
      <c r="F204" s="124"/>
      <c r="G204" s="124"/>
      <c r="H204" s="124"/>
      <c r="I204" s="124"/>
      <c r="J204" s="124"/>
      <c r="K204" s="131"/>
    </row>
    <row r="205" spans="1:11" ht="11.25" customHeight="1" thickBot="1" x14ac:dyDescent="0.25">
      <c r="A205" s="76">
        <f ca="1">WEEKNUM(TEXT(FIF_Date, "MM-DD-YYYY"), 1) - 3</f>
        <v>47</v>
      </c>
      <c r="B205" s="20">
        <f ca="1">COUNTIF(FIF_SIMs[Ops Week], $A205)</f>
        <v>0</v>
      </c>
      <c r="C205" s="20">
        <f ca="1">SUMIF(FIF_SIMs[[Ops Week]:[Ops Week]], $A205, FIF_SIMs[Miss])</f>
        <v>0</v>
      </c>
      <c r="D205" s="20">
        <f ca="1">SUMIF(FIF_SIMs[[Ops Week]:[Ops Week]], $A205, FIF_SIMs[CI])</f>
        <v>0</v>
      </c>
      <c r="E205" s="20">
        <f ca="1">SUMIF(FIF_SIMs[[Ops Week]:[Ops Week]], $A205, FIF_SIMs[NCI])</f>
        <v>0</v>
      </c>
      <c r="F205" s="120">
        <f ca="1">SUMIF(FIF_SIMs[[Ops Week]:[Ops Week]], $A205, FIF_SIMs[False Resolution])</f>
        <v>0</v>
      </c>
      <c r="G205" s="121"/>
      <c r="H205" s="120" t="str">
        <f ca="1">IFERROR(
 1000000*C205/$B205,
 "-"
)</f>
        <v>-</v>
      </c>
      <c r="I205" s="121"/>
      <c r="J205" s="20" t="str">
        <f t="shared" ref="J205:K208" ca="1" si="35">IFERROR(
 1000000*D205/$B205,
 "-"
)</f>
        <v>-</v>
      </c>
      <c r="K205" s="20" t="str">
        <f t="shared" ca="1" si="35"/>
        <v>-</v>
      </c>
    </row>
    <row r="206" spans="1:11" ht="11.25" customHeight="1" thickBot="1" x14ac:dyDescent="0.25">
      <c r="A206" s="76">
        <f ca="1">WEEKNUM(TEXT(FIF_Date, "MM-DD-YYYY"), 1) - 2</f>
        <v>48</v>
      </c>
      <c r="B206" s="20">
        <f ca="1">COUNTIF(FIF_SIMs[Ops Week], $A206)</f>
        <v>0</v>
      </c>
      <c r="C206" s="20">
        <f ca="1">SUMIF(FIF_SIMs[[Ops Week]:[Ops Week]], $A206, FIF_SIMs[Miss])</f>
        <v>0</v>
      </c>
      <c r="D206" s="20">
        <f ca="1">SUMIF(FIF_SIMs[[Ops Week]:[Ops Week]], $A206, FIF_SIMs[CI])</f>
        <v>0</v>
      </c>
      <c r="E206" s="20">
        <f ca="1">SUMIF(FIF_SIMs[[Ops Week]:[Ops Week]], $A206, FIF_SIMs[NCI])</f>
        <v>0</v>
      </c>
      <c r="F206" s="120">
        <f ca="1">SUMIF(FIF_SIMs[[Ops Week]:[Ops Week]], $A206, FIF_SIMs[False Resolution])</f>
        <v>0</v>
      </c>
      <c r="G206" s="121"/>
      <c r="H206" s="120" t="str">
        <f ca="1">IFERROR(
 1000000*C206/$B206,
 "-"
)</f>
        <v>-</v>
      </c>
      <c r="I206" s="121"/>
      <c r="J206" s="20" t="str">
        <f t="shared" ca="1" si="35"/>
        <v>-</v>
      </c>
      <c r="K206" s="20" t="str">
        <f t="shared" ca="1" si="35"/>
        <v>-</v>
      </c>
    </row>
    <row r="207" spans="1:11" ht="11.25" customHeight="1" thickBot="1" x14ac:dyDescent="0.25">
      <c r="A207" s="76">
        <f ca="1">WEEKNUM(TEXT(FIF_Date, "MM-DD-YYYY"), 1) - 1</f>
        <v>49</v>
      </c>
      <c r="B207" s="20">
        <f ca="1">COUNTIF(FIF_SIMs[Ops Week], $A207)</f>
        <v>0</v>
      </c>
      <c r="C207" s="20">
        <f ca="1">SUMIF(FIF_SIMs[[Ops Week]:[Ops Week]], $A207, FIF_SIMs[Miss])</f>
        <v>0</v>
      </c>
      <c r="D207" s="20">
        <f ca="1">SUMIF(FIF_SIMs[[Ops Week]:[Ops Week]], $A207, FIF_SIMs[CI])</f>
        <v>0</v>
      </c>
      <c r="E207" s="20">
        <f ca="1">SUMIF(FIF_SIMs[[Ops Week]:[Ops Week]], $A207, FIF_SIMs[NCI])</f>
        <v>0</v>
      </c>
      <c r="F207" s="120">
        <f ca="1">SUMIF(FIF_SIMs[[Ops Week]:[Ops Week]], $A207, FIF_SIMs[False Resolution])</f>
        <v>0</v>
      </c>
      <c r="G207" s="121"/>
      <c r="H207" s="120" t="str">
        <f ca="1">IFERROR(
 1000000*C207/$B207,
 "-"
)</f>
        <v>-</v>
      </c>
      <c r="I207" s="121"/>
      <c r="J207" s="20" t="str">
        <f t="shared" ca="1" si="35"/>
        <v>-</v>
      </c>
      <c r="K207" s="20" t="str">
        <f t="shared" ca="1" si="35"/>
        <v>-</v>
      </c>
    </row>
    <row r="208" spans="1:11" ht="11.25" customHeight="1" thickBot="1" x14ac:dyDescent="0.25">
      <c r="A208" s="76">
        <f ca="1">WEEKNUM(TEXT(FIF_Date, "MM-DD-YYYY"), 1)</f>
        <v>50</v>
      </c>
      <c r="B208" s="20">
        <f ca="1">COUNTIF(FIF_SIMs[Ops Week], $A208)</f>
        <v>0</v>
      </c>
      <c r="C208" s="20">
        <f ca="1">SUMIF(FIF_SIMs[[Ops Week]:[Ops Week]], $A208, FIF_SIMs[Miss])</f>
        <v>0</v>
      </c>
      <c r="D208" s="20">
        <f ca="1">SUMIF(FIF_SIMs[[Ops Week]:[Ops Week]], $A208, FIF_SIMs[CI])</f>
        <v>0</v>
      </c>
      <c r="E208" s="20">
        <f ca="1">SUMIF(FIF_SIMs[[Ops Week]:[Ops Week]], $A208, FIF_SIMs[NCI])</f>
        <v>0</v>
      </c>
      <c r="F208" s="120">
        <f ca="1">SUMIF(FIF_SIMs[[Ops Week]:[Ops Week]], $A208, FIF_SIMs[False Resolution])</f>
        <v>0</v>
      </c>
      <c r="G208" s="121"/>
      <c r="H208" s="120" t="str">
        <f ca="1">IFERROR(
 1000000*C208/$B208,
 "-"
)</f>
        <v>-</v>
      </c>
      <c r="I208" s="121"/>
      <c r="J208" s="20" t="str">
        <f t="shared" ca="1" si="35"/>
        <v>-</v>
      </c>
      <c r="K208" s="20" t="str">
        <f t="shared" ca="1" si="35"/>
        <v>-</v>
      </c>
    </row>
    <row r="209" spans="1:11" ht="11.25" customHeight="1" thickBot="1" x14ac:dyDescent="0.25">
      <c r="A209" s="65"/>
      <c r="B209" s="24"/>
      <c r="C209" s="24"/>
      <c r="D209" s="24"/>
      <c r="E209" s="24"/>
      <c r="F209" s="24"/>
      <c r="G209" s="24"/>
      <c r="H209" s="24"/>
      <c r="I209" s="23"/>
      <c r="J209" s="53"/>
      <c r="K209" s="20"/>
    </row>
    <row r="210" spans="1:11" ht="11.25" customHeight="1" thickBot="1" x14ac:dyDescent="0.25">
      <c r="A210" s="138" t="s">
        <v>4471</v>
      </c>
      <c r="B210" s="139"/>
      <c r="C210" s="139"/>
      <c r="D210" s="139"/>
      <c r="E210" s="139"/>
      <c r="F210" s="139"/>
      <c r="G210" s="139"/>
      <c r="H210" s="139"/>
      <c r="I210" s="139"/>
      <c r="J210" s="139"/>
      <c r="K210" s="140"/>
    </row>
    <row r="211" spans="1:11" ht="11.25" customHeight="1" thickBot="1" x14ac:dyDescent="0.25">
      <c r="A211" s="125"/>
      <c r="B211" s="126"/>
      <c r="C211" s="126"/>
      <c r="D211" s="127"/>
      <c r="E211" s="141"/>
      <c r="F211" s="142"/>
      <c r="G211" s="142"/>
      <c r="H211" s="142"/>
      <c r="I211" s="142"/>
      <c r="J211" s="142"/>
      <c r="K211" s="143"/>
    </row>
    <row r="212" spans="1:11" ht="11.25" customHeight="1" thickBot="1" x14ac:dyDescent="0.25">
      <c r="A212" s="125"/>
      <c r="B212" s="126"/>
      <c r="C212" s="126"/>
      <c r="D212" s="126"/>
      <c r="E212" s="126"/>
      <c r="F212" s="126"/>
      <c r="G212" s="126"/>
      <c r="H212" s="126"/>
      <c r="I212" s="126"/>
      <c r="J212" s="126"/>
      <c r="K212" s="127"/>
    </row>
    <row r="213" spans="1:11" ht="11.25" customHeight="1" thickBot="1" x14ac:dyDescent="0.25">
      <c r="A213" s="144" t="s">
        <v>4478</v>
      </c>
      <c r="B213" s="145"/>
      <c r="C213" s="145"/>
      <c r="D213" s="145"/>
      <c r="E213" s="145"/>
      <c r="F213" s="145"/>
      <c r="G213" s="145"/>
      <c r="H213" s="145"/>
      <c r="I213" s="145"/>
      <c r="J213" s="145"/>
      <c r="K213" s="146"/>
    </row>
    <row r="214" spans="1:11" ht="11.25" customHeight="1" x14ac:dyDescent="0.2">
      <c r="A214" s="147" t="s">
        <v>4627</v>
      </c>
      <c r="B214" s="122" t="s">
        <v>4628</v>
      </c>
      <c r="C214" s="122" t="s">
        <v>4629</v>
      </c>
      <c r="D214" s="122" t="s">
        <v>4630</v>
      </c>
      <c r="E214" s="122" t="s">
        <v>5058</v>
      </c>
      <c r="F214" s="122" t="s">
        <v>4631</v>
      </c>
      <c r="G214" s="122" t="s">
        <v>4632</v>
      </c>
      <c r="H214" s="122" t="s">
        <v>4633</v>
      </c>
      <c r="I214" s="122" t="s">
        <v>4634</v>
      </c>
      <c r="J214" s="122" t="s">
        <v>4635</v>
      </c>
      <c r="K214" s="129" t="s">
        <v>20</v>
      </c>
    </row>
    <row r="215" spans="1:11" ht="11.25" customHeight="1" x14ac:dyDescent="0.2">
      <c r="A215" s="148"/>
      <c r="B215" s="128"/>
      <c r="C215" s="128"/>
      <c r="D215" s="128"/>
      <c r="E215" s="128"/>
      <c r="F215" s="123"/>
      <c r="G215" s="123"/>
      <c r="H215" s="128"/>
      <c r="I215" s="128"/>
      <c r="J215" s="128"/>
      <c r="K215" s="130"/>
    </row>
    <row r="216" spans="1:11" ht="11.25" customHeight="1" thickBot="1" x14ac:dyDescent="0.25">
      <c r="A216" s="149"/>
      <c r="B216" s="124"/>
      <c r="C216" s="124"/>
      <c r="D216" s="124"/>
      <c r="E216" s="124"/>
      <c r="F216" s="124"/>
      <c r="G216" s="124"/>
      <c r="H216" s="124"/>
      <c r="I216" s="124"/>
      <c r="J216" s="124"/>
      <c r="K216" s="131"/>
    </row>
    <row r="217" spans="1:11" ht="11.25" customHeight="1" thickBot="1" x14ac:dyDescent="0.25">
      <c r="A217" s="62" cm="1">
        <f t="array" aca="1" ref="A217" ca="1">_xlfn.LET(_xlpm.weekNum, WEEKNUM(SWA_Paragon_Date - 21),
IF(_xlpm.weekNum &gt; 52, 1, _xlpm.weekNum))</f>
        <v>47</v>
      </c>
      <c r="B217" s="20">
        <f ca="1">COUNTIF(SWA_Paragon_SIMs[Ops Week], A217)</f>
        <v>0</v>
      </c>
      <c r="C217" s="20">
        <f ca="1">SUMIF(SWA_Paragon_SIMs[[Ops Week]:[Ops Week]], $A217, SWA_Paragon_SIMs[Miss])</f>
        <v>0</v>
      </c>
      <c r="D217" s="20">
        <f ca="1">SUMIF(SWA_Paragon_SIMs[[Ops Week]:[Ops Week]], $A217, SWA_Paragon_SIMs[CI])</f>
        <v>0</v>
      </c>
      <c r="E217" s="20">
        <f ca="1">SUMIF(SWA_Paragon_SIMs[[Ops Week]:[Ops Week]], $A217, SWA_Paragon_SIMs[NCI])</f>
        <v>0</v>
      </c>
      <c r="F217" s="20">
        <f ca="1">SUMIF(SWA_Paragon_SIMs[[Ops Week]:[Ops Week]], $A217, SWA_Paragon_SIMs[Operator Follow-up])</f>
        <v>0</v>
      </c>
      <c r="G217" s="20">
        <f ca="1">SUMIF(SWA_Paragon_SIMs[[Ops Week]:[Ops Week]], $A217, SWA_Paragon_SIMs[False Resolution])</f>
        <v>0</v>
      </c>
      <c r="H217" s="20">
        <f ca="1">SUMIF(SWA_Paragon_SIMs[[Ops Week]:[Ops Week]], $A217, SWA_Paragon_SIMs[SLA])</f>
        <v>0</v>
      </c>
      <c r="I217" s="20" t="str">
        <f t="shared" ref="I217:I220" ca="1" si="36">IFERROR(
 1000000*C217/$B217,
 "-"
)</f>
        <v>-</v>
      </c>
      <c r="J217" s="20" t="str">
        <f t="shared" ref="J217:J220" ca="1" si="37">IFERROR(
 1000000*D217/$B217,
 "-"
)</f>
        <v>-</v>
      </c>
      <c r="K217" s="20" t="str">
        <f t="shared" ref="K217:K220" ca="1" si="38">IFERROR(
 1000000*E217/$B217,
 "-"
)</f>
        <v>-</v>
      </c>
    </row>
    <row r="218" spans="1:11" ht="11.25" customHeight="1" thickBot="1" x14ac:dyDescent="0.25">
      <c r="A218" s="62">
        <f ca="1">_xlfn.LET(_xlpm.weekNum, WEEKNUM(SWA_Paragon_Date - 14),
IF(_xlpm.weekNum &gt; 52, 1, _xlpm.weekNum))</f>
        <v>48</v>
      </c>
      <c r="B218" s="20">
        <f ca="1">COUNTIF(SWA_Paragon_SIMs[Ops Week], A218)</f>
        <v>0</v>
      </c>
      <c r="C218" s="20">
        <f ca="1">SUMIF(SWA_Paragon_SIMs[[Ops Week]:[Ops Week]], $A218, SWA_Paragon_SIMs[Miss])</f>
        <v>0</v>
      </c>
      <c r="D218" s="20">
        <f ca="1">SUMIF(SWA_Paragon_SIMs[[Ops Week]:[Ops Week]], $A218, SWA_Paragon_SIMs[CI])</f>
        <v>0</v>
      </c>
      <c r="E218" s="20">
        <f ca="1">SUMIF(SWA_Paragon_SIMs[[Ops Week]:[Ops Week]], $A218, SWA_Paragon_SIMs[NCI])</f>
        <v>0</v>
      </c>
      <c r="F218" s="20">
        <f ca="1">SUMIF(SWA_Paragon_SIMs[[Ops Week]:[Ops Week]], $A218, SWA_Paragon_SIMs[Operator Follow-up])</f>
        <v>0</v>
      </c>
      <c r="G218" s="20">
        <f ca="1">SUMIF(SWA_Paragon_SIMs[[Ops Week]:[Ops Week]], $A218, SWA_Paragon_SIMs[False Resolution])</f>
        <v>0</v>
      </c>
      <c r="H218" s="20">
        <f ca="1">SUMIF(SWA_Paragon_SIMs[[Ops Week]:[Ops Week]], $A218, SWA_Paragon_SIMs[SLA])</f>
        <v>0</v>
      </c>
      <c r="I218" s="20" t="str">
        <f t="shared" ca="1" si="36"/>
        <v>-</v>
      </c>
      <c r="J218" s="20" t="str">
        <f t="shared" ca="1" si="37"/>
        <v>-</v>
      </c>
      <c r="K218" s="20" t="str">
        <f t="shared" ca="1" si="38"/>
        <v>-</v>
      </c>
    </row>
    <row r="219" spans="1:11" ht="11.25" customHeight="1" thickBot="1" x14ac:dyDescent="0.25">
      <c r="A219" s="62">
        <f ca="1">_xlfn.LET(_xlpm.weekNum, WEEKNUM(SWA_Paragon_Date - 7),
IF(_xlpm.weekNum &gt; 52, 1, _xlpm.weekNum))</f>
        <v>49</v>
      </c>
      <c r="B219" s="20">
        <f ca="1">COUNTIF(SWA_Paragon_SIMs[Ops Week], A219)</f>
        <v>0</v>
      </c>
      <c r="C219" s="20">
        <f ca="1">SUMIF(SWA_Paragon_SIMs[[Ops Week]:[Ops Week]], $A219, SWA_Paragon_SIMs[Miss])</f>
        <v>0</v>
      </c>
      <c r="D219" s="20">
        <f ca="1">SUMIF(SWA_Paragon_SIMs[[Ops Week]:[Ops Week]], $A219, SWA_Paragon_SIMs[CI])</f>
        <v>0</v>
      </c>
      <c r="E219" s="20">
        <f ca="1">SUMIF(SWA_Paragon_SIMs[[Ops Week]:[Ops Week]], $A219, SWA_Paragon_SIMs[NCI])</f>
        <v>0</v>
      </c>
      <c r="F219" s="20">
        <f ca="1">SUMIF(SWA_Paragon_SIMs[[Ops Week]:[Ops Week]], $A219, SWA_Paragon_SIMs[Operator Follow-up])</f>
        <v>0</v>
      </c>
      <c r="G219" s="20">
        <f ca="1">SUMIF(SWA_Paragon_SIMs[[Ops Week]:[Ops Week]], $A219, SWA_Paragon_SIMs[False Resolution])</f>
        <v>0</v>
      </c>
      <c r="H219" s="20">
        <f ca="1">SUMIF(SWA_Paragon_SIMs[[Ops Week]:[Ops Week]], $A219, SWA_Paragon_SIMs[SLA])</f>
        <v>0</v>
      </c>
      <c r="I219" s="20" t="str">
        <f t="shared" ca="1" si="36"/>
        <v>-</v>
      </c>
      <c r="J219" s="20" t="str">
        <f t="shared" ca="1" si="37"/>
        <v>-</v>
      </c>
      <c r="K219" s="20" t="str">
        <f t="shared" ca="1" si="38"/>
        <v>-</v>
      </c>
    </row>
    <row r="220" spans="1:11" ht="11.25" customHeight="1" thickBot="1" x14ac:dyDescent="0.25">
      <c r="A220" s="62">
        <f ca="1">_xlfn.LET(_xlpm.weekNum, WEEKNUM(SWA_Paragon_Date),
IF(_xlpm.weekNum &gt; 52, 1, _xlpm.weekNum))</f>
        <v>50</v>
      </c>
      <c r="B220" s="20">
        <f ca="1">COUNTIF(SWA_Paragon_SIMs[Ops Week], A220)</f>
        <v>0</v>
      </c>
      <c r="C220" s="20">
        <f ca="1">SUMIF(SWA_Paragon_SIMs[[Ops Week]:[Ops Week]], $A220, SWA_Paragon_SIMs[Miss])</f>
        <v>0</v>
      </c>
      <c r="D220" s="20">
        <f ca="1">SUMIF(SWA_Paragon_SIMs[[Ops Week]:[Ops Week]], $A220, SWA_Paragon_SIMs[CI])</f>
        <v>0</v>
      </c>
      <c r="E220" s="20">
        <f ca="1">SUMIF(SWA_Paragon_SIMs[[Ops Week]:[Ops Week]], $A220, SWA_Paragon_SIMs[NCI])</f>
        <v>0</v>
      </c>
      <c r="F220" s="20">
        <f ca="1">SUMIF(SWA_Paragon_SIMs[[Ops Week]:[Ops Week]], $A220, SWA_Paragon_SIMs[Operator Follow-up])</f>
        <v>0</v>
      </c>
      <c r="G220" s="20">
        <f ca="1">SUMIF(SWA_Paragon_SIMs[[Ops Week]:[Ops Week]], $A220, SWA_Paragon_SIMs[False Resolution])</f>
        <v>0</v>
      </c>
      <c r="H220" s="20">
        <f ca="1">SUMIF(SWA_Paragon_SIMs[[Ops Week]:[Ops Week]], $A220, SWA_Paragon_SIMs[SLA])</f>
        <v>0</v>
      </c>
      <c r="I220" s="20" t="str">
        <f t="shared" ca="1" si="36"/>
        <v>-</v>
      </c>
      <c r="J220" s="20" t="str">
        <f t="shared" ca="1" si="37"/>
        <v>-</v>
      </c>
      <c r="K220" s="20" t="str">
        <f t="shared" ca="1" si="38"/>
        <v>-</v>
      </c>
    </row>
    <row r="221" spans="1:11" ht="11.25" customHeight="1" thickBot="1" x14ac:dyDescent="0.25">
      <c r="A221" s="64"/>
      <c r="B221" s="24"/>
      <c r="C221" s="24"/>
      <c r="D221" s="24"/>
      <c r="E221" s="24"/>
      <c r="F221" s="24"/>
      <c r="G221" s="24"/>
      <c r="H221" s="24"/>
      <c r="I221" s="23"/>
      <c r="J221" s="53"/>
      <c r="K221" s="20"/>
    </row>
    <row r="222" spans="1:11" ht="11.25" customHeight="1" thickBot="1" x14ac:dyDescent="0.25">
      <c r="A222" s="132" t="s">
        <v>4481</v>
      </c>
      <c r="B222" s="133"/>
      <c r="C222" s="133"/>
      <c r="D222" s="133"/>
      <c r="E222" s="133"/>
      <c r="F222" s="133"/>
      <c r="G222" s="133"/>
      <c r="H222" s="133"/>
      <c r="I222" s="133"/>
      <c r="J222" s="133"/>
      <c r="K222" s="134"/>
    </row>
    <row r="223" spans="1:11" ht="11.25" customHeight="1" x14ac:dyDescent="0.2">
      <c r="A223" s="135" t="s">
        <v>5</v>
      </c>
      <c r="B223" s="122" t="s">
        <v>4628</v>
      </c>
      <c r="C223" s="122" t="s">
        <v>4629</v>
      </c>
      <c r="D223" s="122" t="s">
        <v>4630</v>
      </c>
      <c r="E223" s="122" t="s">
        <v>5058</v>
      </c>
      <c r="F223" s="122" t="s">
        <v>4631</v>
      </c>
      <c r="G223" s="122" t="s">
        <v>4632</v>
      </c>
      <c r="H223" s="122" t="s">
        <v>4633</v>
      </c>
      <c r="I223" s="122" t="s">
        <v>4634</v>
      </c>
      <c r="J223" s="122" t="s">
        <v>4635</v>
      </c>
      <c r="K223" s="129" t="s">
        <v>20</v>
      </c>
    </row>
    <row r="224" spans="1:11" ht="11.25" customHeight="1" x14ac:dyDescent="0.2">
      <c r="A224" s="136"/>
      <c r="B224" s="123"/>
      <c r="C224" s="123"/>
      <c r="D224" s="123"/>
      <c r="E224" s="123"/>
      <c r="F224" s="123"/>
      <c r="G224" s="123"/>
      <c r="H224" s="123"/>
      <c r="I224" s="123"/>
      <c r="J224" s="123"/>
      <c r="K224" s="130"/>
    </row>
    <row r="225" spans="1:11" ht="11.25" customHeight="1" thickBot="1" x14ac:dyDescent="0.25">
      <c r="A225" s="137"/>
      <c r="B225" s="124"/>
      <c r="C225" s="124"/>
      <c r="D225" s="124"/>
      <c r="E225" s="124"/>
      <c r="F225" s="124"/>
      <c r="G225" s="124"/>
      <c r="H225" s="124"/>
      <c r="I225" s="124"/>
      <c r="J225" s="124"/>
      <c r="K225" s="131"/>
    </row>
    <row r="226" spans="1:11" ht="11.25" customHeight="1" thickBot="1" x14ac:dyDescent="0.25">
      <c r="A226" s="63">
        <f ca="1">SWA_Paragon_Date - 6</f>
        <v>45630</v>
      </c>
      <c r="B226" s="20">
        <f ca="1">COUNTIF(SWA_Paragon_SIMs[Ops Date], $A226)</f>
        <v>0</v>
      </c>
      <c r="C226" s="20">
        <f ca="1">SUMIF(SWA_Paragon_SIMs[[Ops Date]:[Ops Date]], $A226, SWA_Paragon_SIMs[Miss])</f>
        <v>0</v>
      </c>
      <c r="D226" s="20">
        <f ca="1">SUMIF(SWA_Paragon_SIMs[[Ops Date]:[Ops Date]], $A226, SWA_Paragon_SIMs[CI])</f>
        <v>0</v>
      </c>
      <c r="E226" s="20">
        <f ca="1">SUMIF(SWA_Paragon_SIMs[[Ops Date]:[Ops Date]], $A226, SWA_Paragon_SIMs[NCI])</f>
        <v>0</v>
      </c>
      <c r="F226" s="20">
        <f ca="1">SUMIF(SWA_Paragon_SIMs[[Ops Date]:[Ops Date]], $A226, SWA_Paragon_SIMs[Operator Follow-up])</f>
        <v>0</v>
      </c>
      <c r="G226" s="20">
        <f ca="1">SUMIF(SWA_Paragon_SIMs[[Ops Date]:[Ops Date]], $A226, SWA_Paragon_SIMs[False Resolution])</f>
        <v>0</v>
      </c>
      <c r="H226" s="20">
        <f ca="1">SUMIF(SWA_Paragon_SIMs[[Ops Date]:[Ops Date]], $A226, SWA_Paragon_SIMs[SLA])</f>
        <v>0</v>
      </c>
      <c r="I226" s="20" t="str">
        <f t="shared" ref="I226:I232" ca="1" si="39">IFERROR(
 1000000*C226/$B226,
 "-"
)</f>
        <v>-</v>
      </c>
      <c r="J226" s="20" t="str">
        <f t="shared" ref="J226:J232" ca="1" si="40">IFERROR(
 1000000*D226/$B226,
 "-"
)</f>
        <v>-</v>
      </c>
      <c r="K226" s="20" t="str">
        <f t="shared" ref="K226:K232" ca="1" si="41">IFERROR(
 1000000*E226/$B226,
 "-"
)</f>
        <v>-</v>
      </c>
    </row>
    <row r="227" spans="1:11" ht="11.25" customHeight="1" thickBot="1" x14ac:dyDescent="0.25">
      <c r="A227" s="63">
        <f ca="1">SWA_Paragon_Date - 5</f>
        <v>45631</v>
      </c>
      <c r="B227" s="20">
        <f ca="1">COUNTIF(SWA_Paragon_SIMs[Ops Date], $A227)</f>
        <v>0</v>
      </c>
      <c r="C227" s="20">
        <f ca="1">SUMIF(SWA_Paragon_SIMs[[Ops Date]:[Ops Date]], $A227, SWA_Paragon_SIMs[Miss])</f>
        <v>0</v>
      </c>
      <c r="D227" s="20">
        <f ca="1">SUMIF(SWA_Paragon_SIMs[[Ops Date]:[Ops Date]], $A227, SWA_Paragon_SIMs[CI])</f>
        <v>0</v>
      </c>
      <c r="E227" s="20">
        <f ca="1">SUMIF(SWA_Paragon_SIMs[[Ops Date]:[Ops Date]], $A227, SWA_Paragon_SIMs[NCI])</f>
        <v>0</v>
      </c>
      <c r="F227" s="20">
        <f ca="1">SUMIF(SWA_Paragon_SIMs[[Ops Date]:[Ops Date]], $A227, SWA_Paragon_SIMs[Operator Follow-up])</f>
        <v>0</v>
      </c>
      <c r="G227" s="20">
        <f ca="1">SUMIF(SWA_Paragon_SIMs[[Ops Date]:[Ops Date]], $A227, SWA_Paragon_SIMs[False Resolution])</f>
        <v>0</v>
      </c>
      <c r="H227" s="20">
        <f ca="1">SUMIF(SWA_Paragon_SIMs[[Ops Date]:[Ops Date]], $A227, SWA_Paragon_SIMs[SLA])</f>
        <v>0</v>
      </c>
      <c r="I227" s="20" t="str">
        <f t="shared" ca="1" si="39"/>
        <v>-</v>
      </c>
      <c r="J227" s="20" t="str">
        <f t="shared" ca="1" si="40"/>
        <v>-</v>
      </c>
      <c r="K227" s="20" t="str">
        <f t="shared" ca="1" si="41"/>
        <v>-</v>
      </c>
    </row>
    <row r="228" spans="1:11" ht="11.25" customHeight="1" thickBot="1" x14ac:dyDescent="0.25">
      <c r="A228" s="63">
        <f ca="1">SWA_Paragon_Date - 4</f>
        <v>45632</v>
      </c>
      <c r="B228" s="20">
        <f ca="1">COUNTIF(SWA_Paragon_SIMs[Ops Date], $A228)</f>
        <v>0</v>
      </c>
      <c r="C228" s="20">
        <f ca="1">SUMIF(SWA_Paragon_SIMs[[Ops Date]:[Ops Date]], $A228, SWA_Paragon_SIMs[Miss])</f>
        <v>0</v>
      </c>
      <c r="D228" s="20">
        <f ca="1">SUMIF(SWA_Paragon_SIMs[[Ops Date]:[Ops Date]], $A228, SWA_Paragon_SIMs[CI])</f>
        <v>0</v>
      </c>
      <c r="E228" s="20">
        <f ca="1">SUMIF(SWA_Paragon_SIMs[[Ops Date]:[Ops Date]], $A228, SWA_Paragon_SIMs[NCI])</f>
        <v>0</v>
      </c>
      <c r="F228" s="20">
        <f ca="1">SUMIF(SWA_Paragon_SIMs[[Ops Date]:[Ops Date]], $A228, SWA_Paragon_SIMs[Operator Follow-up])</f>
        <v>0</v>
      </c>
      <c r="G228" s="20">
        <f ca="1">SUMIF(SWA_Paragon_SIMs[[Ops Date]:[Ops Date]], $A228, SWA_Paragon_SIMs[False Resolution])</f>
        <v>0</v>
      </c>
      <c r="H228" s="20">
        <f ca="1">SUMIF(SWA_Paragon_SIMs[[Ops Date]:[Ops Date]], $A228, SWA_Paragon_SIMs[SLA])</f>
        <v>0</v>
      </c>
      <c r="I228" s="20" t="str">
        <f t="shared" ca="1" si="39"/>
        <v>-</v>
      </c>
      <c r="J228" s="20" t="str">
        <f t="shared" ca="1" si="40"/>
        <v>-</v>
      </c>
      <c r="K228" s="20" t="str">
        <f t="shared" ca="1" si="41"/>
        <v>-</v>
      </c>
    </row>
    <row r="229" spans="1:11" ht="11.25" customHeight="1" thickBot="1" x14ac:dyDescent="0.25">
      <c r="A229" s="63">
        <f ca="1">SWA_Paragon_Date - 3</f>
        <v>45633</v>
      </c>
      <c r="B229" s="20">
        <f ca="1">COUNTIF(SWA_Paragon_SIMs[Ops Date], $A229)</f>
        <v>0</v>
      </c>
      <c r="C229" s="20">
        <f ca="1">SUMIF(SWA_Paragon_SIMs[[Ops Date]:[Ops Date]], $A229, SWA_Paragon_SIMs[Miss])</f>
        <v>0</v>
      </c>
      <c r="D229" s="20">
        <f ca="1">SUMIF(SWA_Paragon_SIMs[[Ops Date]:[Ops Date]], $A229, SWA_Paragon_SIMs[CI])</f>
        <v>0</v>
      </c>
      <c r="E229" s="20">
        <f ca="1">SUMIF(SWA_Paragon_SIMs[[Ops Date]:[Ops Date]], $A229, SWA_Paragon_SIMs[NCI])</f>
        <v>0</v>
      </c>
      <c r="F229" s="20">
        <f ca="1">SUMIF(SWA_Paragon_SIMs[[Ops Date]:[Ops Date]], $A229, SWA_Paragon_SIMs[Operator Follow-up])</f>
        <v>0</v>
      </c>
      <c r="G229" s="20">
        <f ca="1">SUMIF(SWA_Paragon_SIMs[[Ops Date]:[Ops Date]], $A229, SWA_Paragon_SIMs[False Resolution])</f>
        <v>0</v>
      </c>
      <c r="H229" s="20">
        <f ca="1">SUMIF(SWA_Paragon_SIMs[[Ops Date]:[Ops Date]], $A229, SWA_Paragon_SIMs[SLA])</f>
        <v>0</v>
      </c>
      <c r="I229" s="20" t="str">
        <f t="shared" ca="1" si="39"/>
        <v>-</v>
      </c>
      <c r="J229" s="20" t="str">
        <f t="shared" ca="1" si="40"/>
        <v>-</v>
      </c>
      <c r="K229" s="20" t="str">
        <f t="shared" ca="1" si="41"/>
        <v>-</v>
      </c>
    </row>
    <row r="230" spans="1:11" ht="11.25" customHeight="1" thickBot="1" x14ac:dyDescent="0.25">
      <c r="A230" s="63">
        <f ca="1">SWA_Paragon_Date - 2</f>
        <v>45634</v>
      </c>
      <c r="B230" s="20">
        <f ca="1">COUNTIF(SWA_Paragon_SIMs[Ops Date], $A230)</f>
        <v>0</v>
      </c>
      <c r="C230" s="20">
        <f ca="1">SUMIF(SWA_Paragon_SIMs[[Ops Date]:[Ops Date]], $A230, SWA_Paragon_SIMs[Miss])</f>
        <v>0</v>
      </c>
      <c r="D230" s="20">
        <f ca="1">SUMIF(SWA_Paragon_SIMs[[Ops Date]:[Ops Date]], $A230, SWA_Paragon_SIMs[CI])</f>
        <v>0</v>
      </c>
      <c r="E230" s="20">
        <f ca="1">SUMIF(SWA_Paragon_SIMs[[Ops Date]:[Ops Date]], $A230, SWA_Paragon_SIMs[NCI])</f>
        <v>0</v>
      </c>
      <c r="F230" s="20">
        <f ca="1">SUMIF(SWA_Paragon_SIMs[[Ops Date]:[Ops Date]], $A230, SWA_Paragon_SIMs[Operator Follow-up])</f>
        <v>0</v>
      </c>
      <c r="G230" s="20">
        <f ca="1">SUMIF(SWA_Paragon_SIMs[[Ops Date]:[Ops Date]], $A230, SWA_Paragon_SIMs[False Resolution])</f>
        <v>0</v>
      </c>
      <c r="H230" s="20">
        <f ca="1">SUMIF(SWA_Paragon_SIMs[[Ops Date]:[Ops Date]], $A230, SWA_Paragon_SIMs[SLA])</f>
        <v>0</v>
      </c>
      <c r="I230" s="20" t="str">
        <f t="shared" ca="1" si="39"/>
        <v>-</v>
      </c>
      <c r="J230" s="20" t="str">
        <f t="shared" ca="1" si="40"/>
        <v>-</v>
      </c>
      <c r="K230" s="20" t="str">
        <f t="shared" ca="1" si="41"/>
        <v>-</v>
      </c>
    </row>
    <row r="231" spans="1:11" ht="11.25" customHeight="1" thickBot="1" x14ac:dyDescent="0.25">
      <c r="A231" s="63">
        <f ca="1">SWA_Paragon_Date - 1</f>
        <v>45635</v>
      </c>
      <c r="B231" s="20">
        <f ca="1">COUNTIF(SWA_Paragon_SIMs[Ops Date], $A231)</f>
        <v>0</v>
      </c>
      <c r="C231" s="20">
        <f ca="1">SUMIF(SWA_Paragon_SIMs[[Ops Date]:[Ops Date]], $A231, SWA_Paragon_SIMs[Miss])</f>
        <v>0</v>
      </c>
      <c r="D231" s="20">
        <f ca="1">SUMIF(SWA_Paragon_SIMs[[Ops Date]:[Ops Date]], $A231, SWA_Paragon_SIMs[CI])</f>
        <v>0</v>
      </c>
      <c r="E231" s="20">
        <f ca="1">SUMIF(SWA_Paragon_SIMs[[Ops Date]:[Ops Date]], $A231, SWA_Paragon_SIMs[NCI])</f>
        <v>0</v>
      </c>
      <c r="F231" s="20">
        <f ca="1">SUMIF(SWA_Paragon_SIMs[[Ops Date]:[Ops Date]], $A231, SWA_Paragon_SIMs[Operator Follow-up])</f>
        <v>0</v>
      </c>
      <c r="G231" s="20">
        <f ca="1">SUMIF(SWA_Paragon_SIMs[[Ops Date]:[Ops Date]], $A231, SWA_Paragon_SIMs[False Resolution])</f>
        <v>0</v>
      </c>
      <c r="H231" s="20">
        <f ca="1">SUMIF(SWA_Paragon_SIMs[[Ops Date]:[Ops Date]], $A231, SWA_Paragon_SIMs[SLA])</f>
        <v>0</v>
      </c>
      <c r="I231" s="20" t="str">
        <f t="shared" ca="1" si="39"/>
        <v>-</v>
      </c>
      <c r="J231" s="20" t="str">
        <f t="shared" ca="1" si="40"/>
        <v>-</v>
      </c>
      <c r="K231" s="20" t="str">
        <f t="shared" ca="1" si="41"/>
        <v>-</v>
      </c>
    </row>
    <row r="232" spans="1:11" ht="11.25" customHeight="1" thickBot="1" x14ac:dyDescent="0.25">
      <c r="A232" s="63">
        <f ca="1">SWA_Paragon_Date</f>
        <v>45636</v>
      </c>
      <c r="B232" s="20">
        <f ca="1">COUNTIF(SWA_Paragon_SIMs[Ops Date], $A232)</f>
        <v>0</v>
      </c>
      <c r="C232" s="20">
        <f ca="1">SUMIF(SWA_Paragon_SIMs[[Ops Date]:[Ops Date]], $A232, SWA_Paragon_SIMs[Miss])</f>
        <v>0</v>
      </c>
      <c r="D232" s="20">
        <f ca="1">SUMIF(SWA_Paragon_SIMs[[Ops Date]:[Ops Date]], $A232, SWA_Paragon_SIMs[CI])</f>
        <v>0</v>
      </c>
      <c r="E232" s="20">
        <f ca="1">SUMIF(SWA_Paragon_SIMs[[Ops Date]:[Ops Date]], $A232, SWA_Paragon_SIMs[NCI])</f>
        <v>0</v>
      </c>
      <c r="F232" s="20">
        <f ca="1">SUMIF(SWA_Paragon_SIMs[[Ops Date]:[Ops Date]], $A232, SWA_Paragon_SIMs[Operator Follow-up])</f>
        <v>0</v>
      </c>
      <c r="G232" s="20">
        <f ca="1">SUMIF(SWA_Paragon_SIMs[[Ops Date]:[Ops Date]], $A232, SWA_Paragon_SIMs[False Resolution])</f>
        <v>0</v>
      </c>
      <c r="H232" s="20">
        <f ca="1">SUMIF(SWA_Paragon_SIMs[[Ops Date]:[Ops Date]], $A232, SWA_Paragon_SIMs[SLA])</f>
        <v>0</v>
      </c>
      <c r="I232" s="20" t="str">
        <f t="shared" ca="1" si="39"/>
        <v>-</v>
      </c>
      <c r="J232" s="20" t="str">
        <f t="shared" ca="1" si="40"/>
        <v>-</v>
      </c>
      <c r="K232" s="20" t="str">
        <f t="shared" ca="1" si="41"/>
        <v>-</v>
      </c>
    </row>
    <row r="233" spans="1:11" ht="11.25" customHeight="1" thickBot="1" x14ac:dyDescent="0.25">
      <c r="A233" s="65"/>
      <c r="B233" s="24"/>
      <c r="C233" s="24"/>
      <c r="D233" s="24"/>
      <c r="E233" s="24"/>
      <c r="F233" s="24"/>
      <c r="G233" s="24"/>
      <c r="H233" s="24"/>
      <c r="I233" s="23"/>
      <c r="J233" s="53"/>
      <c r="K233" s="52"/>
    </row>
    <row r="234" spans="1:11" ht="11.25" customHeight="1" thickBot="1" x14ac:dyDescent="0.25">
      <c r="A234" s="138" t="s">
        <v>4476</v>
      </c>
      <c r="B234" s="139"/>
      <c r="C234" s="139"/>
      <c r="D234" s="139"/>
      <c r="E234" s="139"/>
      <c r="F234" s="139"/>
      <c r="G234" s="139"/>
      <c r="H234" s="139"/>
      <c r="I234" s="139"/>
      <c r="J234" s="139"/>
      <c r="K234" s="140"/>
    </row>
    <row r="235" spans="1:11" ht="11.25" customHeight="1" thickBot="1" x14ac:dyDescent="0.25">
      <c r="A235" s="125"/>
      <c r="B235" s="126"/>
      <c r="C235" s="126"/>
      <c r="D235" s="127"/>
      <c r="E235" s="141"/>
      <c r="F235" s="142"/>
      <c r="G235" s="142"/>
      <c r="H235" s="142"/>
      <c r="I235" s="142"/>
      <c r="J235" s="142"/>
      <c r="K235" s="143"/>
    </row>
    <row r="236" spans="1:11" ht="11.25" customHeight="1" thickBot="1" x14ac:dyDescent="0.25">
      <c r="A236" s="125"/>
      <c r="B236" s="126"/>
      <c r="C236" s="126"/>
      <c r="D236" s="126"/>
      <c r="E236" s="126"/>
      <c r="F236" s="126"/>
      <c r="G236" s="126"/>
      <c r="H236" s="126"/>
      <c r="I236" s="126"/>
      <c r="J236" s="126"/>
      <c r="K236" s="127"/>
    </row>
    <row r="237" spans="1:11" ht="11.25" customHeight="1" thickBot="1" x14ac:dyDescent="0.25">
      <c r="A237" s="144" t="s">
        <v>4622</v>
      </c>
      <c r="B237" s="145"/>
      <c r="C237" s="145"/>
      <c r="D237" s="145"/>
      <c r="E237" s="145"/>
      <c r="F237" s="145"/>
      <c r="G237" s="145"/>
      <c r="H237" s="145"/>
      <c r="I237" s="145"/>
      <c r="J237" s="145"/>
      <c r="K237" s="146"/>
    </row>
    <row r="238" spans="1:11" ht="11.25" customHeight="1" x14ac:dyDescent="0.2">
      <c r="A238" s="147" t="s">
        <v>4636</v>
      </c>
      <c r="B238" s="122" t="s">
        <v>4628</v>
      </c>
      <c r="C238" s="122"/>
      <c r="D238" s="122" t="s">
        <v>4629</v>
      </c>
      <c r="E238" s="122"/>
      <c r="F238" s="122" t="s">
        <v>4630</v>
      </c>
      <c r="G238" s="122" t="s">
        <v>5058</v>
      </c>
      <c r="H238" s="122" t="s">
        <v>4634</v>
      </c>
      <c r="I238" s="122"/>
      <c r="J238" s="122" t="s">
        <v>4635</v>
      </c>
      <c r="K238" s="129" t="s">
        <v>20</v>
      </c>
    </row>
    <row r="239" spans="1:11" ht="11.25" customHeight="1" x14ac:dyDescent="0.2">
      <c r="A239" s="148"/>
      <c r="B239" s="123"/>
      <c r="C239" s="123"/>
      <c r="D239" s="123"/>
      <c r="E239" s="123"/>
      <c r="F239" s="128"/>
      <c r="G239" s="128"/>
      <c r="H239" s="123"/>
      <c r="I239" s="123"/>
      <c r="J239" s="128"/>
      <c r="K239" s="130"/>
    </row>
    <row r="240" spans="1:11" ht="11.25" customHeight="1" thickBot="1" x14ac:dyDescent="0.25">
      <c r="A240" s="149"/>
      <c r="B240" s="124"/>
      <c r="C240" s="124"/>
      <c r="D240" s="124"/>
      <c r="E240" s="124"/>
      <c r="F240" s="124"/>
      <c r="G240" s="124"/>
      <c r="H240" s="124"/>
      <c r="I240" s="124"/>
      <c r="J240" s="124"/>
      <c r="K240" s="131"/>
    </row>
    <row r="241" spans="1:11" ht="11.25" customHeight="1" thickBot="1" x14ac:dyDescent="0.25">
      <c r="A241" s="62">
        <f ca="1">_xlfn.LET(_xlpm.dateValue, ORSA_Intervention_Date, MONTH(_xlpm.dateValue)) -3</f>
        <v>9</v>
      </c>
      <c r="B241" s="120">
        <f ca="1">COUNTIF(ORSA_Intervention_SIMs[Ops Month], A241)</f>
        <v>0</v>
      </c>
      <c r="C241" s="121"/>
      <c r="D241" s="120">
        <f ca="1">SUMIF(ORSA_Intervention_SIMs[[Ops Month]:[Ops Month]], $A241, ORSA_Intervention_SIMs[Miss])</f>
        <v>0</v>
      </c>
      <c r="E241" s="121"/>
      <c r="F241" s="20">
        <f ca="1">SUMIF(ORSA_Intervention_SIMs[[Ops Month]:[Ops Month]], $A241, ORSA_Intervention_SIMs[CI])</f>
        <v>0</v>
      </c>
      <c r="G241" s="20">
        <f ca="1">SUMIF(ORSA_Intervention_SIMs[[Ops Month]:[Ops Month]], $A241, ORSA_Intervention_SIMs[NCI])</f>
        <v>0</v>
      </c>
      <c r="H241" s="120" t="str">
        <f ca="1">IFERROR(
 1000000*D241/$B241,
 "-"
)</f>
        <v>-</v>
      </c>
      <c r="I241" s="121"/>
      <c r="J241" s="20" t="str">
        <f t="shared" ref="J241:K244" ca="1" si="42">IFERROR(
 1000000*F241/$B241,
 "-"
)</f>
        <v>-</v>
      </c>
      <c r="K241" s="20" t="str">
        <f t="shared" ca="1" si="42"/>
        <v>-</v>
      </c>
    </row>
    <row r="242" spans="1:11" ht="11.25" customHeight="1" thickBot="1" x14ac:dyDescent="0.25">
      <c r="A242" s="62">
        <f ca="1">_xlfn.LET(_xlpm.dateValue, ORSA_Intervention_Date, MONTH(_xlpm.dateValue)) -2</f>
        <v>10</v>
      </c>
      <c r="B242" s="120">
        <f ca="1">COUNTIF(ORSA_Intervention_SIMs[Ops Month], A242)</f>
        <v>0</v>
      </c>
      <c r="C242" s="121"/>
      <c r="D242" s="120">
        <f ca="1">SUMIF(ORSA_Intervention_SIMs[[Ops Month]:[Ops Month]], $A242, ORSA_Intervention_SIMs[Miss])</f>
        <v>0</v>
      </c>
      <c r="E242" s="121"/>
      <c r="F242" s="20">
        <f ca="1">SUMIF(ORSA_Intervention_SIMs[[Ops Month]:[Ops Month]], $A242, ORSA_Intervention_SIMs[CI])</f>
        <v>0</v>
      </c>
      <c r="G242" s="20">
        <f ca="1">SUMIF(ORSA_Intervention_SIMs[[Ops Month]:[Ops Month]], $A242, ORSA_Intervention_SIMs[NCI])</f>
        <v>0</v>
      </c>
      <c r="H242" s="120" t="str">
        <f ca="1">IFERROR(
 1000000*D242/$B242,
 "-"
)</f>
        <v>-</v>
      </c>
      <c r="I242" s="121"/>
      <c r="J242" s="20" t="str">
        <f t="shared" ca="1" si="42"/>
        <v>-</v>
      </c>
      <c r="K242" s="20" t="str">
        <f t="shared" ca="1" si="42"/>
        <v>-</v>
      </c>
    </row>
    <row r="243" spans="1:11" ht="11.25" customHeight="1" thickBot="1" x14ac:dyDescent="0.25">
      <c r="A243" s="62">
        <f ca="1">_xlfn.LET(_xlpm.dateValue, ORSA_Intervention_Date, MONTH(_xlpm.dateValue)) -1</f>
        <v>11</v>
      </c>
      <c r="B243" s="120">
        <f ca="1">COUNTIF(ORSA_Intervention_SIMs[Ops Month], A243)</f>
        <v>0</v>
      </c>
      <c r="C243" s="121"/>
      <c r="D243" s="120">
        <f ca="1">SUMIF(ORSA_Intervention_SIMs[[Ops Month]:[Ops Month]], $A243, ORSA_Intervention_SIMs[Miss])</f>
        <v>0</v>
      </c>
      <c r="E243" s="121"/>
      <c r="F243" s="20">
        <f ca="1">SUMIF(ORSA_Intervention_SIMs[[Ops Month]:[Ops Month]], $A243, ORSA_Intervention_SIMs[CI])</f>
        <v>0</v>
      </c>
      <c r="G243" s="20">
        <f ca="1">SUMIF(ORSA_Intervention_SIMs[[Ops Month]:[Ops Month]], $A243, ORSA_Intervention_SIMs[NCI])</f>
        <v>0</v>
      </c>
      <c r="H243" s="120" t="str">
        <f ca="1">IFERROR(
 1000000*D243/$B243,
 "-"
)</f>
        <v>-</v>
      </c>
      <c r="I243" s="121"/>
      <c r="J243" s="20" t="str">
        <f t="shared" ca="1" si="42"/>
        <v>-</v>
      </c>
      <c r="K243" s="20" t="str">
        <f t="shared" ca="1" si="42"/>
        <v>-</v>
      </c>
    </row>
    <row r="244" spans="1:11" ht="11.25" customHeight="1" thickBot="1" x14ac:dyDescent="0.25">
      <c r="A244" s="62">
        <f ca="1">_xlfn.LET(_xlpm.dateValue, ORSA_Intervention_Date, MONTH(_xlpm.dateValue))</f>
        <v>12</v>
      </c>
      <c r="B244" s="120">
        <f ca="1">COUNTIF(ORSA_Intervention_SIMs[Ops Month], A244)</f>
        <v>0</v>
      </c>
      <c r="C244" s="121"/>
      <c r="D244" s="120">
        <f ca="1">SUMIF(ORSA_Intervention_SIMs[[Ops Month]:[Ops Month]], $A244, ORSA_Intervention_SIMs[Miss])</f>
        <v>0</v>
      </c>
      <c r="E244" s="121"/>
      <c r="F244" s="20">
        <f ca="1">SUMIF(ORSA_Intervention_SIMs[[Ops Month]:[Ops Month]], $A244, ORSA_Intervention_SIMs[CI])</f>
        <v>0</v>
      </c>
      <c r="G244" s="20">
        <f ca="1">SUMIF(ORSA_Intervention_SIMs[[Ops Month]:[Ops Month]], $A244, ORSA_Intervention_SIMs[NCI])</f>
        <v>0</v>
      </c>
      <c r="H244" s="120" t="str">
        <f ca="1">IFERROR(
 1000000*D244/$B244,
 "-"
)</f>
        <v>-</v>
      </c>
      <c r="I244" s="121"/>
      <c r="J244" s="20" t="str">
        <f t="shared" ca="1" si="42"/>
        <v>-</v>
      </c>
      <c r="K244" s="20" t="str">
        <f t="shared" ca="1" si="42"/>
        <v>-</v>
      </c>
    </row>
    <row r="245" spans="1:11" ht="11.25" customHeight="1" thickBot="1" x14ac:dyDescent="0.25">
      <c r="A245" s="64"/>
      <c r="B245" s="24"/>
      <c r="C245" s="24"/>
      <c r="D245" s="24"/>
      <c r="E245" s="24"/>
      <c r="F245" s="24"/>
      <c r="G245" s="24"/>
      <c r="H245" s="24"/>
      <c r="I245" s="23"/>
      <c r="J245" s="53"/>
      <c r="K245" s="20"/>
    </row>
    <row r="246" spans="1:11" ht="11.25" customHeight="1" thickBot="1" x14ac:dyDescent="0.25">
      <c r="A246" s="132" t="s">
        <v>4623</v>
      </c>
      <c r="B246" s="133"/>
      <c r="C246" s="133"/>
      <c r="D246" s="133"/>
      <c r="E246" s="133"/>
      <c r="F246" s="133"/>
      <c r="G246" s="133"/>
      <c r="H246" s="133"/>
      <c r="I246" s="133"/>
      <c r="J246" s="133"/>
      <c r="K246" s="134"/>
    </row>
    <row r="247" spans="1:11" ht="11.25" customHeight="1" x14ac:dyDescent="0.2">
      <c r="A247" s="135" t="s">
        <v>4627</v>
      </c>
      <c r="B247" s="122" t="s">
        <v>4628</v>
      </c>
      <c r="C247" s="122"/>
      <c r="D247" s="122" t="s">
        <v>4629</v>
      </c>
      <c r="E247" s="122"/>
      <c r="F247" s="122" t="s">
        <v>4630</v>
      </c>
      <c r="G247" s="122" t="s">
        <v>5058</v>
      </c>
      <c r="H247" s="122" t="s">
        <v>4634</v>
      </c>
      <c r="I247" s="122"/>
      <c r="J247" s="122" t="s">
        <v>4635</v>
      </c>
      <c r="K247" s="129" t="s">
        <v>20</v>
      </c>
    </row>
    <row r="248" spans="1:11" ht="11.25" customHeight="1" x14ac:dyDescent="0.2">
      <c r="A248" s="136"/>
      <c r="B248" s="123"/>
      <c r="C248" s="123"/>
      <c r="D248" s="123"/>
      <c r="E248" s="123"/>
      <c r="F248" s="123"/>
      <c r="G248" s="123"/>
      <c r="H248" s="123"/>
      <c r="I248" s="123"/>
      <c r="J248" s="123"/>
      <c r="K248" s="130"/>
    </row>
    <row r="249" spans="1:11" ht="11.25" customHeight="1" thickBot="1" x14ac:dyDescent="0.25">
      <c r="A249" s="137"/>
      <c r="B249" s="123"/>
      <c r="C249" s="123"/>
      <c r="D249" s="123"/>
      <c r="E249" s="123"/>
      <c r="F249" s="124"/>
      <c r="G249" s="124"/>
      <c r="H249" s="124"/>
      <c r="I249" s="124"/>
      <c r="J249" s="124"/>
      <c r="K249" s="131"/>
    </row>
    <row r="250" spans="1:11" ht="11.25" customHeight="1" thickBot="1" x14ac:dyDescent="0.25">
      <c r="A250" s="76">
        <f ca="1">WEEKNUM(TEXT(ORSA_Intervention_Date, "MM-DD-YYYY"), 1)-3</f>
        <v>47</v>
      </c>
      <c r="B250" s="120">
        <f ca="1">COUNTIF(ORSA_Intervention_SIMs[Ops Week], $A250)</f>
        <v>0</v>
      </c>
      <c r="C250" s="121"/>
      <c r="D250" s="120">
        <f ca="1">SUMIF(ORSA_Intervention_SIMs[[Ops Week]:[Ops Week]], $A250, ORSA_Intervention_SIMs[Miss])</f>
        <v>0</v>
      </c>
      <c r="E250" s="121"/>
      <c r="F250" s="20">
        <f ca="1">SUMIF(ORSA_Intervention_SIMs[[Ops Week]:[Ops Week]], $A250, ORSA_Intervention_SIMs[CI])</f>
        <v>0</v>
      </c>
      <c r="G250" s="20">
        <f ca="1">SUMIF(ORSA_Intervention_SIMs[[Ops Week]:[Ops Week]], $A250, ORSA_Intervention_SIMs[NCI])</f>
        <v>0</v>
      </c>
      <c r="H250" s="120" t="str">
        <f ca="1">IFERROR(
 1000000*D250/$B250,
 "-"
)</f>
        <v>-</v>
      </c>
      <c r="I250" s="121"/>
      <c r="J250" s="20" t="str">
        <f t="shared" ref="J250:K253" ca="1" si="43">IFERROR(
 1000000*F250/$B250,
 "-"
)</f>
        <v>-</v>
      </c>
      <c r="K250" s="20" t="str">
        <f t="shared" ca="1" si="43"/>
        <v>-</v>
      </c>
    </row>
    <row r="251" spans="1:11" ht="11.25" customHeight="1" thickBot="1" x14ac:dyDescent="0.25">
      <c r="A251" s="76">
        <f ca="1">WEEKNUM(TEXT(ORSA_Intervention_Date, "MM-DD-YYYY"), 1)-2</f>
        <v>48</v>
      </c>
      <c r="B251" s="120">
        <f ca="1">COUNTIF(ORSA_Intervention_SIMs[Ops Week], $A251)</f>
        <v>0</v>
      </c>
      <c r="C251" s="121"/>
      <c r="D251" s="120">
        <f ca="1">SUMIF(ORSA_Intervention_SIMs[[Ops Week]:[Ops Week]], $A251, ORSA_Intervention_SIMs[Miss])</f>
        <v>0</v>
      </c>
      <c r="E251" s="121"/>
      <c r="F251" s="20">
        <f ca="1">SUMIF(ORSA_Intervention_SIMs[[Ops Week]:[Ops Week]], $A251, ORSA_Intervention_SIMs[CI])</f>
        <v>0</v>
      </c>
      <c r="G251" s="20">
        <f ca="1">SUMIF(ORSA_Intervention_SIMs[[Ops Week]:[Ops Week]], $A251, ORSA_Intervention_SIMs[NCI])</f>
        <v>0</v>
      </c>
      <c r="H251" s="120" t="str">
        <f ca="1">IFERROR(
 1000000*D251/$B251,
 "-"
)</f>
        <v>-</v>
      </c>
      <c r="I251" s="121"/>
      <c r="J251" s="20" t="str">
        <f t="shared" ca="1" si="43"/>
        <v>-</v>
      </c>
      <c r="K251" s="20" t="str">
        <f t="shared" ca="1" si="43"/>
        <v>-</v>
      </c>
    </row>
    <row r="252" spans="1:11" ht="11.25" customHeight="1" thickBot="1" x14ac:dyDescent="0.25">
      <c r="A252" s="76">
        <f ca="1">WEEKNUM(TEXT(ORSA_Intervention_Date, "MM-DD-YYYY"), 1) -1</f>
        <v>49</v>
      </c>
      <c r="B252" s="120">
        <f ca="1">COUNTIF(ORSA_Intervention_SIMs[Ops Week], $A252)</f>
        <v>0</v>
      </c>
      <c r="C252" s="121"/>
      <c r="D252" s="120">
        <f ca="1">SUMIF(ORSA_Intervention_SIMs[[Ops Week]:[Ops Week]], $A252, ORSA_Intervention_SIMs[Miss])</f>
        <v>0</v>
      </c>
      <c r="E252" s="121"/>
      <c r="F252" s="20">
        <f ca="1">SUMIF(ORSA_Intervention_SIMs[[Ops Week]:[Ops Week]], $A252, ORSA_Intervention_SIMs[CI])</f>
        <v>0</v>
      </c>
      <c r="G252" s="20">
        <f ca="1">SUMIF(ORSA_Intervention_SIMs[[Ops Week]:[Ops Week]], $A252, ORSA_Intervention_SIMs[NCI])</f>
        <v>0</v>
      </c>
      <c r="H252" s="120" t="str">
        <f ca="1">IFERROR(
 1000000*D252/$B252,
 "-"
)</f>
        <v>-</v>
      </c>
      <c r="I252" s="121"/>
      <c r="J252" s="20" t="str">
        <f t="shared" ca="1" si="43"/>
        <v>-</v>
      </c>
      <c r="K252" s="20" t="str">
        <f t="shared" ca="1" si="43"/>
        <v>-</v>
      </c>
    </row>
    <row r="253" spans="1:11" ht="11.25" customHeight="1" thickBot="1" x14ac:dyDescent="0.25">
      <c r="A253" s="76">
        <f ca="1">WEEKNUM(TEXT(ORSA_Intervention_Date, "MM-DD-YYYY"), 1)</f>
        <v>50</v>
      </c>
      <c r="B253" s="120">
        <f ca="1">COUNTIF(ORSA_Intervention_SIMs[Ops Week], $A253)</f>
        <v>0</v>
      </c>
      <c r="C253" s="121"/>
      <c r="D253" s="120">
        <f ca="1">SUMIF(ORSA_Intervention_SIMs[[Ops Week]:[Ops Week]], $A253, ORSA_Intervention_SIMs[Miss])</f>
        <v>0</v>
      </c>
      <c r="E253" s="121"/>
      <c r="F253" s="20">
        <f ca="1">SUMIF(ORSA_Intervention_SIMs[[Ops Week]:[Ops Week]], $A253, ORSA_Intervention_SIMs[CI])</f>
        <v>0</v>
      </c>
      <c r="G253" s="20">
        <f ca="1">SUMIF(ORSA_Intervention_SIMs[[Ops Week]:[Ops Week]], $A253, ORSA_Intervention_SIMs[NCI])</f>
        <v>0</v>
      </c>
      <c r="H253" s="120" t="str">
        <f ca="1">IFERROR(
 1000000*D253/$B253,
 "-"
)</f>
        <v>-</v>
      </c>
      <c r="I253" s="121"/>
      <c r="J253" s="20" t="str">
        <f t="shared" ca="1" si="43"/>
        <v>-</v>
      </c>
      <c r="K253" s="20" t="str">
        <f t="shared" ca="1" si="43"/>
        <v>-</v>
      </c>
    </row>
    <row r="254" spans="1:11" ht="11.25" customHeight="1" thickBot="1" x14ac:dyDescent="0.25">
      <c r="A254" s="125"/>
      <c r="B254" s="126"/>
      <c r="C254" s="126"/>
      <c r="D254" s="126"/>
      <c r="E254" s="126"/>
      <c r="F254" s="126"/>
      <c r="G254" s="126"/>
      <c r="H254" s="126"/>
      <c r="I254" s="126"/>
      <c r="J254" s="126"/>
      <c r="K254" s="127"/>
    </row>
    <row r="255" spans="1:11" ht="11.25" customHeight="1" thickBot="1" x14ac:dyDescent="0.25">
      <c r="A255" s="138" t="s">
        <v>5307</v>
      </c>
      <c r="B255" s="139"/>
      <c r="C255" s="139"/>
      <c r="D255" s="139"/>
      <c r="E255" s="139"/>
      <c r="F255" s="139"/>
      <c r="G255" s="139"/>
      <c r="H255" s="139"/>
      <c r="I255" s="139"/>
      <c r="J255" s="139"/>
      <c r="K255" s="140"/>
    </row>
    <row r="256" spans="1:11" ht="11.25" customHeight="1" thickBot="1" x14ac:dyDescent="0.25">
      <c r="A256" s="125"/>
      <c r="B256" s="126"/>
      <c r="C256" s="126"/>
      <c r="D256" s="127"/>
      <c r="E256" s="141"/>
      <c r="F256" s="142"/>
      <c r="G256" s="142"/>
      <c r="H256" s="142"/>
      <c r="I256" s="142"/>
      <c r="J256" s="142"/>
      <c r="K256" s="143"/>
    </row>
    <row r="257" spans="1:11" ht="11.25" customHeight="1" thickBot="1" x14ac:dyDescent="0.25">
      <c r="A257" s="125"/>
      <c r="B257" s="126"/>
      <c r="C257" s="126"/>
      <c r="D257" s="126"/>
      <c r="E257" s="126"/>
      <c r="F257" s="126"/>
      <c r="G257" s="126"/>
      <c r="H257" s="126"/>
      <c r="I257" s="126"/>
      <c r="J257" s="126"/>
      <c r="K257" s="127"/>
    </row>
    <row r="258" spans="1:11" ht="11.25" customHeight="1" thickBot="1" x14ac:dyDescent="0.25">
      <c r="A258" s="144" t="s">
        <v>5390</v>
      </c>
      <c r="B258" s="145"/>
      <c r="C258" s="145"/>
      <c r="D258" s="145"/>
      <c r="E258" s="145"/>
      <c r="F258" s="145"/>
      <c r="G258" s="145"/>
      <c r="H258" s="145"/>
      <c r="I258" s="145"/>
      <c r="J258" s="145"/>
      <c r="K258" s="146"/>
    </row>
    <row r="259" spans="1:11" ht="11.25" customHeight="1" x14ac:dyDescent="0.2">
      <c r="A259" s="147" t="s">
        <v>4627</v>
      </c>
      <c r="B259" s="122" t="s">
        <v>4628</v>
      </c>
      <c r="C259" s="122"/>
      <c r="D259" s="122" t="s">
        <v>4629</v>
      </c>
      <c r="E259" s="122"/>
      <c r="F259" s="122" t="s">
        <v>4630</v>
      </c>
      <c r="G259" s="122" t="s">
        <v>5058</v>
      </c>
      <c r="H259" s="122" t="s">
        <v>4634</v>
      </c>
      <c r="I259" s="122"/>
      <c r="J259" s="122" t="s">
        <v>4635</v>
      </c>
      <c r="K259" s="129" t="s">
        <v>20</v>
      </c>
    </row>
    <row r="260" spans="1:11" ht="11.25" customHeight="1" x14ac:dyDescent="0.2">
      <c r="A260" s="148"/>
      <c r="B260" s="123"/>
      <c r="C260" s="123"/>
      <c r="D260" s="123"/>
      <c r="E260" s="123"/>
      <c r="F260" s="128"/>
      <c r="G260" s="128"/>
      <c r="H260" s="123"/>
      <c r="I260" s="123"/>
      <c r="J260" s="128"/>
      <c r="K260" s="130"/>
    </row>
    <row r="261" spans="1:11" ht="11.25" customHeight="1" thickBot="1" x14ac:dyDescent="0.25">
      <c r="A261" s="149"/>
      <c r="B261" s="124"/>
      <c r="C261" s="124"/>
      <c r="D261" s="124"/>
      <c r="E261" s="124"/>
      <c r="F261" s="124"/>
      <c r="G261" s="124"/>
      <c r="H261" s="124"/>
      <c r="I261" s="124"/>
      <c r="J261" s="124"/>
      <c r="K261" s="131"/>
    </row>
    <row r="262" spans="1:11" ht="11.25" customHeight="1" thickBot="1" x14ac:dyDescent="0.25">
      <c r="A262" s="76">
        <f ca="1">WEEKNUM(TEXT(ORSA_Valids_Date, "MM-DD-YYYY"), 1)-3</f>
        <v>47</v>
      </c>
      <c r="B262" s="120">
        <f ca="1">COUNTIF(ORSA_Valids_SIMs[Ops Week], A262)</f>
        <v>0</v>
      </c>
      <c r="C262" s="121"/>
      <c r="D262" s="120">
        <f ca="1">SUMIF(ORSA_Valids_SIMs[[Ops Week]:[Ops Week]], $A262, ORSA_Valids_SIMs[Miss])</f>
        <v>0</v>
      </c>
      <c r="E262" s="121"/>
      <c r="F262" s="20">
        <f ca="1">SUMIF(ORSA_Valids_SIMs[[Ops Week]:[Ops Week]], $A262, ORSA_Valids_SIMs[CI])</f>
        <v>0</v>
      </c>
      <c r="G262" s="20">
        <f ca="1">SUMIF(ORSA_Valids_SIMs[[Ops Week]:[Ops Week]], $A262, ORSA_Valids_SIMs[NCI])</f>
        <v>0</v>
      </c>
      <c r="H262" s="120" t="str">
        <f ca="1">IFERROR(
 1000000*D262/$B262,
 "-"
)</f>
        <v>-</v>
      </c>
      <c r="I262" s="121"/>
      <c r="J262" s="20" t="str">
        <f t="shared" ref="J262:K265" ca="1" si="44">IFERROR(
 1000000*F262/$B262,
 "-"
)</f>
        <v>-</v>
      </c>
      <c r="K262" s="20" t="str">
        <f t="shared" ca="1" si="44"/>
        <v>-</v>
      </c>
    </row>
    <row r="263" spans="1:11" ht="11.25" customHeight="1" thickBot="1" x14ac:dyDescent="0.25">
      <c r="A263" s="76">
        <f ca="1">WEEKNUM(TEXT(ORSA_Valids_Date, "MM-DD-YYYY"), 1)-2</f>
        <v>48</v>
      </c>
      <c r="B263" s="120">
        <f ca="1">COUNTIF(ORSA_Valids_SIMs[Ops Week], A263)</f>
        <v>0</v>
      </c>
      <c r="C263" s="121"/>
      <c r="D263" s="120">
        <f ca="1">SUMIF(ORSA_Valids_SIMs[[Ops Week]:[Ops Week]], $A263, ORSA_Valids_SIMs[Miss])</f>
        <v>0</v>
      </c>
      <c r="E263" s="121"/>
      <c r="F263" s="20">
        <f ca="1">SUMIF(ORSA_Valids_SIMs[[Ops Week]:[Ops Week]], $A263, ORSA_Valids_SIMs[CI])</f>
        <v>0</v>
      </c>
      <c r="G263" s="20">
        <f ca="1">SUMIF(ORSA_Valids_SIMs[[Ops Week]:[Ops Week]], $A263, ORSA_Valids_SIMs[NCI])</f>
        <v>0</v>
      </c>
      <c r="H263" s="120" t="str">
        <f ca="1">IFERROR(
 1000000*D263/$B263,
 "-"
)</f>
        <v>-</v>
      </c>
      <c r="I263" s="121"/>
      <c r="J263" s="20" t="str">
        <f t="shared" ca="1" si="44"/>
        <v>-</v>
      </c>
      <c r="K263" s="20" t="str">
        <f t="shared" ca="1" si="44"/>
        <v>-</v>
      </c>
    </row>
    <row r="264" spans="1:11" ht="11.25" customHeight="1" thickBot="1" x14ac:dyDescent="0.25">
      <c r="A264" s="76">
        <f ca="1">WEEKNUM(TEXT(ORSA_Valids_Date, "MM-DD-YYYY"), 1) -1</f>
        <v>49</v>
      </c>
      <c r="B264" s="120">
        <f ca="1">COUNTIF(ORSA_Valids_SIMs[Ops Week], A264)</f>
        <v>0</v>
      </c>
      <c r="C264" s="121"/>
      <c r="D264" s="120">
        <f ca="1">SUMIF(ORSA_Valids_SIMs[[Ops Week]:[Ops Week]], $A264, ORSA_Valids_SIMs[Miss])</f>
        <v>0</v>
      </c>
      <c r="E264" s="121"/>
      <c r="F264" s="20">
        <f ca="1">SUMIF(ORSA_Valids_SIMs[[Ops Week]:[Ops Week]], $A264, ORSA_Valids_SIMs[CI])</f>
        <v>0</v>
      </c>
      <c r="G264" s="20">
        <f ca="1">SUMIF(ORSA_Valids_SIMs[[Ops Week]:[Ops Week]], $A264, ORSA_Valids_SIMs[NCI])</f>
        <v>0</v>
      </c>
      <c r="H264" s="120" t="str">
        <f ca="1">IFERROR(
 1000000*D264/$B264,
 "-"
)</f>
        <v>-</v>
      </c>
      <c r="I264" s="121"/>
      <c r="J264" s="20" t="str">
        <f t="shared" ca="1" si="44"/>
        <v>-</v>
      </c>
      <c r="K264" s="20" t="str">
        <f t="shared" ca="1" si="44"/>
        <v>-</v>
      </c>
    </row>
    <row r="265" spans="1:11" ht="11.25" customHeight="1" thickBot="1" x14ac:dyDescent="0.25">
      <c r="A265" s="76">
        <f ca="1">WEEKNUM(TEXT(ORSA_Valids_Date, "MM-DD-YYYY"), 1)</f>
        <v>50</v>
      </c>
      <c r="B265" s="120">
        <f ca="1">COUNTIF(ORSA_Valids_SIMs[Ops Week], A265)</f>
        <v>0</v>
      </c>
      <c r="C265" s="121"/>
      <c r="D265" s="120">
        <f ca="1">SUMIF(ORSA_Valids_SIMs[[Ops Week]:[Ops Week]], $A265, ORSA_Valids_SIMs[Miss])</f>
        <v>0</v>
      </c>
      <c r="E265" s="121"/>
      <c r="F265" s="20">
        <f ca="1">SUMIF(ORSA_Valids_SIMs[[Ops Week]:[Ops Week]], $A265, ORSA_Valids_SIMs[CI])</f>
        <v>0</v>
      </c>
      <c r="G265" s="20">
        <f ca="1">SUMIF(ORSA_Valids_SIMs[[Ops Week]:[Ops Week]], $A265, ORSA_Valids_SIMs[NCI])</f>
        <v>0</v>
      </c>
      <c r="H265" s="120" t="str">
        <f ca="1">IFERROR(
 1000000*D265/$B265,
 "-"
)</f>
        <v>-</v>
      </c>
      <c r="I265" s="121"/>
      <c r="J265" s="20" t="str">
        <f t="shared" ca="1" si="44"/>
        <v>-</v>
      </c>
      <c r="K265" s="20" t="str">
        <f t="shared" ca="1" si="44"/>
        <v>-</v>
      </c>
    </row>
    <row r="266" spans="1:11" ht="11.25" customHeight="1" thickBot="1" x14ac:dyDescent="0.25">
      <c r="A266" s="64"/>
      <c r="B266" s="24"/>
      <c r="C266" s="24"/>
      <c r="D266" s="24"/>
      <c r="E266" s="24"/>
      <c r="F266" s="24"/>
      <c r="G266" s="24"/>
      <c r="H266" s="24"/>
      <c r="I266" s="23"/>
      <c r="J266" s="53"/>
      <c r="K266" s="20"/>
    </row>
    <row r="267" spans="1:11" ht="11.25" customHeight="1" thickBot="1" x14ac:dyDescent="0.25">
      <c r="A267" s="132" t="s">
        <v>5391</v>
      </c>
      <c r="B267" s="133"/>
      <c r="C267" s="133"/>
      <c r="D267" s="133"/>
      <c r="E267" s="133"/>
      <c r="F267" s="133"/>
      <c r="G267" s="133"/>
      <c r="H267" s="133"/>
      <c r="I267" s="133"/>
      <c r="J267" s="133"/>
      <c r="K267" s="134"/>
    </row>
    <row r="268" spans="1:11" ht="11.25" customHeight="1" x14ac:dyDescent="0.2">
      <c r="A268" s="135" t="s">
        <v>5</v>
      </c>
      <c r="B268" s="122" t="s">
        <v>4628</v>
      </c>
      <c r="C268" s="122"/>
      <c r="D268" s="122" t="s">
        <v>4629</v>
      </c>
      <c r="E268" s="122"/>
      <c r="F268" s="122" t="s">
        <v>4630</v>
      </c>
      <c r="G268" s="122" t="s">
        <v>5058</v>
      </c>
      <c r="H268" s="122" t="s">
        <v>4634</v>
      </c>
      <c r="I268" s="122"/>
      <c r="J268" s="122" t="s">
        <v>4635</v>
      </c>
      <c r="K268" s="129" t="s">
        <v>20</v>
      </c>
    </row>
    <row r="269" spans="1:11" ht="11.25" customHeight="1" x14ac:dyDescent="0.2">
      <c r="A269" s="136"/>
      <c r="B269" s="123"/>
      <c r="C269" s="123"/>
      <c r="D269" s="123"/>
      <c r="E269" s="123"/>
      <c r="F269" s="123"/>
      <c r="G269" s="123"/>
      <c r="H269" s="123"/>
      <c r="I269" s="123"/>
      <c r="J269" s="123"/>
      <c r="K269" s="130"/>
    </row>
    <row r="270" spans="1:11" ht="11.25" customHeight="1" thickBot="1" x14ac:dyDescent="0.25">
      <c r="A270" s="137"/>
      <c r="B270" s="123"/>
      <c r="C270" s="123"/>
      <c r="D270" s="123"/>
      <c r="E270" s="123"/>
      <c r="F270" s="124"/>
      <c r="G270" s="124"/>
      <c r="H270" s="124"/>
      <c r="I270" s="124"/>
      <c r="J270" s="124"/>
      <c r="K270" s="131"/>
    </row>
    <row r="271" spans="1:11" ht="11.25" customHeight="1" thickBot="1" x14ac:dyDescent="0.25">
      <c r="A271" s="63">
        <f ca="1">ORSA_Valids_Date -6</f>
        <v>45630</v>
      </c>
      <c r="B271" s="120">
        <f ca="1">COUNTIF(ORSA_Valids_SIMs[Ops Date], $A271)</f>
        <v>0</v>
      </c>
      <c r="C271" s="121"/>
      <c r="D271" s="120">
        <f ca="1">SUMIF(ORSA_Valids_SIMs[[Ops Date]:[Ops Date]], $A271, ORSA_Valids_SIMs[Miss])</f>
        <v>0</v>
      </c>
      <c r="E271" s="121"/>
      <c r="F271" s="20">
        <f ca="1">SUMIF(ORSA_Valids_SIMs[[Ops Date]:[Ops Date]], $A271, ORSA_Valids_SIMs[CI])</f>
        <v>0</v>
      </c>
      <c r="G271" s="20">
        <f ca="1">SUMIF(ORSA_Valids_SIMs[[Ops Date]:[Ops Date]], $A271, ORSA_Valids_SIMs[NCI])</f>
        <v>0</v>
      </c>
      <c r="H271" s="120" t="str">
        <f ca="1">IFERROR(
 1000000*D271/$B271,
 "-"
)</f>
        <v>-</v>
      </c>
      <c r="I271" s="121"/>
      <c r="J271" s="20" t="str">
        <f t="shared" ref="J271:K274" ca="1" si="45">IFERROR(
 1000000*F271/$B271,
 "-"
)</f>
        <v>-</v>
      </c>
      <c r="K271" s="20" t="str">
        <f t="shared" ca="1" si="45"/>
        <v>-</v>
      </c>
    </row>
    <row r="272" spans="1:11" ht="11.25" customHeight="1" thickBot="1" x14ac:dyDescent="0.25">
      <c r="A272" s="63">
        <f ca="1">ORSA_Valids_Date -5</f>
        <v>45631</v>
      </c>
      <c r="B272" s="120">
        <f ca="1">COUNTIF(ORSA_Valids_SIMs[Ops Date], $A272)</f>
        <v>0</v>
      </c>
      <c r="C272" s="121"/>
      <c r="D272" s="120">
        <f ca="1">SUMIF(ORSA_Valids_SIMs[[Ops Date]:[Ops Date]], $A272, ORSA_Valids_SIMs[Miss])</f>
        <v>0</v>
      </c>
      <c r="E272" s="121"/>
      <c r="F272" s="20">
        <f ca="1">SUMIF(ORSA_Valids_SIMs[[Ops Date]:[Ops Date]], $A272, ORSA_Valids_SIMs[CI])</f>
        <v>0</v>
      </c>
      <c r="G272" s="20">
        <f ca="1">SUMIF(ORSA_Valids_SIMs[[Ops Date]:[Ops Date]], $A272, ORSA_Valids_SIMs[NCI])</f>
        <v>0</v>
      </c>
      <c r="H272" s="120" t="str">
        <f ca="1">IFERROR(
 1000000*D272/$B272,
 "-"
)</f>
        <v>-</v>
      </c>
      <c r="I272" s="121"/>
      <c r="J272" s="20" t="str">
        <f t="shared" ca="1" si="45"/>
        <v>-</v>
      </c>
      <c r="K272" s="20" t="str">
        <f t="shared" ca="1" si="45"/>
        <v>-</v>
      </c>
    </row>
    <row r="273" spans="1:11" ht="11.25" customHeight="1" thickBot="1" x14ac:dyDescent="0.25">
      <c r="A273" s="63">
        <f ca="1">ORSA_Valids_Date -4</f>
        <v>45632</v>
      </c>
      <c r="B273" s="120">
        <f ca="1">COUNTIF(ORSA_Valids_SIMs[Ops Date], $A273)</f>
        <v>0</v>
      </c>
      <c r="C273" s="121"/>
      <c r="D273" s="120">
        <f ca="1">SUMIF(ORSA_Valids_SIMs[[Ops Date]:[Ops Date]], $A273, ORSA_Valids_SIMs[Miss])</f>
        <v>0</v>
      </c>
      <c r="E273" s="121"/>
      <c r="F273" s="20">
        <f ca="1">SUMIF(ORSA_Valids_SIMs[[Ops Date]:[Ops Date]], $A273, ORSA_Valids_SIMs[CI])</f>
        <v>0</v>
      </c>
      <c r="G273" s="20">
        <f ca="1">SUMIF(ORSA_Valids_SIMs[[Ops Date]:[Ops Date]], $A273, ORSA_Valids_SIMs[NCI])</f>
        <v>0</v>
      </c>
      <c r="H273" s="120" t="str">
        <f ca="1">IFERROR(
 1000000*D273/$B273,
 "-"
)</f>
        <v>-</v>
      </c>
      <c r="I273" s="121"/>
      <c r="J273" s="20" t="str">
        <f t="shared" ca="1" si="45"/>
        <v>-</v>
      </c>
      <c r="K273" s="20" t="str">
        <f t="shared" ca="1" si="45"/>
        <v>-</v>
      </c>
    </row>
    <row r="274" spans="1:11" ht="11.25" customHeight="1" thickBot="1" x14ac:dyDescent="0.25">
      <c r="A274" s="63">
        <f ca="1">ORSA_Valids_Date -3</f>
        <v>45633</v>
      </c>
      <c r="B274" s="120">
        <f ca="1">COUNTIF(ORSA_Valids_SIMs[Ops Date], $A274)</f>
        <v>0</v>
      </c>
      <c r="C274" s="121"/>
      <c r="D274" s="120">
        <f ca="1">SUMIF(ORSA_Valids_SIMs[[Ops Date]:[Ops Date]], $A274, ORSA_Valids_SIMs[Miss])</f>
        <v>0</v>
      </c>
      <c r="E274" s="121"/>
      <c r="F274" s="20">
        <f ca="1">SUMIF(ORSA_Valids_SIMs[[Ops Date]:[Ops Date]], $A274, ORSA_Valids_SIMs[CI])</f>
        <v>0</v>
      </c>
      <c r="G274" s="20">
        <f ca="1">SUMIF(ORSA_Valids_SIMs[[Ops Date]:[Ops Date]], $A274, ORSA_Valids_SIMs[NCI])</f>
        <v>0</v>
      </c>
      <c r="H274" s="120" t="str">
        <f ca="1">IFERROR(
 1000000*D274/$B274,
 "-"
)</f>
        <v>-</v>
      </c>
      <c r="I274" s="121"/>
      <c r="J274" s="20" t="str">
        <f t="shared" ca="1" si="45"/>
        <v>-</v>
      </c>
      <c r="K274" s="20" t="str">
        <f t="shared" ca="1" si="45"/>
        <v>-</v>
      </c>
    </row>
    <row r="275" spans="1:11" ht="11.25" customHeight="1" thickBot="1" x14ac:dyDescent="0.25">
      <c r="A275" s="63">
        <f ca="1">ORSA_Valids_Date -2</f>
        <v>45634</v>
      </c>
      <c r="B275" s="120">
        <f ca="1">COUNTIF(ORSA_Valids_SIMs[Ops Date], $A275)</f>
        <v>0</v>
      </c>
      <c r="C275" s="121"/>
      <c r="D275" s="120">
        <f ca="1">SUMIF(ORSA_Valids_SIMs[[Ops Date]:[Ops Date]], $A275, ORSA_Valids_SIMs[Miss])</f>
        <v>0</v>
      </c>
      <c r="E275" s="121"/>
      <c r="F275" s="20">
        <f ca="1">SUMIF(ORSA_Valids_SIMs[[Ops Date]:[Ops Date]], $A275, ORSA_Valids_SIMs[CI])</f>
        <v>0</v>
      </c>
      <c r="G275" s="20">
        <f ca="1">SUMIF(ORSA_Valids_SIMs[[Ops Date]:[Ops Date]], $A275, ORSA_Valids_SIMs[NCI])</f>
        <v>0</v>
      </c>
      <c r="H275" s="120" t="str">
        <f t="shared" ref="H275:H277" ca="1" si="46">IFERROR(
 1000000*C275/$B275,
 "-"
)</f>
        <v>-</v>
      </c>
      <c r="I275" s="121"/>
      <c r="J275" s="20" t="str">
        <f t="shared" ref="J275:K277" ca="1" si="47">IFERROR(
 1000000*D275/$B275,
 "-"
)</f>
        <v>-</v>
      </c>
      <c r="K275" s="20" t="str">
        <f t="shared" ca="1" si="47"/>
        <v>-</v>
      </c>
    </row>
    <row r="276" spans="1:11" ht="11.25" customHeight="1" thickBot="1" x14ac:dyDescent="0.25">
      <c r="A276" s="63">
        <f ca="1">ORSA_Valids_Date -1</f>
        <v>45635</v>
      </c>
      <c r="B276" s="120">
        <f ca="1">COUNTIF(ORSA_Valids_SIMs[Ops Date], $A276)</f>
        <v>0</v>
      </c>
      <c r="C276" s="121"/>
      <c r="D276" s="120">
        <f ca="1">SUMIF(ORSA_Valids_SIMs[[Ops Date]:[Ops Date]], $A276, ORSA_Valids_SIMs[Miss])</f>
        <v>0</v>
      </c>
      <c r="E276" s="121"/>
      <c r="F276" s="20">
        <f ca="1">SUMIF(ORSA_Valids_SIMs[[Ops Date]:[Ops Date]], $A276, ORSA_Valids_SIMs[CI])</f>
        <v>0</v>
      </c>
      <c r="G276" s="20">
        <f ca="1">SUMIF(ORSA_Valids_SIMs[[Ops Date]:[Ops Date]], $A276, ORSA_Valids_SIMs[NCI])</f>
        <v>0</v>
      </c>
      <c r="H276" s="120" t="str">
        <f t="shared" ca="1" si="46"/>
        <v>-</v>
      </c>
      <c r="I276" s="121"/>
      <c r="J276" s="20" t="str">
        <f t="shared" ca="1" si="47"/>
        <v>-</v>
      </c>
      <c r="K276" s="20" t="str">
        <f t="shared" ca="1" si="47"/>
        <v>-</v>
      </c>
    </row>
    <row r="277" spans="1:11" ht="11.25" customHeight="1" thickBot="1" x14ac:dyDescent="0.25">
      <c r="A277" s="63">
        <f ca="1">ORSA_Valids_Date</f>
        <v>45636</v>
      </c>
      <c r="B277" s="120">
        <f ca="1">COUNTIF(ORSA_Valids_SIMs[Ops Date], $A277)</f>
        <v>0</v>
      </c>
      <c r="C277" s="121"/>
      <c r="D277" s="120">
        <f ca="1">SUMIF(ORSA_Valids_SIMs[[Ops Date]:[Ops Date]], $A277, ORSA_Valids_SIMs[Miss])</f>
        <v>0</v>
      </c>
      <c r="E277" s="121"/>
      <c r="F277" s="20">
        <f ca="1">SUMIF(ORSA_Valids_SIMs[[Ops Date]:[Ops Date]], $A277, ORSA_Valids_SIMs[CI])</f>
        <v>0</v>
      </c>
      <c r="G277" s="20">
        <f ca="1">SUMIF(ORSA_Valids_SIMs[[Ops Date]:[Ops Date]], $A277, ORSA_Valids_SIMs[NCI])</f>
        <v>0</v>
      </c>
      <c r="H277" s="120" t="str">
        <f t="shared" ca="1" si="46"/>
        <v>-</v>
      </c>
      <c r="I277" s="121"/>
      <c r="J277" s="20" t="str">
        <f t="shared" ca="1" si="47"/>
        <v>-</v>
      </c>
      <c r="K277" s="20" t="str">
        <f t="shared" ca="1" si="47"/>
        <v>-</v>
      </c>
    </row>
    <row r="278" spans="1:11" ht="11.25" customHeight="1" thickBot="1" x14ac:dyDescent="0.25">
      <c r="A278" s="65"/>
      <c r="B278" s="24"/>
      <c r="C278" s="24"/>
      <c r="D278" s="24"/>
      <c r="E278" s="24"/>
      <c r="F278" s="24"/>
      <c r="G278" s="24"/>
      <c r="H278" s="24"/>
      <c r="I278" s="23"/>
      <c r="J278" s="53"/>
      <c r="K278" s="106"/>
    </row>
    <row r="279" spans="1:11" ht="11.25" customHeight="1" thickBot="1" x14ac:dyDescent="0.25">
      <c r="A279" s="138" t="s">
        <v>5387</v>
      </c>
      <c r="B279" s="139"/>
      <c r="C279" s="139"/>
      <c r="D279" s="139"/>
      <c r="E279" s="139"/>
      <c r="F279" s="139"/>
      <c r="G279" s="139"/>
      <c r="H279" s="139"/>
      <c r="I279" s="139"/>
      <c r="J279" s="139"/>
      <c r="K279" s="140"/>
    </row>
    <row r="280" spans="1:11" ht="11.25" customHeight="1" thickBot="1" x14ac:dyDescent="0.25">
      <c r="A280" s="125"/>
      <c r="B280" s="126"/>
      <c r="C280" s="126"/>
      <c r="D280" s="127"/>
      <c r="E280" s="141"/>
      <c r="F280" s="142"/>
      <c r="G280" s="142"/>
      <c r="H280" s="142"/>
      <c r="I280" s="142"/>
      <c r="J280" s="142"/>
      <c r="K280" s="143"/>
    </row>
    <row r="281" spans="1:11" ht="11.25" customHeight="1" thickBot="1" x14ac:dyDescent="0.25">
      <c r="A281" s="125"/>
      <c r="B281" s="126"/>
      <c r="C281" s="126"/>
      <c r="D281" s="126"/>
      <c r="E281" s="126"/>
      <c r="F281" s="126"/>
      <c r="G281" s="126"/>
      <c r="H281" s="126"/>
      <c r="I281" s="126"/>
      <c r="J281" s="126"/>
      <c r="K281" s="127"/>
    </row>
    <row r="282" spans="1:11" ht="11.25" customHeight="1" thickBot="1" x14ac:dyDescent="0.25">
      <c r="A282" s="144" t="s">
        <v>5388</v>
      </c>
      <c r="B282" s="145"/>
      <c r="C282" s="145"/>
      <c r="D282" s="145"/>
      <c r="E282" s="145"/>
      <c r="F282" s="145"/>
      <c r="G282" s="145"/>
      <c r="H282" s="145"/>
      <c r="I282" s="145"/>
      <c r="J282" s="145"/>
      <c r="K282" s="146"/>
    </row>
    <row r="283" spans="1:11" ht="11.25" customHeight="1" x14ac:dyDescent="0.2">
      <c r="A283" s="147" t="s">
        <v>4627</v>
      </c>
      <c r="B283" s="122" t="s">
        <v>4628</v>
      </c>
      <c r="C283" s="122"/>
      <c r="D283" s="122" t="s">
        <v>4629</v>
      </c>
      <c r="E283" s="122"/>
      <c r="F283" s="122" t="s">
        <v>4630</v>
      </c>
      <c r="G283" s="122" t="s">
        <v>5058</v>
      </c>
      <c r="H283" s="122" t="s">
        <v>4634</v>
      </c>
      <c r="I283" s="122"/>
      <c r="J283" s="122" t="s">
        <v>4635</v>
      </c>
      <c r="K283" s="129" t="s">
        <v>20</v>
      </c>
    </row>
    <row r="284" spans="1:11" ht="11.25" customHeight="1" x14ac:dyDescent="0.2">
      <c r="A284" s="148"/>
      <c r="B284" s="123"/>
      <c r="C284" s="123"/>
      <c r="D284" s="123"/>
      <c r="E284" s="123"/>
      <c r="F284" s="128"/>
      <c r="G284" s="128"/>
      <c r="H284" s="123"/>
      <c r="I284" s="123"/>
      <c r="J284" s="128"/>
      <c r="K284" s="130"/>
    </row>
    <row r="285" spans="1:11" ht="11.25" customHeight="1" thickBot="1" x14ac:dyDescent="0.25">
      <c r="A285" s="149"/>
      <c r="B285" s="124"/>
      <c r="C285" s="124"/>
      <c r="D285" s="124"/>
      <c r="E285" s="124"/>
      <c r="F285" s="124"/>
      <c r="G285" s="124"/>
      <c r="H285" s="124"/>
      <c r="I285" s="124"/>
      <c r="J285" s="124"/>
      <c r="K285" s="131"/>
    </row>
    <row r="286" spans="1:11" ht="11.25" customHeight="1" thickBot="1" x14ac:dyDescent="0.25">
      <c r="A286" s="76">
        <f ca="1">WEEKNUM(TEXT(ORSA_Invalids_Date, "MM-DD-YYYY"), 1)-3</f>
        <v>47</v>
      </c>
      <c r="B286" s="120">
        <f ca="1">COUNTIF(ORSA_Invalids_SIMs[Ops Week], A286)</f>
        <v>0</v>
      </c>
      <c r="C286" s="121"/>
      <c r="D286" s="120">
        <f ca="1">SUMIF(ORSA_Invalids_SIMs[[Ops Week]:[Ops Week]], $A286, ORSA_Invalids_SIMs[Miss])</f>
        <v>0</v>
      </c>
      <c r="E286" s="121"/>
      <c r="F286" s="20">
        <f ca="1">SUMIF(ORSA_Invalids_SIMs[[Ops Week]:[Ops Week]], $A286, ORSA_Invalids_SIMs[CI])</f>
        <v>0</v>
      </c>
      <c r="G286" s="20">
        <f ca="1">SUMIF(ORSA_Invalids_SIMs[[Ops Week]:[Ops Week]], $A286, ORSA_Invalids_SIMs[NCI])</f>
        <v>0</v>
      </c>
      <c r="H286" s="120" t="str">
        <f ca="1">IFERROR(
 1000000*D286/$B286,
 "-"
)</f>
        <v>-</v>
      </c>
      <c r="I286" s="121"/>
      <c r="J286" s="20" t="str">
        <f t="shared" ref="J286:J289" ca="1" si="48">IFERROR(
 1000000*F286/$B286,
 "-"
)</f>
        <v>-</v>
      </c>
      <c r="K286" s="20" t="str">
        <f t="shared" ref="K286:K289" ca="1" si="49">IFERROR(
 1000000*G286/$B286,
 "-"
)</f>
        <v>-</v>
      </c>
    </row>
    <row r="287" spans="1:11" ht="11.25" customHeight="1" thickBot="1" x14ac:dyDescent="0.25">
      <c r="A287" s="76">
        <f ca="1">WEEKNUM(TEXT(ORSA_Invalids_Date, "MM-DD-YYYY"), 1)-2</f>
        <v>48</v>
      </c>
      <c r="B287" s="120">
        <f ca="1">COUNTIF(ORSA_Invalids_SIMs[Ops Week], A287)</f>
        <v>0</v>
      </c>
      <c r="C287" s="121"/>
      <c r="D287" s="120">
        <f ca="1">SUMIF(ORSA_Invalids_SIMs[[Ops Week]:[Ops Week]], $A287, ORSA_Invalids_SIMs[Miss])</f>
        <v>0</v>
      </c>
      <c r="E287" s="121"/>
      <c r="F287" s="20">
        <f ca="1">SUMIF(ORSA_Invalids_SIMs[[Ops Week]:[Ops Week]], $A287, ORSA_Invalids_SIMs[CI])</f>
        <v>0</v>
      </c>
      <c r="G287" s="20">
        <f ca="1">SUMIF(ORSA_Invalids_SIMs[[Ops Week]:[Ops Week]], $A287, ORSA_Invalids_SIMs[NCI])</f>
        <v>0</v>
      </c>
      <c r="H287" s="120" t="str">
        <f ca="1">IFERROR(
 1000000*D287/$B287,
 "-"
)</f>
        <v>-</v>
      </c>
      <c r="I287" s="121"/>
      <c r="J287" s="20" t="str">
        <f t="shared" ca="1" si="48"/>
        <v>-</v>
      </c>
      <c r="K287" s="20" t="str">
        <f t="shared" ca="1" si="49"/>
        <v>-</v>
      </c>
    </row>
    <row r="288" spans="1:11" ht="11.25" customHeight="1" thickBot="1" x14ac:dyDescent="0.25">
      <c r="A288" s="76">
        <f ca="1">WEEKNUM(TEXT(ORSA_Invalids_Date, "MM-DD-YYYY"), 1) -1</f>
        <v>49</v>
      </c>
      <c r="B288" s="120">
        <f ca="1">COUNTIF(ORSA_Invalids_SIMs[Ops Week], A288)</f>
        <v>0</v>
      </c>
      <c r="C288" s="121"/>
      <c r="D288" s="120">
        <f ca="1">SUMIF(ORSA_Invalids_SIMs[[Ops Week]:[Ops Week]], $A288, ORSA_Invalids_SIMs[Miss])</f>
        <v>0</v>
      </c>
      <c r="E288" s="121"/>
      <c r="F288" s="20">
        <f ca="1">SUMIF(ORSA_Invalids_SIMs[[Ops Week]:[Ops Week]], $A288, ORSA_Invalids_SIMs[CI])</f>
        <v>0</v>
      </c>
      <c r="G288" s="20">
        <f ca="1">SUMIF(ORSA_Invalids_SIMs[[Ops Week]:[Ops Week]], $A288, ORSA_Invalids_SIMs[NCI])</f>
        <v>0</v>
      </c>
      <c r="H288" s="120" t="str">
        <f ca="1">IFERROR(
 1000000*D288/$B288,
 "-"
)</f>
        <v>-</v>
      </c>
      <c r="I288" s="121"/>
      <c r="J288" s="20" t="str">
        <f t="shared" ca="1" si="48"/>
        <v>-</v>
      </c>
      <c r="K288" s="20" t="str">
        <f t="shared" ca="1" si="49"/>
        <v>-</v>
      </c>
    </row>
    <row r="289" spans="1:11" ht="11.25" customHeight="1" thickBot="1" x14ac:dyDescent="0.25">
      <c r="A289" s="76">
        <f ca="1">WEEKNUM(TEXT(ORSA_Invalids_Date, "MM-DD-YYYY"), 1)</f>
        <v>50</v>
      </c>
      <c r="B289" s="120">
        <f ca="1">COUNTIF(ORSA_Invalids_SIMs[Ops Week], A289)</f>
        <v>0</v>
      </c>
      <c r="C289" s="121"/>
      <c r="D289" s="120">
        <f ca="1">SUMIF(ORSA_Invalids_SIMs[[Ops Week]:[Ops Week]], $A289, ORSA_Invalids_SIMs[Miss])</f>
        <v>0</v>
      </c>
      <c r="E289" s="121"/>
      <c r="F289" s="20">
        <f ca="1">SUMIF(ORSA_Invalids_SIMs[[Ops Week]:[Ops Week]], $A289, ORSA_Invalids_SIMs[CI])</f>
        <v>0</v>
      </c>
      <c r="G289" s="20">
        <f ca="1">SUMIF(ORSA_Invalids_SIMs[[Ops Week]:[Ops Week]], $A289, ORSA_Invalids_SIMs[NCI])</f>
        <v>0</v>
      </c>
      <c r="H289" s="120" t="str">
        <f ca="1">IFERROR(
 1000000*D289/$B289,
 "-"
)</f>
        <v>-</v>
      </c>
      <c r="I289" s="121"/>
      <c r="J289" s="20" t="str">
        <f t="shared" ca="1" si="48"/>
        <v>-</v>
      </c>
      <c r="K289" s="20" t="str">
        <f t="shared" ca="1" si="49"/>
        <v>-</v>
      </c>
    </row>
    <row r="290" spans="1:11" ht="11.25" customHeight="1" thickBot="1" x14ac:dyDescent="0.25">
      <c r="A290" s="64"/>
      <c r="B290" s="24"/>
      <c r="C290" s="24"/>
      <c r="D290" s="24"/>
      <c r="E290" s="24"/>
      <c r="F290" s="24"/>
      <c r="G290" s="24"/>
      <c r="H290" s="24"/>
      <c r="I290" s="23"/>
      <c r="J290" s="53"/>
      <c r="K290" s="20"/>
    </row>
    <row r="291" spans="1:11" ht="11.25" customHeight="1" thickBot="1" x14ac:dyDescent="0.25">
      <c r="A291" s="132" t="s">
        <v>5389</v>
      </c>
      <c r="B291" s="133"/>
      <c r="C291" s="133"/>
      <c r="D291" s="133"/>
      <c r="E291" s="133"/>
      <c r="F291" s="133"/>
      <c r="G291" s="133"/>
      <c r="H291" s="133"/>
      <c r="I291" s="133"/>
      <c r="J291" s="133"/>
      <c r="K291" s="134"/>
    </row>
    <row r="292" spans="1:11" ht="11.25" customHeight="1" x14ac:dyDescent="0.2">
      <c r="A292" s="135" t="s">
        <v>5</v>
      </c>
      <c r="B292" s="122" t="s">
        <v>4628</v>
      </c>
      <c r="C292" s="122"/>
      <c r="D292" s="122" t="s">
        <v>4629</v>
      </c>
      <c r="E292" s="122"/>
      <c r="F292" s="122" t="s">
        <v>4630</v>
      </c>
      <c r="G292" s="122" t="s">
        <v>5058</v>
      </c>
      <c r="H292" s="122" t="s">
        <v>4634</v>
      </c>
      <c r="I292" s="122"/>
      <c r="J292" s="122" t="s">
        <v>4635</v>
      </c>
      <c r="K292" s="129" t="s">
        <v>20</v>
      </c>
    </row>
    <row r="293" spans="1:11" ht="11.25" customHeight="1" x14ac:dyDescent="0.2">
      <c r="A293" s="136"/>
      <c r="B293" s="123"/>
      <c r="C293" s="123"/>
      <c r="D293" s="123"/>
      <c r="E293" s="123"/>
      <c r="F293" s="123"/>
      <c r="G293" s="123"/>
      <c r="H293" s="123"/>
      <c r="I293" s="123"/>
      <c r="J293" s="123"/>
      <c r="K293" s="130"/>
    </row>
    <row r="294" spans="1:11" ht="11.25" customHeight="1" thickBot="1" x14ac:dyDescent="0.25">
      <c r="A294" s="137"/>
      <c r="B294" s="123"/>
      <c r="C294" s="123"/>
      <c r="D294" s="123"/>
      <c r="E294" s="123"/>
      <c r="F294" s="124"/>
      <c r="G294" s="124"/>
      <c r="H294" s="124"/>
      <c r="I294" s="124"/>
      <c r="J294" s="124"/>
      <c r="K294" s="131"/>
    </row>
    <row r="295" spans="1:11" ht="11.25" customHeight="1" thickBot="1" x14ac:dyDescent="0.25">
      <c r="A295" s="63">
        <f ca="1">ORSA_Invalids_Date -6</f>
        <v>45630</v>
      </c>
      <c r="B295" s="120">
        <f ca="1">COUNTIF(ORSA_Invalids_SIMs[Ops Date], $A295)</f>
        <v>0</v>
      </c>
      <c r="C295" s="121"/>
      <c r="D295" s="120">
        <f ca="1">SUMIF(ORSA_Invalids_SIMs[[Ops Date]:[Ops Date]], $A295, ORSA_Invalids_SIMs[Miss])</f>
        <v>0</v>
      </c>
      <c r="E295" s="121"/>
      <c r="F295" s="20">
        <f ca="1">SUMIF(ORSA_Invalids_SIMs[[Ops Date]:[Ops Date]], $A295, ORSA_Invalids_SIMs[CI])</f>
        <v>0</v>
      </c>
      <c r="G295" s="20">
        <f ca="1">SUMIF(ORSA_Invalids_SIMs[[Ops Date]:[Ops Date]], $A295, ORSA_Invalids_SIMs[NCI])</f>
        <v>0</v>
      </c>
      <c r="H295" s="120" t="str">
        <f ca="1">IFERROR(
 1000000*D295/$B295,
 "-"
)</f>
        <v>-</v>
      </c>
      <c r="I295" s="121"/>
      <c r="J295" s="20" t="str">
        <f t="shared" ref="J295:J298" ca="1" si="50">IFERROR(
 1000000*F295/$B295,
 "-"
)</f>
        <v>-</v>
      </c>
      <c r="K295" s="20" t="str">
        <f t="shared" ref="K295:K298" ca="1" si="51">IFERROR(
 1000000*G295/$B295,
 "-"
)</f>
        <v>-</v>
      </c>
    </row>
    <row r="296" spans="1:11" ht="11.25" customHeight="1" thickBot="1" x14ac:dyDescent="0.25">
      <c r="A296" s="63">
        <f ca="1">ORSA_Invalids_Date -5</f>
        <v>45631</v>
      </c>
      <c r="B296" s="120">
        <f ca="1">COUNTIF(ORSA_Invalids_SIMs[Ops Date], $A296)</f>
        <v>0</v>
      </c>
      <c r="C296" s="121"/>
      <c r="D296" s="120">
        <f ca="1">SUMIF(ORSA_Invalids_SIMs[[Ops Date]:[Ops Date]], $A296, ORSA_Invalids_SIMs[Miss])</f>
        <v>0</v>
      </c>
      <c r="E296" s="121"/>
      <c r="F296" s="20">
        <f ca="1">SUMIF(ORSA_Invalids_SIMs[[Ops Date]:[Ops Date]], $A296, ORSA_Invalids_SIMs[CI])</f>
        <v>0</v>
      </c>
      <c r="G296" s="20">
        <f ca="1">SUMIF(ORSA_Invalids_SIMs[[Ops Date]:[Ops Date]], $A296, ORSA_Invalids_SIMs[NCI])</f>
        <v>0</v>
      </c>
      <c r="H296" s="120" t="str">
        <f ca="1">IFERROR(
 1000000*D296/$B296,
 "-"
)</f>
        <v>-</v>
      </c>
      <c r="I296" s="121"/>
      <c r="J296" s="20" t="str">
        <f t="shared" ca="1" si="50"/>
        <v>-</v>
      </c>
      <c r="K296" s="20" t="str">
        <f t="shared" ca="1" si="51"/>
        <v>-</v>
      </c>
    </row>
    <row r="297" spans="1:11" ht="11.25" customHeight="1" thickBot="1" x14ac:dyDescent="0.25">
      <c r="A297" s="63">
        <f ca="1">ORSA_Invalids_Date -4</f>
        <v>45632</v>
      </c>
      <c r="B297" s="120">
        <f ca="1">COUNTIF(ORSA_Invalids_SIMs[Ops Date], $A297)</f>
        <v>0</v>
      </c>
      <c r="C297" s="121"/>
      <c r="D297" s="120">
        <f ca="1">SUMIF(ORSA_Invalids_SIMs[[Ops Date]:[Ops Date]], $A297, ORSA_Invalids_SIMs[Miss])</f>
        <v>0</v>
      </c>
      <c r="E297" s="121"/>
      <c r="F297" s="20">
        <f ca="1">SUMIF(ORSA_Invalids_SIMs[[Ops Date]:[Ops Date]], $A297, ORSA_Invalids_SIMs[CI])</f>
        <v>0</v>
      </c>
      <c r="G297" s="20">
        <f ca="1">SUMIF(ORSA_Invalids_SIMs[[Ops Date]:[Ops Date]], $A297, ORSA_Invalids_SIMs[NCI])</f>
        <v>0</v>
      </c>
      <c r="H297" s="120" t="str">
        <f ca="1">IFERROR(
 1000000*D297/$B297,
 "-"
)</f>
        <v>-</v>
      </c>
      <c r="I297" s="121"/>
      <c r="J297" s="20" t="str">
        <f t="shared" ca="1" si="50"/>
        <v>-</v>
      </c>
      <c r="K297" s="20" t="str">
        <f t="shared" ca="1" si="51"/>
        <v>-</v>
      </c>
    </row>
    <row r="298" spans="1:11" ht="11.25" customHeight="1" thickBot="1" x14ac:dyDescent="0.25">
      <c r="A298" s="63">
        <f ca="1">ORSA_Invalids_Date -3</f>
        <v>45633</v>
      </c>
      <c r="B298" s="120">
        <f ca="1">COUNTIF(ORSA_Invalids_SIMs[Ops Date], $A298)</f>
        <v>0</v>
      </c>
      <c r="C298" s="121"/>
      <c r="D298" s="120">
        <f ca="1">SUMIF(ORSA_Invalids_SIMs[[Ops Date]:[Ops Date]], $A298, ORSA_Invalids_SIMs[Miss])</f>
        <v>0</v>
      </c>
      <c r="E298" s="121"/>
      <c r="F298" s="20">
        <f ca="1">SUMIF(ORSA_Invalids_SIMs[[Ops Date]:[Ops Date]], $A298, ORSA_Invalids_SIMs[CI])</f>
        <v>0</v>
      </c>
      <c r="G298" s="20">
        <f ca="1">SUMIF(ORSA_Invalids_SIMs[[Ops Date]:[Ops Date]], $A298, ORSA_Invalids_SIMs[NCI])</f>
        <v>0</v>
      </c>
      <c r="H298" s="120" t="str">
        <f ca="1">IFERROR(
 1000000*D298/$B298,
 "-"
)</f>
        <v>-</v>
      </c>
      <c r="I298" s="121"/>
      <c r="J298" s="20" t="str">
        <f t="shared" ca="1" si="50"/>
        <v>-</v>
      </c>
      <c r="K298" s="20" t="str">
        <f t="shared" ca="1" si="51"/>
        <v>-</v>
      </c>
    </row>
    <row r="299" spans="1:11" ht="11.25" customHeight="1" thickBot="1" x14ac:dyDescent="0.25">
      <c r="A299" s="63">
        <f ca="1">ORSA_Invalids_Date -2</f>
        <v>45634</v>
      </c>
      <c r="B299" s="120">
        <f ca="1">COUNTIF(ORSA_Invalids_SIMs[Ops Date], $A299)</f>
        <v>0</v>
      </c>
      <c r="C299" s="121"/>
      <c r="D299" s="120">
        <f ca="1">SUMIF(ORSA_Invalids_SIMs[[Ops Date]:[Ops Date]], $A299, ORSA_Invalids_SIMs[Miss])</f>
        <v>0</v>
      </c>
      <c r="E299" s="121"/>
      <c r="F299" s="20">
        <f ca="1">SUMIF(ORSA_Invalids_SIMs[[Ops Date]:[Ops Date]], $A299, ORSA_Invalids_SIMs[CI])</f>
        <v>0</v>
      </c>
      <c r="G299" s="20">
        <f ca="1">SUMIF(ORSA_Invalids_SIMs[[Ops Date]:[Ops Date]], $A299, ORSA_Invalids_SIMs[NCI])</f>
        <v>0</v>
      </c>
      <c r="H299" s="120" t="str">
        <f t="shared" ref="H299" ca="1" si="52">IFERROR(
 1000000*C299/$B299,
 "-"
)</f>
        <v>-</v>
      </c>
      <c r="I299" s="121"/>
      <c r="J299" s="20" t="str">
        <f t="shared" ref="J299:J300" ca="1" si="53">IFERROR(
 1000000*D299/$B299,
 "-"
)</f>
        <v>-</v>
      </c>
      <c r="K299" s="20" t="str">
        <f t="shared" ref="K299:K300" ca="1" si="54">IFERROR(
 1000000*E299/$B299,
 "-"
)</f>
        <v>-</v>
      </c>
    </row>
    <row r="300" spans="1:11" ht="11.25" customHeight="1" thickBot="1" x14ac:dyDescent="0.25">
      <c r="A300" s="63">
        <f ca="1">ORSA_Invalids_Date -1</f>
        <v>45635</v>
      </c>
      <c r="B300" s="120">
        <f ca="1">COUNTIF(ORSA_Invalids_SIMs[Ops Date], $A300)</f>
        <v>0</v>
      </c>
      <c r="C300" s="121"/>
      <c r="D300" s="120">
        <f ca="1">SUMIF(ORSA_Invalids_SIMs[[Ops Date]:[Ops Date]], $A300, ORSA_Invalids_SIMs[Miss])</f>
        <v>0</v>
      </c>
      <c r="E300" s="121"/>
      <c r="F300" s="20">
        <f ca="1">SUMIF(ORSA_Invalids_SIMs[[Ops Date]:[Ops Date]], $A300, ORSA_Invalids_SIMs[CI])</f>
        <v>0</v>
      </c>
      <c r="G300" s="20">
        <f ca="1">SUMIF(ORSA_Invalids_SIMs[[Ops Date]:[Ops Date]], $A300, ORSA_Invalids_SIMs[NCI])</f>
        <v>0</v>
      </c>
      <c r="H300" s="120" t="str">
        <f t="shared" ref="H300" ca="1" si="55">IFERROR(
 1000000*C300/$B300,
 "-"
)</f>
        <v>-</v>
      </c>
      <c r="I300" s="121"/>
      <c r="J300" s="20" t="str">
        <f t="shared" ca="1" si="53"/>
        <v>-</v>
      </c>
      <c r="K300" s="20" t="str">
        <f t="shared" ca="1" si="54"/>
        <v>-</v>
      </c>
    </row>
    <row r="301" spans="1:11" ht="11.25" customHeight="1" thickBot="1" x14ac:dyDescent="0.25">
      <c r="A301" s="63">
        <f ca="1">ORSA_Invalids_Date</f>
        <v>45636</v>
      </c>
      <c r="B301" s="120">
        <f ca="1">COUNTIF(ORSA_Invalids_SIMs[Ops Date], $A301)</f>
        <v>0</v>
      </c>
      <c r="C301" s="121"/>
      <c r="D301" s="120">
        <f ca="1">SUMIF(ORSA_Invalids_SIMs[[Ops Date]:[Ops Date]], $A301, ORSA_Invalids_SIMs[Miss])</f>
        <v>0</v>
      </c>
      <c r="E301" s="121"/>
      <c r="F301" s="20">
        <f ca="1">SUMIF(ORSA_Invalids_SIMs[[Ops Date]:[Ops Date]], $A301, ORSA_Invalids_SIMs[CI])</f>
        <v>0</v>
      </c>
      <c r="G301" s="20">
        <f ca="1">SUMIF(ORSA_Invalids_SIMs[[Ops Date]:[Ops Date]], $A301, ORSA_Invalids_SIMs[NCI])</f>
        <v>0</v>
      </c>
      <c r="H301" s="120" t="str">
        <f t="shared" ref="H301" ca="1" si="56">IFERROR(
 1000000*C301/$B301,
 "-"
)</f>
        <v>-</v>
      </c>
      <c r="I301" s="121"/>
      <c r="J301" s="20" t="str">
        <f t="shared" ref="J301" ca="1" si="57">IFERROR(
 1000000*D301/$B301,
 "-"
)</f>
        <v>-</v>
      </c>
      <c r="K301" s="20" t="str">
        <f t="shared" ref="K301" ca="1" si="58">IFERROR(
 1000000*E301/$B301,
 "-"
)</f>
        <v>-</v>
      </c>
    </row>
    <row r="302" spans="1:11" ht="11.25" customHeight="1" thickBot="1" x14ac:dyDescent="0.25">
      <c r="A302" s="65"/>
      <c r="B302" s="24"/>
      <c r="C302" s="24"/>
      <c r="D302" s="24"/>
      <c r="E302" s="24"/>
      <c r="F302" s="24"/>
      <c r="G302" s="24"/>
      <c r="H302" s="24"/>
      <c r="I302" s="23"/>
      <c r="J302" s="53"/>
      <c r="K302" s="105"/>
    </row>
    <row r="303" spans="1:11" ht="11.25" customHeight="1" thickBot="1" x14ac:dyDescent="0.25">
      <c r="A303" s="138" t="s">
        <v>4641</v>
      </c>
      <c r="B303" s="139"/>
      <c r="C303" s="139"/>
      <c r="D303" s="139"/>
      <c r="E303" s="139"/>
      <c r="F303" s="139"/>
      <c r="G303" s="139"/>
      <c r="H303" s="139"/>
      <c r="I303" s="139"/>
      <c r="J303" s="139"/>
      <c r="K303" s="140"/>
    </row>
    <row r="304" spans="1:11" ht="11.25" customHeight="1" thickBot="1" x14ac:dyDescent="0.25">
      <c r="A304" s="125"/>
      <c r="B304" s="126"/>
      <c r="C304" s="126"/>
      <c r="D304" s="127"/>
      <c r="E304" s="141"/>
      <c r="F304" s="142"/>
      <c r="G304" s="142"/>
      <c r="H304" s="142"/>
      <c r="I304" s="142"/>
      <c r="J304" s="142"/>
      <c r="K304" s="143"/>
    </row>
    <row r="305" spans="1:11" ht="11.25" customHeight="1" thickBot="1" x14ac:dyDescent="0.25">
      <c r="A305" s="125"/>
      <c r="B305" s="126"/>
      <c r="C305" s="126"/>
      <c r="D305" s="126"/>
      <c r="E305" s="126"/>
      <c r="F305" s="126"/>
      <c r="G305" s="126"/>
      <c r="H305" s="126"/>
      <c r="I305" s="126"/>
      <c r="J305" s="126"/>
      <c r="K305" s="127"/>
    </row>
    <row r="306" spans="1:11" ht="11.25" customHeight="1" thickBot="1" x14ac:dyDescent="0.25">
      <c r="A306" s="144" t="s">
        <v>4642</v>
      </c>
      <c r="B306" s="145"/>
      <c r="C306" s="145"/>
      <c r="D306" s="145"/>
      <c r="E306" s="145"/>
      <c r="F306" s="145"/>
      <c r="G306" s="145"/>
      <c r="H306" s="145"/>
      <c r="I306" s="145"/>
      <c r="J306" s="145"/>
      <c r="K306" s="146"/>
    </row>
    <row r="307" spans="1:11" ht="11.25" customHeight="1" x14ac:dyDescent="0.2">
      <c r="A307" s="147" t="s">
        <v>4627</v>
      </c>
      <c r="B307" s="122" t="s">
        <v>4628</v>
      </c>
      <c r="C307" s="122" t="s">
        <v>4629</v>
      </c>
      <c r="D307" s="122" t="s">
        <v>4630</v>
      </c>
      <c r="E307" s="122" t="s">
        <v>5058</v>
      </c>
      <c r="F307" s="122" t="s">
        <v>4631</v>
      </c>
      <c r="G307" s="122" t="s">
        <v>4632</v>
      </c>
      <c r="H307" s="122" t="s">
        <v>4634</v>
      </c>
      <c r="I307" s="122"/>
      <c r="J307" s="122" t="s">
        <v>4635</v>
      </c>
      <c r="K307" s="129" t="s">
        <v>20</v>
      </c>
    </row>
    <row r="308" spans="1:11" ht="11.25" customHeight="1" x14ac:dyDescent="0.2">
      <c r="A308" s="148"/>
      <c r="B308" s="128"/>
      <c r="C308" s="128"/>
      <c r="D308" s="128"/>
      <c r="E308" s="128"/>
      <c r="F308" s="123"/>
      <c r="G308" s="123"/>
      <c r="H308" s="123"/>
      <c r="I308" s="123"/>
      <c r="J308" s="128"/>
      <c r="K308" s="130"/>
    </row>
    <row r="309" spans="1:11" ht="11.25" customHeight="1" thickBot="1" x14ac:dyDescent="0.25">
      <c r="A309" s="149"/>
      <c r="B309" s="124"/>
      <c r="C309" s="124"/>
      <c r="D309" s="124"/>
      <c r="E309" s="124"/>
      <c r="F309" s="124"/>
      <c r="G309" s="124"/>
      <c r="H309" s="124"/>
      <c r="I309" s="124"/>
      <c r="J309" s="124"/>
      <c r="K309" s="131"/>
    </row>
    <row r="310" spans="1:11" ht="11.25" customHeight="1" thickBot="1" x14ac:dyDescent="0.25">
      <c r="A310" s="62">
        <f ca="1">_xlfn.LET(_xlpm.weekNum, WEEKNUM(MOPAR_Manual_Captures_Date - 21),
IF(_xlpm.weekNum &gt; 52, 1, _xlpm.weekNum))</f>
        <v>47</v>
      </c>
      <c r="B310" s="20">
        <f ca="1">COUNTIF(MOPAR_Manual_Captures_SIMs[Ops Week], A310)</f>
        <v>0</v>
      </c>
      <c r="C310" s="20">
        <f ca="1">SUMIF(MOPAR_Manual_Captures_SIMs[[Ops Week]:[Ops Week]], $A310, MOPAR_Manual_Captures_SIMs[Miss])</f>
        <v>0</v>
      </c>
      <c r="D310" s="20">
        <f ca="1">SUMIF(MOPAR_Manual_Captures_SIMs[[Ops Week]:[Ops Week]], $A310, MOPAR_Manual_Captures_SIMs[CI])</f>
        <v>0</v>
      </c>
      <c r="E310" s="20">
        <f ca="1">SUMIF(MOPAR_Manual_Captures_SIMs[[Ops Week]:[Ops Week]], $A310, MOPAR_Manual_Captures_SIMs[NCI])</f>
        <v>0</v>
      </c>
      <c r="F310" s="20">
        <f ca="1">SUMIF(MOPAR_Manual_Captures_SIMs[[Ops Week]:[Ops Week]], $A310, MOPAR_Manual_Captures_SIMs[Operator Follow-up])</f>
        <v>0</v>
      </c>
      <c r="G310" s="20">
        <f ca="1">SUMIF(MOPAR_Manual_Captures_SIMs[[Ops Week]:[Ops Week]], $A310, MOPAR_Manual_Captures_SIMs[False Resolution])</f>
        <v>0</v>
      </c>
      <c r="H310" s="120" t="str">
        <f ca="1">IFERROR(
 1000000*C310/$B310,
 "-"
)</f>
        <v>-</v>
      </c>
      <c r="I310" s="121"/>
      <c r="J310" s="20" t="str">
        <f t="shared" ref="J310:J313" ca="1" si="59">IFERROR(
 1000000*D310/$B310,
 "-"
)</f>
        <v>-</v>
      </c>
      <c r="K310" s="20" t="str">
        <f t="shared" ref="K310:K313" ca="1" si="60">IFERROR(
 1000000*E310/$B310,
 "-"
)</f>
        <v>-</v>
      </c>
    </row>
    <row r="311" spans="1:11" ht="11.25" customHeight="1" thickBot="1" x14ac:dyDescent="0.25">
      <c r="A311" s="62">
        <f ca="1">_xlfn.LET(_xlpm.weekNum, WEEKNUM(MOPAR_Manual_Captures_Date - 14),
IF(_xlpm.weekNum &gt; 52, 1, _xlpm.weekNum))</f>
        <v>48</v>
      </c>
      <c r="B311" s="20">
        <f ca="1">COUNTIF(MOPAR_Manual_Captures_SIMs[Ops Week], A311)</f>
        <v>0</v>
      </c>
      <c r="C311" s="20">
        <f ca="1">SUMIF(MOPAR_Manual_Captures_SIMs[[Ops Week]:[Ops Week]], $A311, MOPAR_Manual_Captures_SIMs[Miss])</f>
        <v>0</v>
      </c>
      <c r="D311" s="20">
        <f ca="1">SUMIF(MOPAR_Manual_Captures_SIMs[[Ops Week]:[Ops Week]], $A311, MOPAR_Manual_Captures_SIMs[CI])</f>
        <v>0</v>
      </c>
      <c r="E311" s="20">
        <f ca="1">SUMIF(MOPAR_Manual_Captures_SIMs[[Ops Week]:[Ops Week]], $A311, MOPAR_Manual_Captures_SIMs[NCI])</f>
        <v>0</v>
      </c>
      <c r="F311" s="20">
        <f ca="1">SUMIF(MOPAR_Manual_Captures_SIMs[[Ops Week]:[Ops Week]], $A311, MOPAR_Manual_Captures_SIMs[Operator Follow-up])</f>
        <v>0</v>
      </c>
      <c r="G311" s="20">
        <f ca="1">SUMIF(MOPAR_Manual_Captures_SIMs[[Ops Week]:[Ops Week]], $A311, MOPAR_Manual_Captures_SIMs[False Resolution])</f>
        <v>0</v>
      </c>
      <c r="H311" s="120" t="str">
        <f ca="1">IFERROR(
 1000000*C311/$B311,
 "-"
)</f>
        <v>-</v>
      </c>
      <c r="I311" s="121"/>
      <c r="J311" s="20" t="str">
        <f t="shared" ca="1" si="59"/>
        <v>-</v>
      </c>
      <c r="K311" s="20" t="str">
        <f t="shared" ca="1" si="60"/>
        <v>-</v>
      </c>
    </row>
    <row r="312" spans="1:11" ht="11.25" customHeight="1" thickBot="1" x14ac:dyDescent="0.25">
      <c r="A312" s="62">
        <f ca="1">_xlfn.LET(_xlpm.weekNum, WEEKNUM(MOPAR_Manual_Captures_Date - 7),
IF(_xlpm.weekNum &gt; 52, 1, _xlpm.weekNum))</f>
        <v>49</v>
      </c>
      <c r="B312" s="20">
        <f ca="1">COUNTIF(MOPAR_Manual_Captures_SIMs[Ops Week], A312)</f>
        <v>0</v>
      </c>
      <c r="C312" s="20">
        <f ca="1">SUMIF(MOPAR_Manual_Captures_SIMs[[Ops Week]:[Ops Week]], $A312, MOPAR_Manual_Captures_SIMs[Miss])</f>
        <v>0</v>
      </c>
      <c r="D312" s="20">
        <f ca="1">SUMIF(MOPAR_Manual_Captures_SIMs[[Ops Week]:[Ops Week]], $A312, MOPAR_Manual_Captures_SIMs[CI])</f>
        <v>0</v>
      </c>
      <c r="E312" s="20">
        <f ca="1">SUMIF(MOPAR_Manual_Captures_SIMs[[Ops Week]:[Ops Week]], $A312, MOPAR_Manual_Captures_SIMs[NCI])</f>
        <v>0</v>
      </c>
      <c r="F312" s="20">
        <f ca="1">SUMIF(MOPAR_Manual_Captures_SIMs[[Ops Week]:[Ops Week]], $A312, MOPAR_Manual_Captures_SIMs[Operator Follow-up])</f>
        <v>0</v>
      </c>
      <c r="G312" s="20">
        <f ca="1">SUMIF(MOPAR_Manual_Captures_SIMs[[Ops Week]:[Ops Week]], $A312, MOPAR_Manual_Captures_SIMs[False Resolution])</f>
        <v>0</v>
      </c>
      <c r="H312" s="120" t="str">
        <f ca="1">IFERROR(
 1000000*C312/$B312,
 "-"
)</f>
        <v>-</v>
      </c>
      <c r="I312" s="121"/>
      <c r="J312" s="20" t="str">
        <f t="shared" ca="1" si="59"/>
        <v>-</v>
      </c>
      <c r="K312" s="20" t="str">
        <f t="shared" ca="1" si="60"/>
        <v>-</v>
      </c>
    </row>
    <row r="313" spans="1:11" ht="11.25" customHeight="1" thickBot="1" x14ac:dyDescent="0.25">
      <c r="A313" s="62">
        <f ca="1">_xlfn.LET(_xlpm.weekNum, WEEKNUM(MOPAR_Manual_Captures_Date),
IF(_xlpm.weekNum &gt; 52, 1, _xlpm.weekNum))</f>
        <v>50</v>
      </c>
      <c r="B313" s="20">
        <f ca="1">COUNTIF(MOPAR_Manual_Captures_SIMs[Ops Week], A313)</f>
        <v>0</v>
      </c>
      <c r="C313" s="20">
        <f ca="1">SUMIF(MOPAR_Manual_Captures_SIMs[[Ops Week]:[Ops Week]], $A313, MOPAR_Manual_Captures_SIMs[Miss])</f>
        <v>0</v>
      </c>
      <c r="D313" s="20">
        <f ca="1">SUMIF(MOPAR_Manual_Captures_SIMs[[Ops Week]:[Ops Week]], $A313, MOPAR_Manual_Captures_SIMs[CI])</f>
        <v>0</v>
      </c>
      <c r="E313" s="20">
        <f ca="1">SUMIF(MOPAR_Manual_Captures_SIMs[[Ops Week]:[Ops Week]], $A313, MOPAR_Manual_Captures_SIMs[NCI])</f>
        <v>0</v>
      </c>
      <c r="F313" s="20">
        <f ca="1">SUMIF(MOPAR_Manual_Captures_SIMs[[Ops Week]:[Ops Week]], $A313, MOPAR_Manual_Captures_SIMs[Operator Follow-up])</f>
        <v>0</v>
      </c>
      <c r="G313" s="20">
        <f ca="1">SUMIF(MOPAR_Manual_Captures_SIMs[[Ops Week]:[Ops Week]], $A313, MOPAR_Manual_Captures_SIMs[False Resolution])</f>
        <v>0</v>
      </c>
      <c r="H313" s="120" t="str">
        <f ca="1">IFERROR(
 1000000*C313/$B313,
 "-"
)</f>
        <v>-</v>
      </c>
      <c r="I313" s="121"/>
      <c r="J313" s="20" t="str">
        <f t="shared" ca="1" si="59"/>
        <v>-</v>
      </c>
      <c r="K313" s="20" t="str">
        <f t="shared" ca="1" si="60"/>
        <v>-</v>
      </c>
    </row>
    <row r="314" spans="1:11" ht="11.25" customHeight="1" thickBot="1" x14ac:dyDescent="0.25">
      <c r="A314" s="64"/>
      <c r="B314" s="24"/>
      <c r="C314" s="24"/>
      <c r="D314" s="24"/>
      <c r="E314" s="24"/>
      <c r="F314" s="24"/>
      <c r="G314" s="24"/>
      <c r="H314" s="24"/>
      <c r="I314" s="23"/>
      <c r="J314" s="53"/>
      <c r="K314" s="20"/>
    </row>
    <row r="315" spans="1:11" ht="11.25" customHeight="1" thickBot="1" x14ac:dyDescent="0.25">
      <c r="A315" s="132" t="s">
        <v>4643</v>
      </c>
      <c r="B315" s="133"/>
      <c r="C315" s="133"/>
      <c r="D315" s="133"/>
      <c r="E315" s="133"/>
      <c r="F315" s="133"/>
      <c r="G315" s="133"/>
      <c r="H315" s="133"/>
      <c r="I315" s="133"/>
      <c r="J315" s="133"/>
      <c r="K315" s="134"/>
    </row>
    <row r="316" spans="1:11" ht="11.25" customHeight="1" x14ac:dyDescent="0.2">
      <c r="A316" s="135" t="s">
        <v>5</v>
      </c>
      <c r="B316" s="122" t="s">
        <v>4628</v>
      </c>
      <c r="C316" s="122" t="s">
        <v>4629</v>
      </c>
      <c r="D316" s="122" t="s">
        <v>4630</v>
      </c>
      <c r="E316" s="122" t="s">
        <v>5058</v>
      </c>
      <c r="F316" s="122" t="s">
        <v>4631</v>
      </c>
      <c r="G316" s="122" t="s">
        <v>4632</v>
      </c>
      <c r="H316" s="122" t="s">
        <v>4634</v>
      </c>
      <c r="I316" s="122"/>
      <c r="J316" s="122" t="s">
        <v>4635</v>
      </c>
      <c r="K316" s="129" t="s">
        <v>20</v>
      </c>
    </row>
    <row r="317" spans="1:11" ht="11.25" customHeight="1" x14ac:dyDescent="0.2">
      <c r="A317" s="136"/>
      <c r="B317" s="123"/>
      <c r="C317" s="123"/>
      <c r="D317" s="123"/>
      <c r="E317" s="123"/>
      <c r="F317" s="123"/>
      <c r="G317" s="123"/>
      <c r="H317" s="123"/>
      <c r="I317" s="123"/>
      <c r="J317" s="123"/>
      <c r="K317" s="130"/>
    </row>
    <row r="318" spans="1:11" ht="11.25" customHeight="1" thickBot="1" x14ac:dyDescent="0.25">
      <c r="A318" s="137"/>
      <c r="B318" s="124"/>
      <c r="C318" s="124"/>
      <c r="D318" s="124"/>
      <c r="E318" s="124"/>
      <c r="F318" s="124"/>
      <c r="G318" s="124"/>
      <c r="H318" s="124"/>
      <c r="I318" s="124"/>
      <c r="J318" s="124"/>
      <c r="K318" s="131"/>
    </row>
    <row r="319" spans="1:11" ht="11.25" customHeight="1" thickBot="1" x14ac:dyDescent="0.25">
      <c r="A319" s="63">
        <f ca="1">MOPAR_Manual_Captures_Date - 6</f>
        <v>45630</v>
      </c>
      <c r="B319" s="20">
        <f ca="1">COUNTIF(MOPAR_Manual_Captures_SIMs[Ops Date], $A319)</f>
        <v>0</v>
      </c>
      <c r="C319" s="20">
        <f ca="1">SUMIF(MOPAR_Manual_Captures_SIMs[[Ops Date]:[Ops Date]], $A319, MOPAR_Manual_Captures_SIMs[Miss])</f>
        <v>0</v>
      </c>
      <c r="D319" s="20">
        <f ca="1">SUMIF(MOPAR_Manual_Captures_SIMs[[Ops Date]:[Ops Date]], $A319, MOPAR_Manual_Captures_SIMs[CI])</f>
        <v>0</v>
      </c>
      <c r="E319" s="20">
        <f ca="1">SUMIF(MOPAR_Manual_Captures_SIMs[[Ops Date]:[Ops Date]], $A319, MOPAR_Manual_Captures_SIMs[NCI])</f>
        <v>0</v>
      </c>
      <c r="F319" s="20">
        <f ca="1">SUMIF(MOPAR_Manual_Captures_SIMs[[Ops Date]:[Ops Date]], $A319, MOPAR_Manual_Captures_SIMs[Operator Follow-up])</f>
        <v>0</v>
      </c>
      <c r="G319" s="20">
        <f ca="1">SUMIF(MOPAR_Manual_Captures_SIMs[[Ops Date]:[Ops Date]], $A319, MOPAR_Manual_Captures_SIMs[False Resolution])</f>
        <v>0</v>
      </c>
      <c r="H319" s="120" t="str">
        <f t="shared" ref="H319:H325" ca="1" si="61">IFERROR(
 1000000*C319/$B319,
 "-"
)</f>
        <v>-</v>
      </c>
      <c r="I319" s="121"/>
      <c r="J319" s="20" t="str">
        <f t="shared" ref="J319:J325" ca="1" si="62">IFERROR(
 1000000*D319/$B319,
 "-"
)</f>
        <v>-</v>
      </c>
      <c r="K319" s="20" t="str">
        <f t="shared" ref="K319:K325" ca="1" si="63">IFERROR(
 1000000*E319/$B319,
 "-"
)</f>
        <v>-</v>
      </c>
    </row>
    <row r="320" spans="1:11" ht="11.25" customHeight="1" thickBot="1" x14ac:dyDescent="0.25">
      <c r="A320" s="63">
        <f ca="1">MOPAR_Manual_Captures_Date - 5</f>
        <v>45631</v>
      </c>
      <c r="B320" s="20">
        <f ca="1">COUNTIF(MOPAR_Manual_Captures_SIMs[Ops Date], $A320)</f>
        <v>0</v>
      </c>
      <c r="C320" s="20">
        <f ca="1">SUMIF(MOPAR_Manual_Captures_SIMs[[Ops Date]:[Ops Date]], $A320, MOPAR_Manual_Captures_SIMs[Miss])</f>
        <v>0</v>
      </c>
      <c r="D320" s="20">
        <f ca="1">SUMIF(MOPAR_Manual_Captures_SIMs[[Ops Date]:[Ops Date]], $A320, MOPAR_Manual_Captures_SIMs[CI])</f>
        <v>0</v>
      </c>
      <c r="E320" s="20">
        <f ca="1">SUMIF(MOPAR_Manual_Captures_SIMs[[Ops Date]:[Ops Date]], $A320, MOPAR_Manual_Captures_SIMs[NCI])</f>
        <v>0</v>
      </c>
      <c r="F320" s="20">
        <f ca="1">SUMIF(MOPAR_Manual_Captures_SIMs[[Ops Date]:[Ops Date]], $A320, MOPAR_Manual_Captures_SIMs[Operator Follow-up])</f>
        <v>0</v>
      </c>
      <c r="G320" s="20">
        <f ca="1">SUMIF(MOPAR_Manual_Captures_SIMs[[Ops Date]:[Ops Date]], $A320, MOPAR_Manual_Captures_SIMs[False Resolution])</f>
        <v>0</v>
      </c>
      <c r="H320" s="120" t="str">
        <f t="shared" ca="1" si="61"/>
        <v>-</v>
      </c>
      <c r="I320" s="121"/>
      <c r="J320" s="20" t="str">
        <f t="shared" ca="1" si="62"/>
        <v>-</v>
      </c>
      <c r="K320" s="20" t="str">
        <f t="shared" ca="1" si="63"/>
        <v>-</v>
      </c>
    </row>
    <row r="321" spans="1:15" ht="11.25" customHeight="1" thickBot="1" x14ac:dyDescent="0.25">
      <c r="A321" s="63">
        <f ca="1">MOPAR_Manual_Captures_Date - 4</f>
        <v>45632</v>
      </c>
      <c r="B321" s="20">
        <f ca="1">COUNTIF(MOPAR_Manual_Captures_SIMs[Ops Date], $A321)</f>
        <v>0</v>
      </c>
      <c r="C321" s="20">
        <f ca="1">SUMIF(MOPAR_Manual_Captures_SIMs[[Ops Date]:[Ops Date]], $A321, MOPAR_Manual_Captures_SIMs[Miss])</f>
        <v>0</v>
      </c>
      <c r="D321" s="20">
        <f ca="1">SUMIF(MOPAR_Manual_Captures_SIMs[[Ops Date]:[Ops Date]], $A321, MOPAR_Manual_Captures_SIMs[CI])</f>
        <v>0</v>
      </c>
      <c r="E321" s="20">
        <f ca="1">SUMIF(MOPAR_Manual_Captures_SIMs[[Ops Date]:[Ops Date]], $A321, MOPAR_Manual_Captures_SIMs[NCI])</f>
        <v>0</v>
      </c>
      <c r="F321" s="20">
        <f ca="1">SUMIF(MOPAR_Manual_Captures_SIMs[[Ops Date]:[Ops Date]], $A321, MOPAR_Manual_Captures_SIMs[Operator Follow-up])</f>
        <v>0</v>
      </c>
      <c r="G321" s="20">
        <f ca="1">SUMIF(MOPAR_Manual_Captures_SIMs[[Ops Date]:[Ops Date]], $A321, MOPAR_Manual_Captures_SIMs[False Resolution])</f>
        <v>0</v>
      </c>
      <c r="H321" s="120" t="str">
        <f t="shared" ca="1" si="61"/>
        <v>-</v>
      </c>
      <c r="I321" s="121"/>
      <c r="J321" s="20" t="str">
        <f t="shared" ca="1" si="62"/>
        <v>-</v>
      </c>
      <c r="K321" s="20" t="str">
        <f t="shared" ca="1" si="63"/>
        <v>-</v>
      </c>
    </row>
    <row r="322" spans="1:15" ht="11.25" customHeight="1" thickBot="1" x14ac:dyDescent="0.25">
      <c r="A322" s="63">
        <f ca="1">MOPAR_Manual_Captures_Date - 3</f>
        <v>45633</v>
      </c>
      <c r="B322" s="20">
        <f ca="1">COUNTIF(MOPAR_Manual_Captures_SIMs[Ops Date], $A322)</f>
        <v>0</v>
      </c>
      <c r="C322" s="20">
        <f ca="1">SUMIF(MOPAR_Manual_Captures_SIMs[[Ops Date]:[Ops Date]], $A322, MOPAR_Manual_Captures_SIMs[Miss])</f>
        <v>0</v>
      </c>
      <c r="D322" s="20">
        <f ca="1">SUMIF(MOPAR_Manual_Captures_SIMs[[Ops Date]:[Ops Date]], $A322, MOPAR_Manual_Captures_SIMs[CI])</f>
        <v>0</v>
      </c>
      <c r="E322" s="20">
        <f ca="1">SUMIF(MOPAR_Manual_Captures_SIMs[[Ops Date]:[Ops Date]], $A322, MOPAR_Manual_Captures_SIMs[NCI])</f>
        <v>0</v>
      </c>
      <c r="F322" s="20">
        <f ca="1">SUMIF(MOPAR_Manual_Captures_SIMs[[Ops Date]:[Ops Date]], $A322, MOPAR_Manual_Captures_SIMs[Operator Follow-up])</f>
        <v>0</v>
      </c>
      <c r="G322" s="20">
        <f ca="1">SUMIF(MOPAR_Manual_Captures_SIMs[[Ops Date]:[Ops Date]], $A322, MOPAR_Manual_Captures_SIMs[False Resolution])</f>
        <v>0</v>
      </c>
      <c r="H322" s="120" t="str">
        <f t="shared" ca="1" si="61"/>
        <v>-</v>
      </c>
      <c r="I322" s="121"/>
      <c r="J322" s="20" t="str">
        <f t="shared" ca="1" si="62"/>
        <v>-</v>
      </c>
      <c r="K322" s="20" t="str">
        <f t="shared" ca="1" si="63"/>
        <v>-</v>
      </c>
    </row>
    <row r="323" spans="1:15" ht="11.25" customHeight="1" thickBot="1" x14ac:dyDescent="0.25">
      <c r="A323" s="63">
        <f ca="1">MOPAR_Manual_Captures_Date - 2</f>
        <v>45634</v>
      </c>
      <c r="B323" s="20">
        <f ca="1">COUNTIF(MOPAR_Manual_Captures_SIMs[Ops Date], $A323)</f>
        <v>0</v>
      </c>
      <c r="C323" s="20">
        <f ca="1">SUMIF(MOPAR_Manual_Captures_SIMs[[Ops Date]:[Ops Date]], $A323, MOPAR_Manual_Captures_SIMs[Miss])</f>
        <v>0</v>
      </c>
      <c r="D323" s="20">
        <f ca="1">SUMIF(MOPAR_Manual_Captures_SIMs[[Ops Date]:[Ops Date]], $A323, MOPAR_Manual_Captures_SIMs[CI])</f>
        <v>0</v>
      </c>
      <c r="E323" s="20">
        <f ca="1">SUMIF(MOPAR_Manual_Captures_SIMs[[Ops Date]:[Ops Date]], $A323, MOPAR_Manual_Captures_SIMs[NCI])</f>
        <v>0</v>
      </c>
      <c r="F323" s="20">
        <f ca="1">SUMIF(MOPAR_Manual_Captures_SIMs[[Ops Date]:[Ops Date]], $A323, MOPAR_Manual_Captures_SIMs[Operator Follow-up])</f>
        <v>0</v>
      </c>
      <c r="G323" s="20">
        <f ca="1">SUMIF(MOPAR_Manual_Captures_SIMs[[Ops Date]:[Ops Date]], $A323, MOPAR_Manual_Captures_SIMs[False Resolution])</f>
        <v>0</v>
      </c>
      <c r="H323" s="120" t="str">
        <f t="shared" ca="1" si="61"/>
        <v>-</v>
      </c>
      <c r="I323" s="121"/>
      <c r="J323" s="20" t="str">
        <f t="shared" ca="1" si="62"/>
        <v>-</v>
      </c>
      <c r="K323" s="20" t="str">
        <f t="shared" ca="1" si="63"/>
        <v>-</v>
      </c>
    </row>
    <row r="324" spans="1:15" ht="11.25" customHeight="1" thickBot="1" x14ac:dyDescent="0.25">
      <c r="A324" s="63">
        <f ca="1">MOPAR_Manual_Captures_Date - 1</f>
        <v>45635</v>
      </c>
      <c r="B324" s="20">
        <f ca="1">COUNTIF(MOPAR_Manual_Captures_SIMs[Ops Date], $A324)</f>
        <v>0</v>
      </c>
      <c r="C324" s="20">
        <f ca="1">SUMIF(MOPAR_Manual_Captures_SIMs[[Ops Date]:[Ops Date]], $A324, MOPAR_Manual_Captures_SIMs[Miss])</f>
        <v>0</v>
      </c>
      <c r="D324" s="20">
        <f ca="1">SUMIF(MOPAR_Manual_Captures_SIMs[[Ops Date]:[Ops Date]], $A324, MOPAR_Manual_Captures_SIMs[CI])</f>
        <v>0</v>
      </c>
      <c r="E324" s="20">
        <f ca="1">SUMIF(MOPAR_Manual_Captures_SIMs[[Ops Date]:[Ops Date]], $A324, MOPAR_Manual_Captures_SIMs[NCI])</f>
        <v>0</v>
      </c>
      <c r="F324" s="20">
        <f ca="1">SUMIF(MOPAR_Manual_Captures_SIMs[[Ops Date]:[Ops Date]], $A324, MOPAR_Manual_Captures_SIMs[Operator Follow-up])</f>
        <v>0</v>
      </c>
      <c r="G324" s="20">
        <f ca="1">SUMIF(MOPAR_Manual_Captures_SIMs[[Ops Date]:[Ops Date]], $A324, MOPAR_Manual_Captures_SIMs[False Resolution])</f>
        <v>0</v>
      </c>
      <c r="H324" s="120" t="str">
        <f t="shared" ca="1" si="61"/>
        <v>-</v>
      </c>
      <c r="I324" s="121"/>
      <c r="J324" s="20" t="str">
        <f t="shared" ca="1" si="62"/>
        <v>-</v>
      </c>
      <c r="K324" s="20" t="str">
        <f t="shared" ca="1" si="63"/>
        <v>-</v>
      </c>
    </row>
    <row r="325" spans="1:15" ht="11.25" customHeight="1" thickBot="1" x14ac:dyDescent="0.25">
      <c r="A325" s="63">
        <f ca="1">MOPAR_Manual_Captures_Date</f>
        <v>45636</v>
      </c>
      <c r="B325" s="20">
        <f ca="1">COUNTIF(MOPAR_Manual_Captures_SIMs[Ops Date], $A325)</f>
        <v>0</v>
      </c>
      <c r="C325" s="20">
        <f ca="1">SUMIF(MOPAR_Manual_Captures_SIMs[[Ops Date]:[Ops Date]], $A325, MOPAR_Manual_Captures_SIMs[Miss])</f>
        <v>0</v>
      </c>
      <c r="D325" s="20">
        <f ca="1">SUMIF(MOPAR_Manual_Captures_SIMs[[Ops Date]:[Ops Date]], $A325, MOPAR_Manual_Captures_SIMs[CI])</f>
        <v>0</v>
      </c>
      <c r="E325" s="20">
        <f ca="1">SUMIF(MOPAR_Manual_Captures_SIMs[[Ops Date]:[Ops Date]], $A325, MOPAR_Manual_Captures_SIMs[NCI])</f>
        <v>0</v>
      </c>
      <c r="F325" s="20">
        <f ca="1">SUMIF(MOPAR_Manual_Captures_SIMs[[Ops Date]:[Ops Date]], $A325, MOPAR_Manual_Captures_SIMs[Operator Follow-up])</f>
        <v>0</v>
      </c>
      <c r="G325" s="20">
        <f ca="1">SUMIF(MOPAR_Manual_Captures_SIMs[[Ops Date]:[Ops Date]], $A325, MOPAR_Manual_Captures_SIMs[False Resolution])</f>
        <v>0</v>
      </c>
      <c r="H325" s="120" t="str">
        <f t="shared" ca="1" si="61"/>
        <v>-</v>
      </c>
      <c r="I325" s="121"/>
      <c r="J325" s="20" t="str">
        <f t="shared" ca="1" si="62"/>
        <v>-</v>
      </c>
      <c r="K325" s="20" t="str">
        <f t="shared" ca="1" si="63"/>
        <v>-</v>
      </c>
    </row>
    <row r="326" spans="1:15" ht="11.25" customHeight="1" thickBot="1" x14ac:dyDescent="0.25">
      <c r="A326" s="65"/>
      <c r="B326" s="24"/>
      <c r="C326" s="24"/>
      <c r="D326" s="24"/>
      <c r="E326" s="24"/>
      <c r="F326" s="24"/>
      <c r="G326" s="24"/>
      <c r="H326" s="24"/>
      <c r="I326" s="23"/>
      <c r="J326" s="53"/>
      <c r="K326" s="52"/>
    </row>
    <row r="327" spans="1:15" ht="11.25" customHeight="1" thickBot="1" x14ac:dyDescent="0.25">
      <c r="A327" s="95"/>
      <c r="B327" s="24"/>
      <c r="C327" s="24"/>
      <c r="D327" s="24"/>
      <c r="E327" s="24"/>
      <c r="F327" s="24"/>
      <c r="G327" s="24"/>
      <c r="H327" s="77"/>
      <c r="I327" s="78"/>
      <c r="J327" s="53"/>
      <c r="K327" s="67"/>
    </row>
    <row r="328" spans="1:15" ht="11.25" customHeight="1" thickBot="1" x14ac:dyDescent="0.25">
      <c r="A328" s="165" t="s">
        <v>29</v>
      </c>
      <c r="B328" s="166"/>
      <c r="C328" s="166"/>
      <c r="D328" s="166"/>
      <c r="E328" s="166"/>
      <c r="F328" s="166"/>
      <c r="G328" s="166"/>
      <c r="H328" s="166"/>
      <c r="I328" s="166"/>
      <c r="J328" s="166"/>
      <c r="K328" s="167"/>
    </row>
    <row r="329" spans="1:15" ht="11.25" customHeight="1" x14ac:dyDescent="0.2">
      <c r="A329" s="162" t="s">
        <v>37</v>
      </c>
      <c r="B329" s="163"/>
      <c r="C329" s="163"/>
      <c r="D329" s="163"/>
      <c r="E329" s="163"/>
      <c r="F329" s="163"/>
      <c r="G329" s="163"/>
      <c r="H329" s="163"/>
      <c r="I329" s="163"/>
      <c r="J329" s="163"/>
      <c r="K329" s="164"/>
    </row>
    <row r="330" spans="1:15" ht="11.25" customHeight="1" thickBot="1" x14ac:dyDescent="0.25">
      <c r="A330" s="159"/>
      <c r="B330" s="160"/>
      <c r="C330" s="160"/>
      <c r="D330" s="160"/>
      <c r="E330" s="160"/>
      <c r="F330" s="160"/>
      <c r="G330" s="160"/>
      <c r="H330" s="160"/>
      <c r="I330" s="160"/>
      <c r="J330" s="161"/>
      <c r="K330" s="79"/>
    </row>
    <row r="331" spans="1:15" ht="11.25" customHeight="1" x14ac:dyDescent="0.2">
      <c r="A331" s="89"/>
    </row>
    <row r="332" spans="1:15" ht="11.25" customHeight="1" x14ac:dyDescent="0.2">
      <c r="A332" s="89"/>
    </row>
    <row r="333" spans="1:15" ht="11.25" customHeight="1" x14ac:dyDescent="0.2">
      <c r="A333" s="89"/>
      <c r="O333" s="1" t="s">
        <v>5045</v>
      </c>
    </row>
    <row r="334" spans="1:15" ht="11.25" customHeight="1" x14ac:dyDescent="0.2">
      <c r="A334" s="89"/>
    </row>
    <row r="335" spans="1:15" ht="11.25" customHeight="1" x14ac:dyDescent="0.2">
      <c r="A335" s="89"/>
    </row>
    <row r="336" spans="1:15" ht="11.25" customHeight="1" x14ac:dyDescent="0.2">
      <c r="A336" s="89"/>
    </row>
    <row r="337" spans="1:1" ht="11.25" customHeight="1" x14ac:dyDescent="0.2">
      <c r="A337" s="89"/>
    </row>
    <row r="338" spans="1:1" ht="11.25" customHeight="1" x14ac:dyDescent="0.2">
      <c r="A338" s="89"/>
    </row>
    <row r="339" spans="1:1" ht="11.25" customHeight="1" x14ac:dyDescent="0.2">
      <c r="A339" s="89"/>
    </row>
    <row r="340" spans="1:1" ht="11.25" customHeight="1" x14ac:dyDescent="0.2">
      <c r="A340" s="89"/>
    </row>
    <row r="341" spans="1:1" ht="11.25" customHeight="1" x14ac:dyDescent="0.2">
      <c r="A341" s="89"/>
    </row>
    <row r="342" spans="1:1" ht="11.25" customHeight="1" x14ac:dyDescent="0.2">
      <c r="A342" s="89"/>
    </row>
    <row r="343" spans="1:1" ht="11.25" customHeight="1" x14ac:dyDescent="0.2">
      <c r="A343" s="89"/>
    </row>
    <row r="344" spans="1:1" ht="11.25" customHeight="1" x14ac:dyDescent="0.2">
      <c r="A344" s="89"/>
    </row>
    <row r="345" spans="1:1" ht="11.25" customHeight="1" x14ac:dyDescent="0.2">
      <c r="A345" s="89"/>
    </row>
    <row r="346" spans="1:1" ht="11.25" customHeight="1" x14ac:dyDescent="0.2">
      <c r="A346" s="89"/>
    </row>
    <row r="347" spans="1:1" ht="11.25" customHeight="1" x14ac:dyDescent="0.2">
      <c r="A347" s="89"/>
    </row>
    <row r="348" spans="1:1" ht="11.25" customHeight="1" x14ac:dyDescent="0.2">
      <c r="A348" s="89"/>
    </row>
    <row r="349" spans="1:1" ht="11.25" customHeight="1" x14ac:dyDescent="0.2">
      <c r="A349" s="89"/>
    </row>
    <row r="350" spans="1:1" ht="11.25" customHeight="1" x14ac:dyDescent="0.2">
      <c r="A350" s="89"/>
    </row>
    <row r="351" spans="1:1" ht="11.25" customHeight="1" x14ac:dyDescent="0.2">
      <c r="A351" s="89"/>
    </row>
    <row r="352" spans="1:1" ht="11.25" customHeight="1" x14ac:dyDescent="0.2">
      <c r="A352" s="89"/>
    </row>
  </sheetData>
  <mergeCells count="549">
    <mergeCell ref="H295:I295"/>
    <mergeCell ref="H296:I296"/>
    <mergeCell ref="H297:I297"/>
    <mergeCell ref="H298:I298"/>
    <mergeCell ref="H299:I299"/>
    <mergeCell ref="H300:I300"/>
    <mergeCell ref="H301:I301"/>
    <mergeCell ref="H286:I286"/>
    <mergeCell ref="H287:I287"/>
    <mergeCell ref="H288:I288"/>
    <mergeCell ref="H289:I289"/>
    <mergeCell ref="A291:K291"/>
    <mergeCell ref="A292:A294"/>
    <mergeCell ref="F292:F294"/>
    <mergeCell ref="G292:G294"/>
    <mergeCell ref="H292:I294"/>
    <mergeCell ref="J292:J294"/>
    <mergeCell ref="K292:K294"/>
    <mergeCell ref="B286:C286"/>
    <mergeCell ref="D286:E286"/>
    <mergeCell ref="B299:C299"/>
    <mergeCell ref="B300:C300"/>
    <mergeCell ref="B287:C287"/>
    <mergeCell ref="D287:E287"/>
    <mergeCell ref="A281:K281"/>
    <mergeCell ref="A282:K282"/>
    <mergeCell ref="A283:A285"/>
    <mergeCell ref="F283:F285"/>
    <mergeCell ref="G283:G285"/>
    <mergeCell ref="H283:I285"/>
    <mergeCell ref="J283:J285"/>
    <mergeCell ref="K283:K285"/>
    <mergeCell ref="B283:C285"/>
    <mergeCell ref="D283:E285"/>
    <mergeCell ref="H274:I274"/>
    <mergeCell ref="H275:I275"/>
    <mergeCell ref="H276:I276"/>
    <mergeCell ref="H277:I277"/>
    <mergeCell ref="A279:K279"/>
    <mergeCell ref="A280:D280"/>
    <mergeCell ref="E280:K280"/>
    <mergeCell ref="B271:C271"/>
    <mergeCell ref="D271:E271"/>
    <mergeCell ref="B272:C272"/>
    <mergeCell ref="D272:E272"/>
    <mergeCell ref="B273:C273"/>
    <mergeCell ref="D273:E273"/>
    <mergeCell ref="B274:C274"/>
    <mergeCell ref="D274:E274"/>
    <mergeCell ref="B1:K1"/>
    <mergeCell ref="A57:K57"/>
    <mergeCell ref="A167:K167"/>
    <mergeCell ref="A96:K96"/>
    <mergeCell ref="A105:K105"/>
    <mergeCell ref="A120:K120"/>
    <mergeCell ref="A95:K95"/>
    <mergeCell ref="A129:K129"/>
    <mergeCell ref="A93:K93"/>
    <mergeCell ref="E118:K118"/>
    <mergeCell ref="A94:D94"/>
    <mergeCell ref="E94:K94"/>
    <mergeCell ref="A142:D142"/>
    <mergeCell ref="E142:K142"/>
    <mergeCell ref="A166:D166"/>
    <mergeCell ref="E166:K166"/>
    <mergeCell ref="A47:K47"/>
    <mergeCell ref="A45:K45"/>
    <mergeCell ref="A46:D46"/>
    <mergeCell ref="E46:K46"/>
    <mergeCell ref="A44:K44"/>
    <mergeCell ref="A2:K2"/>
    <mergeCell ref="A3:K3"/>
    <mergeCell ref="A6:K6"/>
    <mergeCell ref="A4:K4"/>
    <mergeCell ref="A24:B25"/>
    <mergeCell ref="C9:D9"/>
    <mergeCell ref="C10:D10"/>
    <mergeCell ref="C15:D15"/>
    <mergeCell ref="A5:K5"/>
    <mergeCell ref="C16:D16"/>
    <mergeCell ref="C7:D8"/>
    <mergeCell ref="C18:D18"/>
    <mergeCell ref="A7:B8"/>
    <mergeCell ref="A9:B10"/>
    <mergeCell ref="A15:B16"/>
    <mergeCell ref="A12:B13"/>
    <mergeCell ref="E7:E8"/>
    <mergeCell ref="F7:F8"/>
    <mergeCell ref="G7:G8"/>
    <mergeCell ref="H7:H8"/>
    <mergeCell ref="I7:I8"/>
    <mergeCell ref="J7:J8"/>
    <mergeCell ref="K7:K8"/>
    <mergeCell ref="C24:D24"/>
    <mergeCell ref="C25:D25"/>
    <mergeCell ref="A18:B19"/>
    <mergeCell ref="A21:B22"/>
    <mergeCell ref="C28:D28"/>
    <mergeCell ref="A30:B31"/>
    <mergeCell ref="C30:D30"/>
    <mergeCell ref="C31:D31"/>
    <mergeCell ref="A237:K237"/>
    <mergeCell ref="A211:D211"/>
    <mergeCell ref="E211:K211"/>
    <mergeCell ref="A212:K212"/>
    <mergeCell ref="A213:K213"/>
    <mergeCell ref="A92:K92"/>
    <mergeCell ref="A56:K56"/>
    <mergeCell ref="A140:K140"/>
    <mergeCell ref="A128:K128"/>
    <mergeCell ref="A116:K116"/>
    <mergeCell ref="A104:K104"/>
    <mergeCell ref="A143:K143"/>
    <mergeCell ref="A119:K119"/>
    <mergeCell ref="A121:A123"/>
    <mergeCell ref="B121:B123"/>
    <mergeCell ref="C121:C123"/>
    <mergeCell ref="D121:D123"/>
    <mergeCell ref="E121:E123"/>
    <mergeCell ref="D58:D60"/>
    <mergeCell ref="E58:E60"/>
    <mergeCell ref="A330:J330"/>
    <mergeCell ref="A165:K165"/>
    <mergeCell ref="A141:K141"/>
    <mergeCell ref="A117:K117"/>
    <mergeCell ref="A118:D118"/>
    <mergeCell ref="A189:K189"/>
    <mergeCell ref="A190:D190"/>
    <mergeCell ref="E190:K190"/>
    <mergeCell ref="A191:K191"/>
    <mergeCell ref="A192:K192"/>
    <mergeCell ref="A201:K201"/>
    <mergeCell ref="A210:K210"/>
    <mergeCell ref="A246:K246"/>
    <mergeCell ref="A234:K234"/>
    <mergeCell ref="A235:D235"/>
    <mergeCell ref="E235:K235"/>
    <mergeCell ref="A329:K329"/>
    <mergeCell ref="A168:K168"/>
    <mergeCell ref="A144:K144"/>
    <mergeCell ref="A153:K153"/>
    <mergeCell ref="A328:K328"/>
    <mergeCell ref="A222:K222"/>
    <mergeCell ref="A236:K236"/>
    <mergeCell ref="K121:K123"/>
    <mergeCell ref="C12:D12"/>
    <mergeCell ref="C13:D13"/>
    <mergeCell ref="A68:K68"/>
    <mergeCell ref="A69:K69"/>
    <mergeCell ref="A70:D70"/>
    <mergeCell ref="E70:K70"/>
    <mergeCell ref="A49:A51"/>
    <mergeCell ref="B49:B51"/>
    <mergeCell ref="C49:C51"/>
    <mergeCell ref="D49:D51"/>
    <mergeCell ref="E49:E51"/>
    <mergeCell ref="F49:F51"/>
    <mergeCell ref="G49:G51"/>
    <mergeCell ref="J49:J51"/>
    <mergeCell ref="A48:K48"/>
    <mergeCell ref="A33:B34"/>
    <mergeCell ref="C33:D33"/>
    <mergeCell ref="C58:C60"/>
    <mergeCell ref="C34:D34"/>
    <mergeCell ref="C19:D19"/>
    <mergeCell ref="C21:D21"/>
    <mergeCell ref="C22:D22"/>
    <mergeCell ref="A27:B28"/>
    <mergeCell ref="C27:D27"/>
    <mergeCell ref="F58:F60"/>
    <mergeCell ref="G58:G60"/>
    <mergeCell ref="K49:K51"/>
    <mergeCell ref="A71:K71"/>
    <mergeCell ref="A72:K72"/>
    <mergeCell ref="A80:K80"/>
    <mergeCell ref="J58:J60"/>
    <mergeCell ref="K58:K60"/>
    <mergeCell ref="A58:A60"/>
    <mergeCell ref="B58:B60"/>
    <mergeCell ref="B73:B75"/>
    <mergeCell ref="C73:C75"/>
    <mergeCell ref="D73:D75"/>
    <mergeCell ref="E73:E75"/>
    <mergeCell ref="H77:I77"/>
    <mergeCell ref="H78:I78"/>
    <mergeCell ref="H79:I79"/>
    <mergeCell ref="J82:J84"/>
    <mergeCell ref="K82:K84"/>
    <mergeCell ref="A73:A75"/>
    <mergeCell ref="F73:F75"/>
    <mergeCell ref="G73:G75"/>
    <mergeCell ref="J73:J75"/>
    <mergeCell ref="K73:K75"/>
    <mergeCell ref="A82:A84"/>
    <mergeCell ref="B82:B84"/>
    <mergeCell ref="C82:C84"/>
    <mergeCell ref="D82:D84"/>
    <mergeCell ref="E82:E84"/>
    <mergeCell ref="F82:F84"/>
    <mergeCell ref="G82:G84"/>
    <mergeCell ref="A81:K81"/>
    <mergeCell ref="H82:I84"/>
    <mergeCell ref="K97:K99"/>
    <mergeCell ref="A106:A108"/>
    <mergeCell ref="B106:B108"/>
    <mergeCell ref="C106:C108"/>
    <mergeCell ref="D106:D108"/>
    <mergeCell ref="E106:E108"/>
    <mergeCell ref="J106:J108"/>
    <mergeCell ref="K106:K108"/>
    <mergeCell ref="J97:J99"/>
    <mergeCell ref="A97:A99"/>
    <mergeCell ref="B97:B99"/>
    <mergeCell ref="C97:C99"/>
    <mergeCell ref="D97:D99"/>
    <mergeCell ref="E97:E99"/>
    <mergeCell ref="F106:G108"/>
    <mergeCell ref="F97:G99"/>
    <mergeCell ref="F100:G100"/>
    <mergeCell ref="F101:G101"/>
    <mergeCell ref="F102:G102"/>
    <mergeCell ref="F103:G103"/>
    <mergeCell ref="H97:I99"/>
    <mergeCell ref="H100:I100"/>
    <mergeCell ref="H101:I101"/>
    <mergeCell ref="H102:I102"/>
    <mergeCell ref="A130:A132"/>
    <mergeCell ref="B130:B132"/>
    <mergeCell ref="C130:C132"/>
    <mergeCell ref="D130:D132"/>
    <mergeCell ref="E130:E132"/>
    <mergeCell ref="J130:J132"/>
    <mergeCell ref="K130:K132"/>
    <mergeCell ref="J121:J123"/>
    <mergeCell ref="F124:G124"/>
    <mergeCell ref="F125:G125"/>
    <mergeCell ref="F126:G126"/>
    <mergeCell ref="F127:G127"/>
    <mergeCell ref="F121:G123"/>
    <mergeCell ref="K145:K147"/>
    <mergeCell ref="A154:A156"/>
    <mergeCell ref="B154:B156"/>
    <mergeCell ref="C154:C156"/>
    <mergeCell ref="D154:D156"/>
    <mergeCell ref="E154:E156"/>
    <mergeCell ref="F154:F156"/>
    <mergeCell ref="G154:G156"/>
    <mergeCell ref="H154:H156"/>
    <mergeCell ref="I154:I156"/>
    <mergeCell ref="J154:J156"/>
    <mergeCell ref="K154:K156"/>
    <mergeCell ref="F145:F147"/>
    <mergeCell ref="G145:G147"/>
    <mergeCell ref="H145:H147"/>
    <mergeCell ref="I145:I147"/>
    <mergeCell ref="J145:J147"/>
    <mergeCell ref="A145:A147"/>
    <mergeCell ref="B145:B147"/>
    <mergeCell ref="C145:C147"/>
    <mergeCell ref="D145:D147"/>
    <mergeCell ref="E145:E147"/>
    <mergeCell ref="K169:K171"/>
    <mergeCell ref="A178:A180"/>
    <mergeCell ref="B178:B180"/>
    <mergeCell ref="C178:C180"/>
    <mergeCell ref="D178:D180"/>
    <mergeCell ref="E178:E180"/>
    <mergeCell ref="F178:F180"/>
    <mergeCell ref="G178:G180"/>
    <mergeCell ref="H178:H180"/>
    <mergeCell ref="I178:I180"/>
    <mergeCell ref="J178:J180"/>
    <mergeCell ref="K178:K180"/>
    <mergeCell ref="F169:F171"/>
    <mergeCell ref="G169:G171"/>
    <mergeCell ref="H169:H171"/>
    <mergeCell ref="I169:I171"/>
    <mergeCell ref="J169:J171"/>
    <mergeCell ref="A169:A171"/>
    <mergeCell ref="B169:B171"/>
    <mergeCell ref="C169:C171"/>
    <mergeCell ref="D169:D171"/>
    <mergeCell ref="E169:E171"/>
    <mergeCell ref="A177:K177"/>
    <mergeCell ref="K193:K195"/>
    <mergeCell ref="A202:A204"/>
    <mergeCell ref="B202:B204"/>
    <mergeCell ref="C202:C204"/>
    <mergeCell ref="D202:D204"/>
    <mergeCell ref="E202:E204"/>
    <mergeCell ref="J202:J204"/>
    <mergeCell ref="K202:K204"/>
    <mergeCell ref="J193:J195"/>
    <mergeCell ref="A193:A195"/>
    <mergeCell ref="B193:B195"/>
    <mergeCell ref="C193:C195"/>
    <mergeCell ref="D193:D195"/>
    <mergeCell ref="E193:E195"/>
    <mergeCell ref="F193:G195"/>
    <mergeCell ref="F202:G204"/>
    <mergeCell ref="H193:I195"/>
    <mergeCell ref="H202:I204"/>
    <mergeCell ref="F196:G196"/>
    <mergeCell ref="F197:G197"/>
    <mergeCell ref="F198:G198"/>
    <mergeCell ref="F199:G199"/>
    <mergeCell ref="H196:I196"/>
    <mergeCell ref="H197:I197"/>
    <mergeCell ref="K214:K216"/>
    <mergeCell ref="A223:A225"/>
    <mergeCell ref="B223:B225"/>
    <mergeCell ref="C223:C225"/>
    <mergeCell ref="D223:D225"/>
    <mergeCell ref="E223:E225"/>
    <mergeCell ref="F223:F225"/>
    <mergeCell ref="G223:G225"/>
    <mergeCell ref="H223:H225"/>
    <mergeCell ref="I223:I225"/>
    <mergeCell ref="J223:J225"/>
    <mergeCell ref="K223:K225"/>
    <mergeCell ref="F214:F216"/>
    <mergeCell ref="G214:G216"/>
    <mergeCell ref="H214:H216"/>
    <mergeCell ref="I214:I216"/>
    <mergeCell ref="J214:J216"/>
    <mergeCell ref="A214:A216"/>
    <mergeCell ref="B214:B216"/>
    <mergeCell ref="C214:C216"/>
    <mergeCell ref="D214:D216"/>
    <mergeCell ref="E214:E216"/>
    <mergeCell ref="K238:K240"/>
    <mergeCell ref="A247:A249"/>
    <mergeCell ref="F247:F249"/>
    <mergeCell ref="G247:G249"/>
    <mergeCell ref="J247:J249"/>
    <mergeCell ref="K247:K249"/>
    <mergeCell ref="J238:J240"/>
    <mergeCell ref="A238:A240"/>
    <mergeCell ref="F238:F240"/>
    <mergeCell ref="G238:G240"/>
    <mergeCell ref="H241:I241"/>
    <mergeCell ref="H242:I242"/>
    <mergeCell ref="D238:E240"/>
    <mergeCell ref="D241:E241"/>
    <mergeCell ref="D242:E242"/>
    <mergeCell ref="D243:E243"/>
    <mergeCell ref="D244:E244"/>
    <mergeCell ref="B238:C240"/>
    <mergeCell ref="B241:C241"/>
    <mergeCell ref="B242:C242"/>
    <mergeCell ref="B243:C243"/>
    <mergeCell ref="B244:C244"/>
    <mergeCell ref="B247:C249"/>
    <mergeCell ref="D247:E249"/>
    <mergeCell ref="C42:D42"/>
    <mergeCell ref="A42:B43"/>
    <mergeCell ref="C43:D43"/>
    <mergeCell ref="H73:I75"/>
    <mergeCell ref="H76:I76"/>
    <mergeCell ref="A315:K315"/>
    <mergeCell ref="A316:A318"/>
    <mergeCell ref="B316:B318"/>
    <mergeCell ref="C316:C318"/>
    <mergeCell ref="D316:D318"/>
    <mergeCell ref="E316:E318"/>
    <mergeCell ref="F316:F318"/>
    <mergeCell ref="G316:G318"/>
    <mergeCell ref="J316:J318"/>
    <mergeCell ref="K316:K318"/>
    <mergeCell ref="A303:K303"/>
    <mergeCell ref="A304:D304"/>
    <mergeCell ref="E304:K304"/>
    <mergeCell ref="A306:K306"/>
    <mergeCell ref="A307:A309"/>
    <mergeCell ref="B307:B309"/>
    <mergeCell ref="C307:C309"/>
    <mergeCell ref="D307:D309"/>
    <mergeCell ref="E307:E309"/>
    <mergeCell ref="H85:I85"/>
    <mergeCell ref="H86:I86"/>
    <mergeCell ref="H87:I87"/>
    <mergeCell ref="H88:I88"/>
    <mergeCell ref="H89:I89"/>
    <mergeCell ref="H90:I90"/>
    <mergeCell ref="H91:I91"/>
    <mergeCell ref="H49:I51"/>
    <mergeCell ref="H52:I52"/>
    <mergeCell ref="H53:I53"/>
    <mergeCell ref="H54:I54"/>
    <mergeCell ref="H55:I55"/>
    <mergeCell ref="H58:I60"/>
    <mergeCell ref="H61:I61"/>
    <mergeCell ref="H62:I62"/>
    <mergeCell ref="H63:I63"/>
    <mergeCell ref="H64:I64"/>
    <mergeCell ref="H65:I65"/>
    <mergeCell ref="H66:I66"/>
    <mergeCell ref="H67:I67"/>
    <mergeCell ref="F111:G111"/>
    <mergeCell ref="F112:G112"/>
    <mergeCell ref="F113:G113"/>
    <mergeCell ref="F114:G114"/>
    <mergeCell ref="F115:G115"/>
    <mergeCell ref="H106:I108"/>
    <mergeCell ref="H109:I109"/>
    <mergeCell ref="H110:I110"/>
    <mergeCell ref="H111:I111"/>
    <mergeCell ref="H112:I112"/>
    <mergeCell ref="H113:I113"/>
    <mergeCell ref="H114:I114"/>
    <mergeCell ref="H115:I115"/>
    <mergeCell ref="H103:I103"/>
    <mergeCell ref="F133:G133"/>
    <mergeCell ref="F134:G134"/>
    <mergeCell ref="F135:G135"/>
    <mergeCell ref="F136:G136"/>
    <mergeCell ref="F137:G137"/>
    <mergeCell ref="F138:G138"/>
    <mergeCell ref="F139:G139"/>
    <mergeCell ref="F130:G132"/>
    <mergeCell ref="H121:I123"/>
    <mergeCell ref="H130:I132"/>
    <mergeCell ref="H124:I124"/>
    <mergeCell ref="H125:I125"/>
    <mergeCell ref="H126:I126"/>
    <mergeCell ref="H127:I127"/>
    <mergeCell ref="H133:I133"/>
    <mergeCell ref="H134:I134"/>
    <mergeCell ref="H135:I135"/>
    <mergeCell ref="H136:I136"/>
    <mergeCell ref="H137:I137"/>
    <mergeCell ref="H138:I138"/>
    <mergeCell ref="H139:I139"/>
    <mergeCell ref="F109:G109"/>
    <mergeCell ref="F110:G110"/>
    <mergeCell ref="H198:I198"/>
    <mergeCell ref="H199:I199"/>
    <mergeCell ref="H243:I243"/>
    <mergeCell ref="H244:I244"/>
    <mergeCell ref="H247:I249"/>
    <mergeCell ref="H250:I250"/>
    <mergeCell ref="H251:I251"/>
    <mergeCell ref="H252:I252"/>
    <mergeCell ref="H253:I253"/>
    <mergeCell ref="F205:G205"/>
    <mergeCell ref="F206:G206"/>
    <mergeCell ref="F207:G207"/>
    <mergeCell ref="F208:G208"/>
    <mergeCell ref="H205:I205"/>
    <mergeCell ref="H206:I206"/>
    <mergeCell ref="H207:I207"/>
    <mergeCell ref="H208:I208"/>
    <mergeCell ref="H238:I240"/>
    <mergeCell ref="D252:E252"/>
    <mergeCell ref="D253:E253"/>
    <mergeCell ref="H321:I321"/>
    <mergeCell ref="A255:K255"/>
    <mergeCell ref="A256:D256"/>
    <mergeCell ref="E256:K256"/>
    <mergeCell ref="A257:K257"/>
    <mergeCell ref="A258:K258"/>
    <mergeCell ref="A259:A261"/>
    <mergeCell ref="F259:F261"/>
    <mergeCell ref="G259:G261"/>
    <mergeCell ref="H259:I261"/>
    <mergeCell ref="J259:J261"/>
    <mergeCell ref="K259:K261"/>
    <mergeCell ref="F268:F270"/>
    <mergeCell ref="G268:G270"/>
    <mergeCell ref="H268:I270"/>
    <mergeCell ref="J268:J270"/>
    <mergeCell ref="K268:K270"/>
    <mergeCell ref="B268:C270"/>
    <mergeCell ref="D268:E270"/>
    <mergeCell ref="H271:I271"/>
    <mergeCell ref="H272:I272"/>
    <mergeCell ref="H273:I273"/>
    <mergeCell ref="H322:I322"/>
    <mergeCell ref="H323:I323"/>
    <mergeCell ref="H324:I324"/>
    <mergeCell ref="H325:I325"/>
    <mergeCell ref="A254:K254"/>
    <mergeCell ref="H307:I309"/>
    <mergeCell ref="H316:I318"/>
    <mergeCell ref="H310:I310"/>
    <mergeCell ref="H311:I311"/>
    <mergeCell ref="H312:I312"/>
    <mergeCell ref="H313:I313"/>
    <mergeCell ref="H319:I319"/>
    <mergeCell ref="H320:I320"/>
    <mergeCell ref="F307:F309"/>
    <mergeCell ref="G307:G309"/>
    <mergeCell ref="J307:J309"/>
    <mergeCell ref="K307:K309"/>
    <mergeCell ref="A305:K305"/>
    <mergeCell ref="H262:I262"/>
    <mergeCell ref="H263:I263"/>
    <mergeCell ref="H264:I264"/>
    <mergeCell ref="H265:I265"/>
    <mergeCell ref="A267:K267"/>
    <mergeCell ref="A268:A270"/>
    <mergeCell ref="B292:C294"/>
    <mergeCell ref="D292:E294"/>
    <mergeCell ref="B295:C295"/>
    <mergeCell ref="D295:E295"/>
    <mergeCell ref="A39:B40"/>
    <mergeCell ref="C39:D39"/>
    <mergeCell ref="C40:D40"/>
    <mergeCell ref="A41:K41"/>
    <mergeCell ref="B259:C261"/>
    <mergeCell ref="D259:E261"/>
    <mergeCell ref="B262:C262"/>
    <mergeCell ref="D262:E262"/>
    <mergeCell ref="B263:C263"/>
    <mergeCell ref="D263:E263"/>
    <mergeCell ref="B264:C264"/>
    <mergeCell ref="D264:E264"/>
    <mergeCell ref="B265:C265"/>
    <mergeCell ref="D265:E265"/>
    <mergeCell ref="B250:C250"/>
    <mergeCell ref="B251:C251"/>
    <mergeCell ref="B252:C252"/>
    <mergeCell ref="B253:C253"/>
    <mergeCell ref="D250:E250"/>
    <mergeCell ref="D251:E251"/>
    <mergeCell ref="A36:B37"/>
    <mergeCell ref="C36:D36"/>
    <mergeCell ref="C37:D37"/>
    <mergeCell ref="A38:K38"/>
    <mergeCell ref="B301:C301"/>
    <mergeCell ref="D299:E299"/>
    <mergeCell ref="D300:E300"/>
    <mergeCell ref="D301:E301"/>
    <mergeCell ref="B275:C275"/>
    <mergeCell ref="D275:E275"/>
    <mergeCell ref="B276:C276"/>
    <mergeCell ref="D276:E276"/>
    <mergeCell ref="B277:C277"/>
    <mergeCell ref="D277:E277"/>
    <mergeCell ref="B296:C296"/>
    <mergeCell ref="D296:E296"/>
    <mergeCell ref="B297:C297"/>
    <mergeCell ref="D297:E297"/>
    <mergeCell ref="B298:C298"/>
    <mergeCell ref="D298:E298"/>
    <mergeCell ref="B288:C288"/>
    <mergeCell ref="D288:E288"/>
    <mergeCell ref="B289:C289"/>
    <mergeCell ref="D289:E289"/>
  </mergeCells>
  <phoneticPr fontId="18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5AA30-5C0C-460F-A5B6-6E7833727D71}">
  <sheetPr codeName="Sheet2">
    <tabColor rgb="FF00B050"/>
  </sheetPr>
  <dimension ref="A1:P2"/>
  <sheetViews>
    <sheetView zoomScaleNormal="100" workbookViewId="0">
      <selection activeCell="L6" sqref="L6"/>
    </sheetView>
  </sheetViews>
  <sheetFormatPr defaultColWidth="20.5703125" defaultRowHeight="15" x14ac:dyDescent="0.25"/>
  <cols>
    <col min="8" max="8" width="20.5703125" style="86"/>
  </cols>
  <sheetData>
    <row r="1" spans="1:16" x14ac:dyDescent="0.25">
      <c r="A1" s="27" t="s">
        <v>52</v>
      </c>
      <c r="B1" s="28" t="s">
        <v>0</v>
      </c>
      <c r="C1" s="28" t="s">
        <v>1</v>
      </c>
      <c r="D1" s="28" t="s">
        <v>53</v>
      </c>
      <c r="E1" s="28" t="s">
        <v>54</v>
      </c>
      <c r="F1" s="28" t="s">
        <v>55</v>
      </c>
      <c r="G1" s="28" t="s">
        <v>56</v>
      </c>
      <c r="H1" s="84" t="s">
        <v>19</v>
      </c>
      <c r="I1" s="29" t="s">
        <v>35</v>
      </c>
      <c r="J1" s="30" t="s">
        <v>21</v>
      </c>
      <c r="K1" s="30" t="s">
        <v>32</v>
      </c>
      <c r="L1" s="30" t="s">
        <v>34</v>
      </c>
      <c r="M1" s="31" t="s">
        <v>20</v>
      </c>
      <c r="N1" s="30" t="s">
        <v>25</v>
      </c>
      <c r="O1" s="30" t="s">
        <v>13</v>
      </c>
      <c r="P1" s="30" t="s">
        <v>33</v>
      </c>
    </row>
    <row r="2" spans="1:16" x14ac:dyDescent="0.25">
      <c r="H2" s="87" t="e">
        <f ca="1">_xlfn.LET(_xlpm.protoKey,
 TRIM(RIGHT(LEFT(AFS_SIMs[[#This Row],[Title]], IFERROR(
   SEARCH("/" &amp; TEXT(TODAY(), "YYYY") - 1, AFS_SIMs[[#This Row],[Title]]),
   SEARCH("/" &amp; TEXT(TODAY(), "YYYY"), AFS_SIMs[[#This Row],[Title]])) + 4), 10)),
 DATEVALUE(TEXT(IFERROR(IFERROR(
  MOD(LEFT(_xlpm.protoKey), 1) + _xlpm.protoKey,
  REPLACE(_xlpm.protoKey, 1, 1, "")),
  "N/A"), "MM/DD/YYYY")))</f>
        <v>#VALUE!</v>
      </c>
      <c r="I2" s="47" t="str">
        <f ca="1">IFERROR(WEEKNUM(AFS_SIMs[[#This Row],[Ops Date]]), "N/A")</f>
        <v>N/A</v>
      </c>
      <c r="J2" s="47">
        <f>IF(OR(ISNUMBER(SEARCH("Excluded", AFS_SIMs[[#This Row],[Labels]])), ISNUMBER(SEARCH("Quality", AFS_SIMs[[#This Row],[Data Status]])), ISNUMBER(SEARCH("Exception", AFS_SIMs[[#This Row],[Data Status]]))), 1, 0)</f>
        <v>0</v>
      </c>
      <c r="K2" s="47">
        <f>IF(AND(AFS_SIMs[[#This Row],[Excluded]] = 0, OR(AFS_SIMs[[#This Row],[Operator Follow-up]] = 1, AFS_SIMs[[#This Row],[False Resolution]] = 1, AFS_SIMs[[#This Row],[SLA]] = 1, ISNUMBER( SEARCH("Miss", AFS_SIMs[[#This Row],[Labels]])))), 1, 0)</f>
        <v>0</v>
      </c>
      <c r="L2" s="47" cm="1">
        <f t="array" ref="L2">IF(
    AND(
        AFS_SIMs[[#This Row],[Miss]] = 1,
        OR(
            OR(ISNUMBER(SEARCH(AFS_CI[False Resolution], AFS_SIMs[[#This Row],[False Resolution Miss]]))),
            OR(ISNUMBER(SEARCH(AFS_CI[Operator Follow-up], AFS_SIMs[[#This Row],[Operator Follow-up Miss]])))
        )
    ),
    1,
    0
)</f>
        <v>0</v>
      </c>
      <c r="M2" s="48">
        <f>IF(AND(AFS_SIMs[[#This Row],[CI]] = 0, AFS_SIMs[[#This Row],[Miss]] = 1), 1, 0)</f>
        <v>0</v>
      </c>
      <c r="N2" s="47">
        <f>IF(AND(AFS_SIMs[[#This Row],[Excluded]] = 0, OR(AFS_SIMs[[#This Row],[Operator Follow-up Miss]] &lt;&gt; "", ISNUMBER(SEARCH("Operator Follow Up", AFS_SIMs[[#This Row],[Labels]])))), 1, 0)</f>
        <v>0</v>
      </c>
      <c r="O2" s="47">
        <f>IF(AND(AFS_SIMs[[#This Row],[Excluded]] = 0, OR(AFS_SIMs[[#This Row],[False Resolution Miss]] &lt;&gt; "", ISNUMBER(SEARCH("False Resolution", AFS_SIMs[[#This Row],[Labels]])))), 1, 0)</f>
        <v>0</v>
      </c>
      <c r="P2" s="47">
        <f>IF(AND(AFS_SIMs[[#This Row],[Excluded]] = 0, OR(AFS_SIMs[[#This Row],[SLA Miss]] &lt;&gt; "", ISNUMBER(SEARCH("SLA", AFS_SIMs[[#This Row],[Labels]])))), 1, 0)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01B06-CBA6-4E83-8C72-C0F643AB44C6}">
  <sheetPr codeName="Sheet16">
    <tabColor rgb="FF00B050"/>
  </sheetPr>
  <dimension ref="A1:P2"/>
  <sheetViews>
    <sheetView workbookViewId="0">
      <selection activeCell="L6" sqref="L6"/>
    </sheetView>
  </sheetViews>
  <sheetFormatPr defaultColWidth="20.5703125" defaultRowHeight="15" x14ac:dyDescent="0.25"/>
  <cols>
    <col min="8" max="8" width="20.5703125" style="25"/>
  </cols>
  <sheetData>
    <row r="1" spans="1:16" x14ac:dyDescent="0.25">
      <c r="A1" s="27" t="s">
        <v>52</v>
      </c>
      <c r="B1" s="28" t="s">
        <v>0</v>
      </c>
      <c r="C1" s="28" t="s">
        <v>1</v>
      </c>
      <c r="D1" s="28" t="s">
        <v>53</v>
      </c>
      <c r="E1" s="28" t="s">
        <v>54</v>
      </c>
      <c r="F1" s="28" t="s">
        <v>55</v>
      </c>
      <c r="G1" s="28" t="s">
        <v>56</v>
      </c>
      <c r="H1" s="83" t="s">
        <v>19</v>
      </c>
      <c r="I1" s="29" t="s">
        <v>35</v>
      </c>
      <c r="J1" s="30" t="s">
        <v>21</v>
      </c>
      <c r="K1" s="30" t="s">
        <v>32</v>
      </c>
      <c r="L1" s="30" t="s">
        <v>34</v>
      </c>
      <c r="M1" s="31" t="s">
        <v>20</v>
      </c>
      <c r="N1" s="30" t="s">
        <v>25</v>
      </c>
      <c r="O1" s="30" t="s">
        <v>13</v>
      </c>
      <c r="P1" s="31" t="s">
        <v>33</v>
      </c>
    </row>
    <row r="2" spans="1:16" x14ac:dyDescent="0.25">
      <c r="H2" s="71" t="e">
        <f ca="1">_xlfn.LET(_xlpm.protoKey,
 TRIM(RIGHT(LEFT(AFS_Backlog_SIMs[[#This Row],[Title]], IFERROR(
   SEARCH("/" &amp; TEXT(TODAY(), "YYYY") - 1, AFS_Backlog_SIMs[[#This Row],[Title]]),
   SEARCH("/" &amp; TEXT(TODAY(), "YYYY"),  AFS_Backlog_SIMs[[#This Row],[Title]])) + 4), 10)),
  DATEVALUE(TEXT(IFERROR(IFERROR(
  MOD(LEFT(_xlpm.protoKey), 1) + _xlpm.protoKey,
  REPLACE(_xlpm.protoKey, 1, 1, "")),
  "N/A"), "MM/DD/YYYY")))</f>
        <v>#VALUE!</v>
      </c>
      <c r="I2" s="32" t="str">
        <f ca="1">IFERROR(WEEKNUM(AFS_Backlog_SIMs[[#This Row],[Ops Date]]), "N/A")</f>
        <v>N/A</v>
      </c>
      <c r="J2" s="32">
        <f>IF(OR(ISNUMBER(SEARCH("Excluded", AFS_Backlog_SIMs[[#This Row],[Labels]])), ISNUMBER(SEARCH("Quality", AFS_Backlog_SIMs[[#This Row],[Data Status]])), ISNUMBER(SEARCH("Exception", AFS_Backlog_SIMs[[#This Row],[Data Status]]))), 1, 0)</f>
        <v>0</v>
      </c>
      <c r="K2" s="32">
        <f>IF(AND(AFS_Backlog_SIMs[[#This Row],[Excluded]] = 0, OR(AFS_Backlog_SIMs[[#This Row],[Operator Follow-up]] = 1, AFS_Backlog_SIMs[[#This Row],[False Resolution]] = 1, AFS_Backlog_SIMs[[#This Row],[SLA]] = 1, ISNUMBER( SEARCH("Miss", AFS_Backlog_SIMs[[#This Row],[Labels]])))), 1, 0)</f>
        <v>0</v>
      </c>
      <c r="L2" s="32">
        <f>AFS_Backlog_SIMs[[#This Row],[Miss]]</f>
        <v>0</v>
      </c>
      <c r="M2" s="33">
        <f>IF(AND(AFS_Backlog_SIMs[[#This Row],[CI]] = 0, AFS_Backlog_SIMs[[#This Row],[Miss]] = 1), 1, 0)</f>
        <v>0</v>
      </c>
      <c r="N2" s="32">
        <f>IF(AND(AFS_Backlog_SIMs[[#This Row],[Excluded]] = 0, OR(AFS_Backlog_SIMs[[#This Row],[Operator Follow-up Miss]] &lt;&gt; "", ISNUMBER(SEARCH("Operator Follow Up", AFS_Backlog_SIMs[[#This Row],[Labels]])))), 1, 0)</f>
        <v>0</v>
      </c>
      <c r="O2" s="32">
        <f>IF(AND(AFS_Backlog_SIMs[[#This Row],[Excluded]] = 0, OR(AFS_Backlog_SIMs[[#This Row],[False Resolution Miss]] &lt;&gt; "", ISNUMBER(SEARCH("False Resolution", AFS_Backlog_SIMs[[#This Row],[Labels]])))), 1, 0)</f>
        <v>0</v>
      </c>
      <c r="P2" s="33">
        <f>IF(AND(AFS_Backlog_SIMs[[#This Row],[Excluded]] = 0, OR(AFS_Backlog_SIMs[[#This Row],[SLA Miss]] &lt;&gt; "", ISNUMBER(SEARCH("SLA", AFS_Backlog_SIMs[[#This Row],[Labels]])))), 1, 0)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6A816-36AA-47BD-A20F-9571D32F1269}">
  <sheetPr codeName="Sheet3">
    <tabColor rgb="FF00B050"/>
  </sheetPr>
  <dimension ref="A1:P2"/>
  <sheetViews>
    <sheetView zoomScaleNormal="100" workbookViewId="0">
      <selection activeCell="L4" sqref="L4"/>
    </sheetView>
  </sheetViews>
  <sheetFormatPr defaultColWidth="20.5703125" defaultRowHeight="15" x14ac:dyDescent="0.25"/>
  <cols>
    <col min="8" max="8" width="20.5703125" style="86"/>
  </cols>
  <sheetData>
    <row r="1" spans="1:16" x14ac:dyDescent="0.25">
      <c r="A1" s="27" t="s">
        <v>52</v>
      </c>
      <c r="B1" s="28" t="s">
        <v>0</v>
      </c>
      <c r="C1" s="28" t="s">
        <v>1</v>
      </c>
      <c r="D1" s="28" t="s">
        <v>53</v>
      </c>
      <c r="E1" s="28" t="s">
        <v>54</v>
      </c>
      <c r="F1" s="28" t="s">
        <v>55</v>
      </c>
      <c r="G1" s="28" t="s">
        <v>56</v>
      </c>
      <c r="H1" s="84" t="s">
        <v>19</v>
      </c>
      <c r="I1" s="29" t="s">
        <v>35</v>
      </c>
      <c r="J1" s="30" t="s">
        <v>21</v>
      </c>
      <c r="K1" s="30" t="s">
        <v>32</v>
      </c>
      <c r="L1" s="30" t="s">
        <v>34</v>
      </c>
      <c r="M1" s="31" t="s">
        <v>20</v>
      </c>
      <c r="N1" s="30" t="s">
        <v>25</v>
      </c>
      <c r="O1" s="30" t="s">
        <v>13</v>
      </c>
      <c r="P1" s="30" t="s">
        <v>33</v>
      </c>
    </row>
    <row r="2" spans="1:16" x14ac:dyDescent="0.25">
      <c r="H2" s="85" t="e">
        <f ca="1">_xlfn.LET(_xlpm.protoKey,
 TRIM(RIGHT(LEFT(Ungrounding_SIMs[[#This Row],[Title]], IFERROR(
   SEARCH("/" &amp; TEXT(TODAY(), "YYYY") - 1, Ungrounding_SIMs[[#This Row],[Title]]),
   SEARCH("/" &amp; TEXT(TODAY(), "YYYY"), Ungrounding_SIMs[[#This Row],[Title]])) + 4), 10)),
 DATEVALUE(TEXT(IFERROR(IFERROR(
  MOD(LEFT(_xlpm.protoKey), 1) + _xlpm.protoKey,
  REPLACE(_xlpm.protoKey, 1, 1, "")),
  "N/A"), "MM/DD/YYYY")))</f>
        <v>#VALUE!</v>
      </c>
      <c r="I2" s="32" t="str">
        <f ca="1">IFERROR(WEEKNUM(Ungrounding_SIMs[[#This Row],[Ops Date]]), "N/A")</f>
        <v>N/A</v>
      </c>
      <c r="J2" s="32">
        <f>IF(OR(ISNUMBER(SEARCH("Excluded", Ungrounding_SIMs[[#This Row],[Labels]])), ISNUMBER(SEARCH("Quality", Ungrounding_SIMs[[#This Row],[Data Status]])), ISNUMBER(SEARCH("Exception", Ungrounding_SIMs[[#This Row],[Data Status]]))), 1, 0)</f>
        <v>0</v>
      </c>
      <c r="K2" s="32">
        <f>IF(AND(Ungrounding_SIMs[[#This Row],[Excluded]] = 0, OR(Ungrounding_SIMs[[#This Row],[Operator Follow-up]] = 1, Ungrounding_SIMs[[#This Row],[False Resolution]] = 1, Ungrounding_SIMs[[#This Row],[SLA]] = 1, ISNUMBER( SEARCH("Miss", Ungrounding_SIMs[[#This Row],[Labels]])))), 1, 0)</f>
        <v>0</v>
      </c>
      <c r="L2" s="32" cm="1">
        <f t="array" ref="L2">IF(
    AND(
        Ungrounding_SIMs[[#This Row],[Miss]] = 1,
        OR(ISNUMBER(SEARCH(Ungrounding_CI[False Resolution], Ungrounding_SIMs[[#This Row],[False Resolution Miss]])))
    ),
    1,
    0
)</f>
        <v>0</v>
      </c>
      <c r="M2" s="33">
        <f>IF(AND(Ungrounding_SIMs[[#This Row],[CI]] = 0, Ungrounding_SIMs[[#This Row],[Miss]] = 1), 1, 0)</f>
        <v>0</v>
      </c>
      <c r="N2" s="32">
        <f>IF(AND(Ungrounding_SIMs[[#This Row],[Excluded]] = 0, OR(Ungrounding_SIMs[[#This Row],[Operator Follow-up Miss]] &lt;&gt; "", ISNUMBER(SEARCH("Operator Follow Up", Ungrounding_SIMs[[#This Row],[Labels]])))), 1, 0)</f>
        <v>0</v>
      </c>
      <c r="O2" s="32">
        <f>IF(AND(Ungrounding_SIMs[[#This Row],[Excluded]] = 0, OR(Ungrounding_SIMs[[#This Row],[False Resolution Miss]] &lt;&gt; "", ISNUMBER(SEARCH("False Resolution", Ungrounding_SIMs[[#This Row],[Labels]])))), 1, 0)</f>
        <v>0</v>
      </c>
      <c r="P2" s="32">
        <f>IF(AND(Ungrounding_SIMs[[#This Row],[Excluded]] = 0, OR(Ungrounding_SIMs[[#This Row],[SLA Miss]] &lt;&gt; "", ISNUMBER(SEARCH("SLA", Ungrounding_SIMs[[#This Row],[Labels]])))), 1, 0)</f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E8A77-F0F9-4DB7-A225-17B79AB809DC}">
  <sheetPr codeName="Sheet4">
    <tabColor rgb="FF00B050"/>
  </sheetPr>
  <dimension ref="A1:P2"/>
  <sheetViews>
    <sheetView workbookViewId="0">
      <selection activeCell="F7" sqref="F7"/>
    </sheetView>
  </sheetViews>
  <sheetFormatPr defaultColWidth="20.5703125" defaultRowHeight="15" x14ac:dyDescent="0.25"/>
  <cols>
    <col min="8" max="8" width="20.5703125" style="86"/>
  </cols>
  <sheetData>
    <row r="1" spans="1:16" x14ac:dyDescent="0.25">
      <c r="A1" s="27" t="s">
        <v>52</v>
      </c>
      <c r="B1" s="28" t="s">
        <v>0</v>
      </c>
      <c r="C1" s="28" t="s">
        <v>1</v>
      </c>
      <c r="D1" s="28" t="s">
        <v>53</v>
      </c>
      <c r="E1" s="28" t="s">
        <v>54</v>
      </c>
      <c r="F1" s="28" t="s">
        <v>55</v>
      </c>
      <c r="G1" s="28" t="s">
        <v>56</v>
      </c>
      <c r="H1" s="84" t="s">
        <v>19</v>
      </c>
      <c r="I1" s="29" t="s">
        <v>35</v>
      </c>
      <c r="J1" s="30" t="s">
        <v>21</v>
      </c>
      <c r="K1" s="30" t="s">
        <v>32</v>
      </c>
      <c r="L1" s="30" t="s">
        <v>34</v>
      </c>
      <c r="M1" s="31" t="s">
        <v>20</v>
      </c>
      <c r="N1" s="30" t="s">
        <v>25</v>
      </c>
      <c r="O1" s="30" t="s">
        <v>13</v>
      </c>
      <c r="P1" s="30" t="s">
        <v>33</v>
      </c>
    </row>
    <row r="2" spans="1:16" x14ac:dyDescent="0.25">
      <c r="H2" s="85" t="e">
        <f ca="1">_xlfn.LET(_xlpm.protoKey,
 TRIM(RIGHT(LEFT(PM_SIMs[[#This Row],[Title]], IFERROR(
   SEARCH("/" &amp; TEXT(TODAY(), "YYYY") - 1, PM_SIMs[[#This Row],[Title]]),
   SEARCH("/" &amp; TEXT(TODAY(), "YYYY"), PM_SIMs[[#This Row],[Title]])) + 4), 10)),
 DATEVALUE(TEXT(IFERROR(IFERROR(
  MOD(LEFT(_xlpm.protoKey), 1) + _xlpm.protoKey,
  REPLACE(_xlpm.protoKey, 1, 1, "")),
  "N/A"), "MM/DD/YYYY")))</f>
        <v>#VALUE!</v>
      </c>
      <c r="I2" s="32" t="str">
        <f ca="1">IFERROR(WEEKNUM(PM_SIMs[[#This Row],[Ops Date]]), "N/A")</f>
        <v>N/A</v>
      </c>
      <c r="J2" s="32">
        <f>IF(OR(ISNUMBER(SEARCH("Excluded", PM_SIMs[[#This Row],[Labels]])), ISNUMBER(SEARCH("Quality", PM_SIMs[[#This Row],[Data Status]])), ISNUMBER(SEARCH("Exception", PM_SIMs[[#This Row],[Data Status]]))), 1, 0)</f>
        <v>0</v>
      </c>
      <c r="K2" s="32">
        <f>IF(AND(PM_SIMs[[#This Row],[Excluded]] = 0, OR(PM_SIMs[[#This Row],[Operator Follow-up]] = 1, PM_SIMs[[#This Row],[False Resolution]] = 1, PM_SIMs[[#This Row],[SLA]] = 1, ISNUMBER( SEARCH("Miss", PM_SIMs[[#This Row],[Labels]])))), 1, 0)</f>
        <v>0</v>
      </c>
      <c r="L2" s="32" cm="1">
        <f t="array" ref="L2">IF(
    AND(
        PM_SIMs[[#This Row],[Miss]] = 1,
        OR(ISNUMBER(SEARCH(PM_CI[False Resolution], PM_SIMs[[#This Row],[False Resolution Miss]])))
    ),
    1,
    0
)</f>
        <v>0</v>
      </c>
      <c r="M2" s="33">
        <f>IF(AND(PM_SIMs[[#This Row],[CI]] = 0, PM_SIMs[[#This Row],[Miss]] = 1), 1, 0)</f>
        <v>0</v>
      </c>
      <c r="N2" s="32">
        <f>IF(AND(PM_SIMs[[#This Row],[Excluded]] = 0, OR(PM_SIMs[[#This Row],[Operator Follow-up Miss]] &lt;&gt; "", ISNUMBER(SEARCH("Operator Follow Up", PM_SIMs[[#This Row],[Labels]])))), 1, 0)</f>
        <v>0</v>
      </c>
      <c r="O2" s="32">
        <f>IF(AND(PM_SIMs[[#This Row],[Excluded]] = 0, OR(PM_SIMs[[#This Row],[False Resolution Miss]] &lt;&gt; "", ISNUMBER(SEARCH("False Resolution", PM_SIMs[[#This Row],[Labels]])))), 1, 0)</f>
        <v>0</v>
      </c>
      <c r="P2" s="32">
        <f>IF(AND(PM_SIMs[[#This Row],[Excluded]] = 0, OR(PM_SIMs[[#This Row],[SLA Miss]] &lt;&gt; "", ISNUMBER(SEARCH("SLA", PM_SIMs[[#This Row],[Labels]])))), 1, 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9E0A7-B0E7-4251-8D88-63568D9D50DE}">
  <sheetPr codeName="Sheet5">
    <tabColor rgb="FF00B050"/>
  </sheetPr>
  <dimension ref="A1:P2"/>
  <sheetViews>
    <sheetView workbookViewId="0">
      <selection activeCell="G3" sqref="G3"/>
    </sheetView>
  </sheetViews>
  <sheetFormatPr defaultColWidth="20.5703125" defaultRowHeight="15" x14ac:dyDescent="0.25"/>
  <cols>
    <col min="8" max="8" width="20.5703125" style="82"/>
  </cols>
  <sheetData>
    <row r="1" spans="1:16" x14ac:dyDescent="0.25">
      <c r="A1" s="27" t="s">
        <v>52</v>
      </c>
      <c r="B1" s="28" t="s">
        <v>0</v>
      </c>
      <c r="C1" s="28" t="s">
        <v>1</v>
      </c>
      <c r="D1" s="28" t="s">
        <v>53</v>
      </c>
      <c r="E1" s="28" t="s">
        <v>54</v>
      </c>
      <c r="F1" s="28" t="s">
        <v>55</v>
      </c>
      <c r="G1" s="28" t="s">
        <v>56</v>
      </c>
      <c r="H1" s="80" t="s">
        <v>19</v>
      </c>
      <c r="I1" s="29" t="s">
        <v>35</v>
      </c>
      <c r="J1" s="30" t="s">
        <v>21</v>
      </c>
      <c r="K1" s="30" t="s">
        <v>32</v>
      </c>
      <c r="L1" s="30" t="s">
        <v>34</v>
      </c>
      <c r="M1" s="31" t="s">
        <v>20</v>
      </c>
      <c r="N1" s="30" t="s">
        <v>25</v>
      </c>
      <c r="O1" s="30" t="s">
        <v>13</v>
      </c>
      <c r="P1" s="30" t="s">
        <v>33</v>
      </c>
    </row>
    <row r="2" spans="1:16" x14ac:dyDescent="0.25">
      <c r="H2" s="81" t="e">
        <f ca="1">_xlfn.LET(_xlpm.protoKey,
 TRIM(RIGHT(LEFT(VFC_SIMs[[#This Row],[Title]], IFERROR(
   SEARCH("/" &amp; TEXT(TODAY(), "YYYY") - 1, VFC_SIMs[[#This Row],[Title]]),
   SEARCH("/" &amp; TEXT(TODAY(), "YYYY"), VFC_SIMs[[#This Row],[Title]])) + 4), 10)),
 DATEVALUE(TEXT(IFERROR(IFERROR(
  MOD(LEFT(_xlpm.protoKey), 1) + _xlpm.protoKey,
  REPLACE(_xlpm.protoKey, 1, 1, "")),
  "N/A"), "MM/DD/YYYY")))</f>
        <v>#VALUE!</v>
      </c>
      <c r="I2" s="32" t="str">
        <f ca="1">IFERROR(WEEKNUM(VFC_SIMs[[#This Row],[Ops Date]]), "N/A")</f>
        <v>N/A</v>
      </c>
      <c r="J2" s="32">
        <f>IF(OR(ISNUMBER(SEARCH("Excluded", VFC_SIMs[[#This Row],[Labels]])), ISNUMBER(SEARCH("Quality", VFC_SIMs[[#This Row],[Data Status]])), ISNUMBER(SEARCH("Exception", VFC_SIMs[[#This Row],[Data Status]]))), 1, 0)</f>
        <v>0</v>
      </c>
      <c r="K2" s="32">
        <f>IF(AND(VFC_SIMs[[#This Row],[Excluded]] = 0, OR(VFC_SIMs[[#This Row],[Operator Follow-up]] = 1, VFC_SIMs[[#This Row],[False Resolution]] = 1, VFC_SIMs[[#This Row],[SLA]] = 1, ISNUMBER( SEARCH("Miss", VFC_SIMs[[#This Row],[Labels]])))), 1, 0)</f>
        <v>0</v>
      </c>
      <c r="L2" s="32" cm="1">
        <f t="array" ref="L2">IF(
    AND(
        VFC_SIMs[[#This Row],[Miss]] = 1,
        OR(
            OR(ISNUMBER(SEARCH(VFC_CI[False Resolution], VFC_SIMs[[#This Row],[False Resolution Miss]]))),
            OR(ISNUMBER(SEARCH(VFC_CI[Operator Follow-up], VFC_SIMs[[#This Row],[Operator Follow-up Miss]]))),
            OR(ISNUMBER(SEARCH(VFC_CI[SLA], VFC_SIMs[[#This Row],[SLA Miss]])))
        )
    ),
    1,
    0
)</f>
        <v>0</v>
      </c>
      <c r="M2" s="33">
        <f>IF(AND(VFC_SIMs[[#This Row],[CI]] = 0, VFC_SIMs[[#This Row],[Miss]] = 1), 1, 0)</f>
        <v>0</v>
      </c>
      <c r="N2" s="32">
        <f>IF(AND(VFC_SIMs[[#This Row],[Excluded]] = 0, OR(VFC_SIMs[[#This Row],[Operator Follow-up Miss]] &lt;&gt; "", ISNUMBER(SEARCH("Operator Follow Up", VFC_SIMs[[#This Row],[Labels]])))), 1, 0)</f>
        <v>0</v>
      </c>
      <c r="O2" s="32">
        <f>IF(AND(VFC_SIMs[[#This Row],[Excluded]] = 0, OR(VFC_SIMs[[#This Row],[False Resolution Miss]] &lt;&gt; "", ISNUMBER(SEARCH("False Resolution", VFC_SIMs[[#This Row],[Labels]])))), 1, 0)</f>
        <v>0</v>
      </c>
      <c r="P2" s="32">
        <f>IF(AND(VFC_SIMs[[#This Row],[Excluded]] = 0, OR(VFC_SIMs[[#This Row],[SLA Miss]] &lt;&gt; "", ISNUMBER(SEARCH("SLA", VFC_SIMs[[#This Row],[Labels]])))), 1, 0)</f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2A81-BE21-4A0D-838B-6A3746274DAF}">
  <sheetPr codeName="Sheet6">
    <tabColor rgb="FF00B050"/>
  </sheetPr>
  <dimension ref="A1:P2"/>
  <sheetViews>
    <sheetView workbookViewId="0">
      <selection activeCell="H2" sqref="H2"/>
    </sheetView>
  </sheetViews>
  <sheetFormatPr defaultColWidth="20.5703125" defaultRowHeight="15" x14ac:dyDescent="0.25"/>
  <cols>
    <col min="2" max="2" width="55.85546875" bestFit="1" customWidth="1"/>
    <col min="3" max="3" width="68.140625" bestFit="1" customWidth="1"/>
    <col min="8" max="8" width="20.5703125" style="82"/>
  </cols>
  <sheetData>
    <row r="1" spans="1:16" x14ac:dyDescent="0.25">
      <c r="A1" s="27" t="s">
        <v>52</v>
      </c>
      <c r="B1" s="28" t="s">
        <v>0</v>
      </c>
      <c r="C1" s="28" t="s">
        <v>1</v>
      </c>
      <c r="D1" s="28" t="s">
        <v>53</v>
      </c>
      <c r="E1" s="28" t="s">
        <v>54</v>
      </c>
      <c r="F1" s="28" t="s">
        <v>55</v>
      </c>
      <c r="G1" s="28" t="s">
        <v>56</v>
      </c>
      <c r="H1" s="80" t="s">
        <v>19</v>
      </c>
      <c r="I1" s="29" t="s">
        <v>35</v>
      </c>
      <c r="J1" s="30" t="s">
        <v>21</v>
      </c>
      <c r="K1" s="30" t="s">
        <v>32</v>
      </c>
      <c r="L1" s="30" t="s">
        <v>34</v>
      </c>
      <c r="M1" s="31" t="s">
        <v>20</v>
      </c>
      <c r="N1" s="30" t="s">
        <v>25</v>
      </c>
      <c r="O1" s="30" t="s">
        <v>13</v>
      </c>
      <c r="P1" s="30" t="s">
        <v>33</v>
      </c>
    </row>
    <row r="2" spans="1:16" x14ac:dyDescent="0.25">
      <c r="H2" s="81" t="e">
        <f ca="1">_xlfn.LET(_xlpm.protoKey,
 TRIM(RIGHT(LEFT(Reimbursement_SIMs[[#This Row],[Title]], IFERROR(
   SEARCH("/" &amp; TEXT(TODAY(), "YYYY") - 1, Reimbursement_SIMs[[#This Row],[Title]]),
   SEARCH("/" &amp; TEXT(TODAY(), "YYYY"), Reimbursement_SIMs[[#This Row],[Title]])) + 4), 10)),
 DATEVALUE(TEXT(IFERROR(IFERROR(
  MOD(LEFT(_xlpm.protoKey), 1) + _xlpm.protoKey,
  REPLACE(_xlpm.protoKey, 1, 1, "")),
  "N/A"), "MM/DD/YYYY")))</f>
        <v>#VALUE!</v>
      </c>
      <c r="I2" s="32" t="str">
        <f ca="1">IFERROR(WEEKNUM(Reimbursement_SIMs[[#This Row],[Ops Date]]), "N/A")</f>
        <v>N/A</v>
      </c>
      <c r="J2" s="32">
        <f>IF(OR(ISNUMBER(SEARCH("Excluded", Reimbursement_SIMs[[#This Row],[Labels]])), ISNUMBER(SEARCH("Quality", Reimbursement_SIMs[[#This Row],[Data Status]])), ISNUMBER(SEARCH("Exception", Reimbursement_SIMs[[#This Row],[Data Status]]))), 1, 0)</f>
        <v>0</v>
      </c>
      <c r="K2" s="32">
        <f>IF(AND(Reimbursement_SIMs[[#This Row],[Excluded]] = 0, OR(Reimbursement_SIMs[[#This Row],[Operator Follow-up]] = 1, Reimbursement_SIMs[[#This Row],[False Resolution]] = 1, Reimbursement_SIMs[[#This Row],[SLA]] = 1, ISNUMBER( SEARCH("Miss", Reimbursement_SIMs[[#This Row],[Labels]])))), 1, 0)</f>
        <v>0</v>
      </c>
      <c r="L2" s="32" cm="1">
        <f t="array" ref="L2">IF(
    AND(
        Reimbursement_SIMs[[#This Row],[Miss]] = 1,
        OR(
            OR(ISNUMBER(SEARCH(Reimbursements_CI[False Resolution], Reimbursement_SIMs[[#This Row],[False Resolution Miss]]))),
            OR(ISNUMBER(SEARCH(Reimbursements_CI[Operator Follow-up], Reimbursement_SIMs[[#This Row],[Operator Follow-up Miss]]))),
            OR(ISNUMBER(SEARCH(Reimbursements_CI[SLA], Reimbursement_SIMs[[#This Row],[SLA Miss]])))
        )
    ),
    1,
    0
)</f>
        <v>0</v>
      </c>
      <c r="M2" s="33">
        <f>IF(AND(Reimbursement_SIMs[[#This Row],[CI]] = 0, Reimbursement_SIMs[[#This Row],[Miss]] = 1), 1, 0)</f>
        <v>0</v>
      </c>
      <c r="N2" s="32">
        <f>IF(AND(Reimbursement_SIMs[[#This Row],[Excluded]] = 0, OR(Reimbursement_SIMs[[#This Row],[Operator Follow-up Miss]] &lt;&gt; "", ISNUMBER(SEARCH("Operator Follow Up", Reimbursement_SIMs[[#This Row],[Labels]])))), 1, 0)</f>
        <v>0</v>
      </c>
      <c r="O2" s="32">
        <f>IF(AND(Reimbursement_SIMs[[#This Row],[Excluded]] = 0, OR(Reimbursement_SIMs[[#This Row],[False Resolution Miss]] &lt;&gt; "", ISNUMBER(SEARCH("False Resolution", Reimbursement_SIMs[[#This Row],[Labels]])))), 1, 0)</f>
        <v>0</v>
      </c>
      <c r="P2" s="32">
        <f>IF(AND(Reimbursement_SIMs[[#This Row],[Excluded]] = 0, OR(Reimbursement_SIMs[[#This Row],[SLA Miss]] &lt;&gt; "", ISNUMBER(SEARCH("SLA", Reimbursement_SIMs[[#This Row],[Labels]])))), 1, 0)</f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A33FB-7802-40C0-8EE2-C4B03F2E04AF}">
  <sheetPr codeName="Sheet11">
    <tabColor rgb="FF00B050"/>
  </sheetPr>
  <dimension ref="A1:Q2"/>
  <sheetViews>
    <sheetView workbookViewId="0">
      <selection activeCell="M2" sqref="M2"/>
    </sheetView>
  </sheetViews>
  <sheetFormatPr defaultColWidth="20.5703125" defaultRowHeight="15" x14ac:dyDescent="0.25"/>
  <cols>
    <col min="8" max="8" width="20.5703125" style="25"/>
  </cols>
  <sheetData>
    <row r="1" spans="1:17" x14ac:dyDescent="0.25">
      <c r="A1" s="27" t="s">
        <v>52</v>
      </c>
      <c r="B1" s="28" t="s">
        <v>0</v>
      </c>
      <c r="C1" s="28" t="s">
        <v>1</v>
      </c>
      <c r="D1" s="28" t="s">
        <v>53</v>
      </c>
      <c r="E1" s="28" t="s">
        <v>54</v>
      </c>
      <c r="F1" s="28" t="s">
        <v>55</v>
      </c>
      <c r="G1" s="28" t="s">
        <v>56</v>
      </c>
      <c r="H1" s="83" t="s">
        <v>19</v>
      </c>
      <c r="I1" s="29" t="s">
        <v>35</v>
      </c>
      <c r="J1" s="29" t="s">
        <v>4480</v>
      </c>
      <c r="K1" s="30" t="s">
        <v>21</v>
      </c>
      <c r="L1" s="30" t="s">
        <v>32</v>
      </c>
      <c r="M1" s="30" t="s">
        <v>34</v>
      </c>
      <c r="N1" s="31" t="s">
        <v>20</v>
      </c>
      <c r="O1" s="30" t="s">
        <v>25</v>
      </c>
      <c r="P1" s="30" t="s">
        <v>13</v>
      </c>
      <c r="Q1" s="31" t="s">
        <v>33</v>
      </c>
    </row>
    <row r="2" spans="1:17" x14ac:dyDescent="0.25">
      <c r="H2" s="71" t="e">
        <f ca="1">_xlfn.LET(_xlpm.protoKey,
 TRIM(RIGHT(LEFT(FIF_SIMs[[#This Row],[Title]], IFERROR(
   SEARCH("/" &amp; TEXT(TODAY(), "YYYY") - 1, FIF_SIMs[[#This Row],[Title]]),
   SEARCH("/" &amp; TEXT(TODAY(), "YYYY"),  FIF_SIMs[[#This Row],[Title]])) + 4), 10)),
 DATEVALUE(TEXT(IFERROR(IFERROR(
  MOD(LEFT(_xlpm.protoKey), 1) + _xlpm.protoKey,
  REPLACE(_xlpm.protoKey, 1, 1, "")),
  "N/A"), "MM/DD/YYYY")))</f>
        <v>#VALUE!</v>
      </c>
      <c r="I2" s="32" t="str">
        <f ca="1">IFERROR(WEEKNUM(FIF_SIMs[[#This Row],[Ops Date]]), "N/A")</f>
        <v>N/A</v>
      </c>
      <c r="J2" s="32" t="str">
        <f ca="1">IFERROR(MONTH(FIF_SIMs[[#This Row],[Ops Date]]), "N/A")</f>
        <v>N/A</v>
      </c>
      <c r="K2" s="32">
        <f>IF(OR(ISNUMBER(SEARCH("Excluded", FIF_SIMs[[#This Row],[Labels]])), ISNUMBER(SEARCH("Quality", FIF_SIMs[[#This Row],[Data Status]])), ISNUMBER(SEARCH("Exception", FIF_SIMs[[#This Row],[Data Status]]))), 1, 0)</f>
        <v>0</v>
      </c>
      <c r="L2" s="32">
        <f>IF(AND(FIF_SIMs[[#This Row],[Excluded]] = 0, OR(FIF_SIMs[[#This Row],[Operator Follow-up]] = 1, FIF_SIMs[[#This Row],[False Resolution]] = 1, FIF_SIMs[[#This Row],[SLA]] = 1, ISNUMBER( SEARCH("Miss", FIF_SIMs[[#This Row],[Labels]])))), 1, 0)</f>
        <v>0</v>
      </c>
      <c r="M2" s="32">
        <f>FIF_SIMs[[#This Row],[Miss]]</f>
        <v>0</v>
      </c>
      <c r="N2" s="33">
        <f>IF(AND(FIF_SIMs[[#This Row],[CI]] = 0, FIF_SIMs[[#This Row],[Miss]] = 1), 1, 0)</f>
        <v>0</v>
      </c>
      <c r="O2" s="32">
        <f>IF(AND(FIF_SIMs[[#This Row],[Excluded]] = 0, OR(FIF_SIMs[[#This Row],[Operator Follow-up Miss]] &lt;&gt; "", ISNUMBER(SEARCH("Operator Follow Up", FIF_SIMs[[#This Row],[Labels]])))), 1, 0)</f>
        <v>0</v>
      </c>
      <c r="P2" s="32">
        <f>IF(AND(FIF_SIMs[[#This Row],[Excluded]] = 0, OR(FIF_SIMs[[#This Row],[False Resolution Miss]] &lt;&gt; "", ISNUMBER(SEARCH("False Resolution", FIF_SIMs[[#This Row],[Labels]])))), 1, 0)</f>
        <v>0</v>
      </c>
      <c r="Q2" s="33">
        <f>IF(AND(FIF_SIMs[[#This Row],[Excluded]] = 0, OR(FIF_SIMs[[#This Row],[SLA Miss]] &lt;&gt; "", ISNUMBER(SEARCH("SLA", FIF_SIMs[[#This Row],[Labels]])))), 1, 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DA0AF-6782-48D3-9585-FA42B041E507}">
  <sheetPr codeName="Sheet10">
    <tabColor rgb="FF00B050"/>
  </sheetPr>
  <dimension ref="A1:P2"/>
  <sheetViews>
    <sheetView workbookViewId="0">
      <selection activeCell="K109" sqref="K109"/>
    </sheetView>
  </sheetViews>
  <sheetFormatPr defaultColWidth="20.5703125" defaultRowHeight="15" x14ac:dyDescent="0.25"/>
  <cols>
    <col min="8" max="8" width="20.5703125" style="82"/>
  </cols>
  <sheetData>
    <row r="1" spans="1:16" x14ac:dyDescent="0.25">
      <c r="A1" s="27" t="s">
        <v>52</v>
      </c>
      <c r="B1" s="28" t="s">
        <v>0</v>
      </c>
      <c r="C1" s="28" t="s">
        <v>1</v>
      </c>
      <c r="D1" s="28" t="s">
        <v>53</v>
      </c>
      <c r="E1" s="28" t="s">
        <v>54</v>
      </c>
      <c r="F1" s="28" t="s">
        <v>55</v>
      </c>
      <c r="G1" s="28" t="s">
        <v>56</v>
      </c>
      <c r="H1" s="80" t="s">
        <v>19</v>
      </c>
      <c r="I1" s="29" t="s">
        <v>35</v>
      </c>
      <c r="J1" s="30" t="s">
        <v>21</v>
      </c>
      <c r="K1" s="30" t="s">
        <v>32</v>
      </c>
      <c r="L1" s="30" t="s">
        <v>34</v>
      </c>
      <c r="M1" s="31" t="s">
        <v>20</v>
      </c>
      <c r="N1" s="30" t="s">
        <v>25</v>
      </c>
      <c r="O1" s="30" t="s">
        <v>13</v>
      </c>
      <c r="P1" s="31" t="s">
        <v>33</v>
      </c>
    </row>
    <row r="2" spans="1:16" x14ac:dyDescent="0.25">
      <c r="H2" s="81" t="e">
        <f ca="1">_xlfn.LET(_xlpm.protoKey,
 TRIM(RIGHT(LEFT(SWA_Paragon_SIMs[[#This Row],[Title]], IFERROR(
   SEARCH("/" &amp; TEXT(TODAY(), "YYYY") - 1, SWA_Paragon_SIMs[[#This Row],[Title]]),
   SEARCH("/" &amp; TEXT(TODAY(), "YYYY"),  SWA_Paragon_SIMs[[#This Row],[Title]])) + 4), 10)),
 DATEVALUE(TEXT(IFERROR(IFERROR(
  MOD(LEFT(_xlpm.protoKey), 1) + _xlpm.protoKey,
  REPLACE(_xlpm.protoKey, 1, 1, "")),
  "N/A"), "MM/DD/YYYY")))</f>
        <v>#VALUE!</v>
      </c>
      <c r="I2" s="32" t="str">
        <f ca="1">IFERROR(WEEKNUM(SWA_Paragon_SIMs[[#This Row],[Ops Date]]), "N/A")</f>
        <v>N/A</v>
      </c>
      <c r="J2" s="32">
        <f>IF(OR(ISNUMBER(SEARCH("Excluded", SWA_Paragon_SIMs[[#This Row],[Labels]])), ISNUMBER(SEARCH("Quality", SWA_Paragon_SIMs[[#This Row],[Data Status]])), ISNUMBER(SEARCH("Exception", SWA_Paragon_SIMs[[#This Row],[Data Status]]))), 1, 0)</f>
        <v>0</v>
      </c>
      <c r="K2" s="32">
        <f>IF(AND(SWA_Paragon_SIMs[[#This Row],[Excluded]] = 0, OR(SWA_Paragon_SIMs[[#This Row],[Operator Follow-up]] = 1, SWA_Paragon_SIMs[[#This Row],[False Resolution]] = 1, SWA_Paragon_SIMs[[#This Row],[SLA]] = 1, ISNUMBER( SEARCH("Miss", SWA_Paragon_SIMs[[#This Row],[Labels]])))), 1, 0)</f>
        <v>0</v>
      </c>
      <c r="L2" s="32" cm="1">
        <f t="array" ref="L2">IF(
    AND(
        SWA_Paragon_SIMs[[#This Row],[Miss]] = 1,
        OR(
            OR(ISNUMBER(SEARCH(SWA_CI[False Resolution], SWA_Paragon_SIMs[[#This Row],[False Resolution Miss]]))),
            OR(ISNUMBER(SEARCH(SWA_CI[Operator Follow-up], SWA_Paragon_SIMs[[#This Row],[Operator Follow-up Miss]]))),
            OR(ISNUMBER(SEARCH(SWA_CI[SLA], SWA_Paragon_SIMs[[#This Row],[SLA Miss]])))
        )
    ),
    1,
    0
)</f>
        <v>0</v>
      </c>
      <c r="M2" s="33">
        <f>IF(AND(SWA_Paragon_SIMs[[#This Row],[CI]] = 0, SWA_Paragon_SIMs[[#This Row],[Miss]] = 1), 1, 0)</f>
        <v>0</v>
      </c>
      <c r="N2" s="32">
        <f>IF(AND(SWA_Paragon_SIMs[[#This Row],[Excluded]] = 0, OR(SWA_Paragon_SIMs[[#This Row],[Operator Follow-up Miss]] &lt;&gt; "", ISNUMBER(SEARCH("Operator Follow Up", SWA_Paragon_SIMs[[#This Row],[Labels]])))), 1, 0)</f>
        <v>0</v>
      </c>
      <c r="O2" s="32">
        <f>IF(AND(SWA_Paragon_SIMs[[#This Row],[Excluded]] = 0, OR(SWA_Paragon_SIMs[[#This Row],[False Resolution Miss]] &lt;&gt; "", ISNUMBER(SEARCH("False Resolution", SWA_Paragon_SIMs[[#This Row],[Labels]])))), 1, 0)</f>
        <v>0</v>
      </c>
      <c r="P2" s="33">
        <f>IF(AND(SWA_Paragon_SIMs[[#This Row],[Excluded]] = 0, OR(SWA_Paragon_SIMs[[#This Row],[SLA Miss]] &lt;&gt; "", ISNUMBER(SEARCH("SLA", SWA_Paragon_SIMs[[#This Row],[Labels]])))), 1, 0)</f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28DDD-D991-4718-B2A4-1A7F8EA1CEFF}">
  <sheetPr codeName="Sheet15">
    <tabColor rgb="FF00B050"/>
  </sheetPr>
  <dimension ref="A1:Q2"/>
  <sheetViews>
    <sheetView workbookViewId="0">
      <selection activeCell="F6" sqref="F6"/>
    </sheetView>
  </sheetViews>
  <sheetFormatPr defaultColWidth="20.5703125" defaultRowHeight="15" x14ac:dyDescent="0.25"/>
  <cols>
    <col min="8" max="8" width="20.5703125" style="82"/>
  </cols>
  <sheetData>
    <row r="1" spans="1:17" x14ac:dyDescent="0.25">
      <c r="A1" s="27" t="s">
        <v>52</v>
      </c>
      <c r="B1" s="28" t="s">
        <v>0</v>
      </c>
      <c r="C1" s="28" t="s">
        <v>1</v>
      </c>
      <c r="D1" s="28" t="s">
        <v>53</v>
      </c>
      <c r="E1" s="28" t="s">
        <v>54</v>
      </c>
      <c r="F1" s="28" t="s">
        <v>55</v>
      </c>
      <c r="G1" s="28" t="s">
        <v>56</v>
      </c>
      <c r="H1" s="80" t="s">
        <v>19</v>
      </c>
      <c r="I1" s="29" t="s">
        <v>35</v>
      </c>
      <c r="J1" s="29" t="s">
        <v>4480</v>
      </c>
      <c r="K1" s="30" t="s">
        <v>21</v>
      </c>
      <c r="L1" s="30" t="s">
        <v>32</v>
      </c>
      <c r="M1" s="30" t="s">
        <v>34</v>
      </c>
      <c r="N1" s="31" t="s">
        <v>20</v>
      </c>
      <c r="O1" s="30" t="s">
        <v>25</v>
      </c>
      <c r="P1" s="30" t="s">
        <v>13</v>
      </c>
      <c r="Q1" s="31" t="s">
        <v>33</v>
      </c>
    </row>
    <row r="2" spans="1:17" x14ac:dyDescent="0.25">
      <c r="H2" s="81" t="e">
        <f ca="1">_xlfn.LET(_xlpm.protoKey,
 TRIM(RIGHT(LEFT(ORSA_Intervention_SIMs[[#This Row],[Title]], IFERROR(
   SEARCH("/" &amp; TEXT(TODAY(), "YYYY") - 1, ORSA_Intervention_SIMs[[#This Row],[Title]]),
   SEARCH("/" &amp; TEXT(TODAY(), "YYYY"),  ORSA_Intervention_SIMs[[#This Row],[Title]])) + 4), 10)),
 DATEVALUE(TEXT(IFERROR(IFERROR(
  MOD(LEFT(_xlpm.protoKey), 1) + _xlpm.protoKey,
  REPLACE(_xlpm.protoKey, 1, 1, "")),
  "N/A"), "MM/DD/YYYY")))</f>
        <v>#VALUE!</v>
      </c>
      <c r="I2" s="32" t="str">
        <f ca="1">IFERROR(WEEKNUM(ORSA_Intervention_SIMs[[#This Row],[Ops Date]]), "N/A")</f>
        <v>N/A</v>
      </c>
      <c r="J2" s="32" t="str">
        <f ca="1">IFERROR(MONTH(ORSA_Intervention_SIMs[[#This Row],[Ops Date]]), "N/A")</f>
        <v>N/A</v>
      </c>
      <c r="K2" s="32">
        <f>IF(OR(ISNUMBER(SEARCH("Excluded", ORSA_Intervention_SIMs[[#This Row],[Labels]])), ISNUMBER(SEARCH("Quality", ORSA_Intervention_SIMs[[#This Row],[Data Status]])), ISNUMBER(SEARCH("Exception", ORSA_Intervention_SIMs[[#This Row],[Data Status]]))), 1, 0)</f>
        <v>0</v>
      </c>
      <c r="L2" s="32">
        <f>IF(AND(ORSA_Intervention_SIMs[[#This Row],[Excluded]] = 0, OR(ORSA_Intervention_SIMs[[#This Row],[Operator Follow-up]] = 1, ORSA_Intervention_SIMs[[#This Row],[False Resolution]] = 1, ORSA_Intervention_SIMs[[#This Row],[SLA]] = 1, ISNUMBER( SEARCH("Miss", ORSA_Intervention_SIMs[[#This Row],[Labels]])))), 1, 0)</f>
        <v>0</v>
      </c>
      <c r="M2" s="32">
        <f>ORSA_Intervention_SIMs[[#This Row],[Miss]]</f>
        <v>0</v>
      </c>
      <c r="N2" s="33">
        <f>IF(AND(ORSA_Intervention_SIMs[[#This Row],[CI]] = 0, ORSA_Intervention_SIMs[[#This Row],[Miss]] = 1), 1, 0)</f>
        <v>0</v>
      </c>
      <c r="O2" s="32">
        <f>IF(AND(ORSA_Intervention_SIMs[[#This Row],[Excluded]] = 0, OR(ORSA_Intervention_SIMs[[#This Row],[Operator Follow-up Miss]] &lt;&gt; "", ISNUMBER(SEARCH("Operator Follow Up", ORSA_Intervention_SIMs[[#This Row],[Labels]])))), 1, 0)</f>
        <v>0</v>
      </c>
      <c r="P2" s="32">
        <f>IF(AND(ORSA_Intervention_SIMs[[#This Row],[Excluded]] = 0, OR(ORSA_Intervention_SIMs[[#This Row],[False Resolution Miss]] &lt;&gt; "", ISNUMBER(SEARCH("False Resolution", ORSA_Intervention_SIMs[[#This Row],[Labels]])))), 1, 0)</f>
        <v>0</v>
      </c>
      <c r="Q2" s="33">
        <f>IF(AND(ORSA_Intervention_SIMs[[#This Row],[Excluded]] = 0, OR(ORSA_Intervention_SIMs[[#This Row],[SLA Miss]] &lt;&gt; "", ISNUMBER(SEARCH("SLA", ORSA_Intervention_SIMs[[#This Row],[Labels]])))), 1, 0)</f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A902E-0D09-4DF1-A0C3-4663C93B2DB7}">
  <sheetPr codeName="Sheet19">
    <tabColor rgb="FF00B050"/>
  </sheetPr>
  <dimension ref="A1:S2"/>
  <sheetViews>
    <sheetView workbookViewId="0">
      <selection activeCell="E2" sqref="E2"/>
    </sheetView>
  </sheetViews>
  <sheetFormatPr defaultColWidth="20.5703125" defaultRowHeight="15" x14ac:dyDescent="0.25"/>
  <cols>
    <col min="10" max="10" width="20.5703125" style="82"/>
  </cols>
  <sheetData>
    <row r="1" spans="1:19" x14ac:dyDescent="0.25">
      <c r="A1" s="27" t="s">
        <v>5528</v>
      </c>
      <c r="B1" s="27" t="s">
        <v>52</v>
      </c>
      <c r="C1" s="28" t="s">
        <v>0</v>
      </c>
      <c r="D1" s="28" t="s">
        <v>1</v>
      </c>
      <c r="E1" s="28" t="s">
        <v>5529</v>
      </c>
      <c r="F1" s="28" t="s">
        <v>53</v>
      </c>
      <c r="G1" s="28" t="s">
        <v>54</v>
      </c>
      <c r="H1" s="28" t="s">
        <v>55</v>
      </c>
      <c r="I1" s="28" t="s">
        <v>56</v>
      </c>
      <c r="J1" s="80" t="s">
        <v>19</v>
      </c>
      <c r="K1" s="29" t="s">
        <v>35</v>
      </c>
      <c r="L1" s="29" t="s">
        <v>4480</v>
      </c>
      <c r="M1" s="30" t="s">
        <v>21</v>
      </c>
      <c r="N1" s="30" t="s">
        <v>32</v>
      </c>
      <c r="O1" s="30" t="s">
        <v>34</v>
      </c>
      <c r="P1" s="31" t="s">
        <v>20</v>
      </c>
      <c r="Q1" s="30" t="s">
        <v>25</v>
      </c>
      <c r="R1" s="30" t="s">
        <v>13</v>
      </c>
      <c r="S1" s="31" t="s">
        <v>33</v>
      </c>
    </row>
    <row r="2" spans="1:19" x14ac:dyDescent="0.25">
      <c r="J2" s="81" t="e">
        <f ca="1">_xlfn.LET(_xlpm.protoKey,
 TRIM(RIGHT(LEFT(ORSA_Valids_SIMs[[#This Row],[Title]], IFERROR(
   SEARCH("/" &amp; TEXT(TODAY(), "YYYY") - 1, ORSA_Valids_SIMs[[#This Row],[Title]]),
   SEARCH("/" &amp; TEXT(TODAY(), "YYYY"),  ORSA_Valids_SIMs[[#This Row],[Title]])) + 4), 10)),
 DATEVALUE(TEXT(IFERROR(IFERROR(
  MOD(LEFT(_xlpm.protoKey), 1) + _xlpm.protoKey,
  REPLACE(_xlpm.protoKey, 1, 1, "")),
  "N/A"), "MM/DD/YYYY")))</f>
        <v>#VALUE!</v>
      </c>
      <c r="K2" s="32" t="str">
        <f ca="1">IFERROR(WEEKNUM(ORSA_Valids_SIMs[[#This Row],[Ops Date]]), "N/A")</f>
        <v>N/A</v>
      </c>
      <c r="L2" s="32" t="str">
        <f ca="1">IFERROR(MONTH(ORSA_Valids_SIMs[[#This Row],[Ops Date]]), "N/A")</f>
        <v>N/A</v>
      </c>
      <c r="M2" s="32">
        <f>IF(OR(ISNUMBER(SEARCH("Excluded", ORSA_Valids_SIMs[[#This Row],[Labels]])), ISNUMBER(SEARCH("Quality", ORSA_Valids_SIMs[[#This Row],[Data Status]])), ISNUMBER(SEARCH("Exception", ORSA_Valids_SIMs[[#This Row],[Data Status]]))), 1, 0)</f>
        <v>0</v>
      </c>
      <c r="N2" s="32">
        <f>IF(AND(ORSA_Valids_SIMs[[#This Row],[Excluded]] = 0, OR(ORSA_Valids_SIMs[[#This Row],[Operator Follow-up]] = 1, ORSA_Valids_SIMs[[#This Row],[False Resolution]] = 1, ORSA_Valids_SIMs[[#This Row],[SLA]] = 1, ISNUMBER( SEARCH("Miss", ORSA_Valids_SIMs[[#This Row],[Labels]])))), 1, 0)</f>
        <v>0</v>
      </c>
      <c r="O2" s="32">
        <f>ORSA_Valids_SIMs[[#This Row],[Miss]]</f>
        <v>0</v>
      </c>
      <c r="P2" s="33">
        <f>IF(AND(ORSA_Valids_SIMs[[#This Row],[CI]] = 0, ORSA_Valids_SIMs[[#This Row],[Miss]] = 1), 1, 0)</f>
        <v>0</v>
      </c>
      <c r="Q2" s="32">
        <f>IF(AND(ORSA_Valids_SIMs[[#This Row],[Excluded]] = 0, OR(ORSA_Valids_SIMs[[#This Row],[Operator Follow-up Miss]] &lt;&gt; "", ISNUMBER(SEARCH("Operator Follow Up", ORSA_Valids_SIMs[[#This Row],[Labels]])))), 1, 0)</f>
        <v>0</v>
      </c>
      <c r="R2" s="32">
        <f>IF(AND(ORSA_Valids_SIMs[[#This Row],[Excluded]] = 0, OR(ORSA_Valids_SIMs[[#This Row],[False Resolution Miss]] &lt;&gt; "", ISNUMBER(SEARCH("False Resolution", ORSA_Valids_SIMs[[#This Row],[Labels]])))), 1, 0)</f>
        <v>0</v>
      </c>
      <c r="S2" s="33">
        <f>IF(AND(ORSA_Valids_SIMs[[#This Row],[Excluded]] = 0, OR(ORSA_Valids_SIMs[[#This Row],[SLA Miss]] &lt;&gt; "", ISNUMBER(SEARCH("SLA", ORSA_Valids_SIMs[[#This Row],[Labels]])))), 1, 0)</f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FB188-3D03-4D9D-BF14-E7058B69B6E8}">
  <sheetPr codeName="Sheet20">
    <tabColor rgb="FF00B050"/>
  </sheetPr>
  <dimension ref="A1:S2"/>
  <sheetViews>
    <sheetView workbookViewId="0">
      <selection activeCell="D13" sqref="D13"/>
    </sheetView>
  </sheetViews>
  <sheetFormatPr defaultColWidth="20.5703125" defaultRowHeight="15" x14ac:dyDescent="0.25"/>
  <cols>
    <col min="10" max="10" width="20.5703125" style="82"/>
  </cols>
  <sheetData>
    <row r="1" spans="1:19" x14ac:dyDescent="0.25">
      <c r="A1" s="28" t="s">
        <v>5528</v>
      </c>
      <c r="B1" s="27" t="s">
        <v>52</v>
      </c>
      <c r="C1" s="28" t="s">
        <v>0</v>
      </c>
      <c r="D1" s="28" t="s">
        <v>1</v>
      </c>
      <c r="E1" s="28" t="s">
        <v>5529</v>
      </c>
      <c r="F1" s="28" t="s">
        <v>53</v>
      </c>
      <c r="G1" s="28" t="s">
        <v>54</v>
      </c>
      <c r="H1" s="28" t="s">
        <v>55</v>
      </c>
      <c r="I1" s="28" t="s">
        <v>56</v>
      </c>
      <c r="J1" s="80" t="s">
        <v>19</v>
      </c>
      <c r="K1" s="29" t="s">
        <v>35</v>
      </c>
      <c r="L1" s="29" t="s">
        <v>4480</v>
      </c>
      <c r="M1" s="30" t="s">
        <v>21</v>
      </c>
      <c r="N1" s="30" t="s">
        <v>32</v>
      </c>
      <c r="O1" s="30" t="s">
        <v>34</v>
      </c>
      <c r="P1" s="31" t="s">
        <v>20</v>
      </c>
      <c r="Q1" s="30" t="s">
        <v>25</v>
      </c>
      <c r="R1" s="30" t="s">
        <v>13</v>
      </c>
      <c r="S1" s="31" t="s">
        <v>33</v>
      </c>
    </row>
    <row r="2" spans="1:19" x14ac:dyDescent="0.25">
      <c r="J2" s="81" t="e">
        <f ca="1">_xlfn.LET(_xlpm.protoKey,
 TRIM(RIGHT(LEFT(ORSA_Invalids_SIMs[[#This Row],[Title]], IFERROR(
   SEARCH("/" &amp; TEXT(TODAY(), "YYYY") - 1, ORSA_Invalids_SIMs[[#This Row],[Title]]),
   SEARCH("/" &amp; TEXT(TODAY(), "YYYY"),  ORSA_Invalids_SIMs[[#This Row],[Title]])) + 4), 10)),
 DATEVALUE(TEXT(IFERROR(IFERROR(
  MOD(LEFT(_xlpm.protoKey), 1) + _xlpm.protoKey,
  REPLACE(_xlpm.protoKey, 1, 1, "")),
  "N/A"), "MM/DD/YYYY")))</f>
        <v>#VALUE!</v>
      </c>
      <c r="K2" s="32" t="str">
        <f ca="1">IFERROR(WEEKNUM(ORSA_Invalids_SIMs[[#This Row],[Ops Date]]), "N/A")</f>
        <v>N/A</v>
      </c>
      <c r="L2" s="32" t="str">
        <f ca="1">IFERROR(MONTH(ORSA_Invalids_SIMs[[#This Row],[Ops Date]]), "N/A")</f>
        <v>N/A</v>
      </c>
      <c r="M2" s="32">
        <f>IF(OR(ISNUMBER(SEARCH("Excluded", ORSA_Invalids_SIMs[[#This Row],[Labels]])), ISNUMBER(SEARCH("Quality", ORSA_Invalids_SIMs[[#This Row],[Data Status]])), ISNUMBER(SEARCH("Exception", ORSA_Invalids_SIMs[[#This Row],[Data Status]]))), 1, 0)</f>
        <v>0</v>
      </c>
      <c r="N2" s="32">
        <f>IF(AND(ORSA_Invalids_SIMs[[#This Row],[Excluded]] = 0, OR(ORSA_Invalids_SIMs[[#This Row],[Operator Follow-up]] = 1, ORSA_Invalids_SIMs[[#This Row],[False Resolution]] = 1, ORSA_Invalids_SIMs[[#This Row],[SLA]] = 1, ISNUMBER( SEARCH("Miss", ORSA_Invalids_SIMs[[#This Row],[Labels]])))), 1, 0)</f>
        <v>0</v>
      </c>
      <c r="O2" s="32">
        <f>ORSA_Invalids_SIMs[[#This Row],[Miss]]</f>
        <v>0</v>
      </c>
      <c r="P2" s="33">
        <f>IF(AND(ORSA_Invalids_SIMs[[#This Row],[CI]] = 0, ORSA_Invalids_SIMs[[#This Row],[Miss]] = 1), 1, 0)</f>
        <v>0</v>
      </c>
      <c r="Q2" s="32">
        <f>IF(AND(ORSA_Invalids_SIMs[[#This Row],[Excluded]] = 0, OR(ORSA_Invalids_SIMs[[#This Row],[Operator Follow-up Miss]] &lt;&gt; "", ISNUMBER(SEARCH("Operator Follow Up", ORSA_Invalids_SIMs[[#This Row],[Labels]])))), 1, 0)</f>
        <v>0</v>
      </c>
      <c r="R2" s="32">
        <f>IF(AND(ORSA_Invalids_SIMs[[#This Row],[Excluded]] = 0, OR(ORSA_Invalids_SIMs[[#This Row],[False Resolution Miss]] &lt;&gt; "", ISNUMBER(SEARCH("False Resolution", ORSA_Invalids_SIMs[[#This Row],[Labels]])))), 1, 0)</f>
        <v>0</v>
      </c>
      <c r="S2" s="33">
        <f>IF(AND(ORSA_Invalids_SIMs[[#This Row],[Excluded]] = 0, OR(ORSA_Invalids_SIMs[[#This Row],[SLA Miss]] &lt;&gt; "", ISNUMBER(SEARCH("SLA", ORSA_Invalids_SIMs[[#This Row],[Labels]])))), 1, 0)</f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6AED4-D10E-4047-B815-70E9F738BD34}">
  <sheetPr codeName="Sheet21">
    <tabColor rgb="FF00B050"/>
  </sheetPr>
  <dimension ref="A1:S69"/>
  <sheetViews>
    <sheetView tabSelected="1" workbookViewId="0">
      <selection activeCell="J23" sqref="J23"/>
    </sheetView>
  </sheetViews>
  <sheetFormatPr defaultColWidth="20.5703125" defaultRowHeight="15" x14ac:dyDescent="0.25"/>
  <cols>
    <col min="10" max="10" width="20.5703125" style="82"/>
  </cols>
  <sheetData>
    <row r="1" spans="1:19" x14ac:dyDescent="0.25">
      <c r="A1" s="28" t="s">
        <v>5528</v>
      </c>
      <c r="B1" s="27" t="s">
        <v>52</v>
      </c>
      <c r="C1" s="28" t="s">
        <v>0</v>
      </c>
      <c r="D1" s="28" t="s">
        <v>1</v>
      </c>
      <c r="E1" s="28" t="s">
        <v>5529</v>
      </c>
      <c r="F1" s="28" t="s">
        <v>53</v>
      </c>
      <c r="G1" s="28" t="s">
        <v>54</v>
      </c>
      <c r="H1" s="28" t="s">
        <v>55</v>
      </c>
      <c r="I1" s="28" t="s">
        <v>56</v>
      </c>
      <c r="J1" s="80" t="s">
        <v>19</v>
      </c>
      <c r="K1" s="29" t="s">
        <v>35</v>
      </c>
      <c r="L1" s="29" t="s">
        <v>4480</v>
      </c>
      <c r="M1" s="30" t="s">
        <v>21</v>
      </c>
      <c r="N1" s="30" t="s">
        <v>32</v>
      </c>
      <c r="O1" s="30" t="s">
        <v>34</v>
      </c>
      <c r="P1" s="31" t="s">
        <v>20</v>
      </c>
      <c r="Q1" s="30" t="s">
        <v>25</v>
      </c>
      <c r="R1" s="30" t="s">
        <v>13</v>
      </c>
      <c r="S1" s="31" t="s">
        <v>33</v>
      </c>
    </row>
    <row r="2" spans="1:19" x14ac:dyDescent="0.25">
      <c r="A2" t="s">
        <v>5626</v>
      </c>
      <c r="B2" t="s">
        <v>5627</v>
      </c>
      <c r="C2" t="s">
        <v>5628</v>
      </c>
      <c r="D2" t="s">
        <v>5629</v>
      </c>
      <c r="E2" t="s">
        <v>5630</v>
      </c>
      <c r="J2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45635</v>
      </c>
      <c r="K2" s="32">
        <f ca="1">IFERROR(WEEKNUM(ORSA_Warnings_Miss_SIMs[[#This Row],[Ops Date]]), "N/A")</f>
        <v>50</v>
      </c>
      <c r="L2" s="32">
        <f ca="1">IFERROR(MONTH(ORSA_Warnings_Miss_SIMs[[#This Row],[Ops Date]]), "N/A")</f>
        <v>12</v>
      </c>
      <c r="M2" s="32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2" s="32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2" s="32">
        <f>ORSA_Warnings_Miss_SIMs[[#This Row],[Miss]]</f>
        <v>1</v>
      </c>
      <c r="P2" s="33">
        <f>IF(AND(ORSA_Warnings_Miss_SIMs[[#This Row],[CI]] = 0, ORSA_Warnings_Miss_SIMs[[#This Row],[Miss]] = 1), 1, 0)</f>
        <v>0</v>
      </c>
      <c r="Q2" s="32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2" s="32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2" s="33">
        <f>IF(AND(ORSA_Warnings_Miss_SIMs[[#This Row],[Excluded]] = 0, OR(ORSA_Warnings_Miss_SIMs[[#This Row],[SLA Miss]] &lt;&gt; "", ISNUMBER(SEARCH("SLA", ORSA_Warnings_Miss_SIMs[[#This Row],[Labels]])))), 1, 0)</f>
        <v>0</v>
      </c>
    </row>
    <row r="3" spans="1:19" x14ac:dyDescent="0.25">
      <c r="A3" t="s">
        <v>5631</v>
      </c>
      <c r="B3" t="s">
        <v>5632</v>
      </c>
      <c r="C3" t="s">
        <v>5628</v>
      </c>
      <c r="D3" t="s">
        <v>5629</v>
      </c>
      <c r="E3" t="s">
        <v>5630</v>
      </c>
      <c r="J3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45635</v>
      </c>
      <c r="K3" s="32">
        <f ca="1">IFERROR(WEEKNUM(ORSA_Warnings_Miss_SIMs[[#This Row],[Ops Date]]), "N/A")</f>
        <v>50</v>
      </c>
      <c r="L3" s="49">
        <f ca="1">IFERROR(MONTH(ORSA_Warnings_Miss_SIMs[[#This Row],[Ops Date]]), "N/A")</f>
        <v>12</v>
      </c>
      <c r="M3" s="32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3" s="32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3" s="32">
        <f>ORSA_Warnings_Miss_SIMs[[#This Row],[Miss]]</f>
        <v>1</v>
      </c>
      <c r="P3" s="33">
        <f>IF(AND(ORSA_Warnings_Miss_SIMs[[#This Row],[CI]] = 0, ORSA_Warnings_Miss_SIMs[[#This Row],[Miss]] = 1), 1, 0)</f>
        <v>0</v>
      </c>
      <c r="Q3" s="32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3" s="32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3" s="33">
        <f>IF(AND(ORSA_Warnings_Miss_SIMs[[#This Row],[Excluded]] = 0, OR(ORSA_Warnings_Miss_SIMs[[#This Row],[SLA Miss]] &lt;&gt; "", ISNUMBER(SEARCH("SLA", ORSA_Warnings_Miss_SIMs[[#This Row],[Labels]])))), 1, 0)</f>
        <v>0</v>
      </c>
    </row>
    <row r="4" spans="1:19" x14ac:dyDescent="0.25">
      <c r="A4" t="s">
        <v>5633</v>
      </c>
      <c r="B4" t="s">
        <v>5634</v>
      </c>
      <c r="C4" t="s">
        <v>5635</v>
      </c>
      <c r="D4" t="s">
        <v>5629</v>
      </c>
      <c r="E4" t="s">
        <v>5630</v>
      </c>
      <c r="J4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45632</v>
      </c>
      <c r="K4" s="49">
        <f ca="1">IFERROR(WEEKNUM(ORSA_Warnings_Miss_SIMs[[#This Row],[Ops Date]]), "N/A")</f>
        <v>49</v>
      </c>
      <c r="L4" s="49">
        <f ca="1">IFERROR(MONTH(ORSA_Warnings_Miss_SIMs[[#This Row],[Ops Date]]), "N/A")</f>
        <v>12</v>
      </c>
      <c r="M4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4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4" s="49">
        <f>ORSA_Warnings_Miss_SIMs[[#This Row],[Miss]]</f>
        <v>1</v>
      </c>
      <c r="P4" s="50">
        <f>IF(AND(ORSA_Warnings_Miss_SIMs[[#This Row],[CI]] = 0, ORSA_Warnings_Miss_SIMs[[#This Row],[Miss]] = 1), 1, 0)</f>
        <v>0</v>
      </c>
      <c r="Q4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4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4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5" spans="1:19" x14ac:dyDescent="0.25">
      <c r="A5" t="s">
        <v>5636</v>
      </c>
      <c r="B5" t="s">
        <v>5637</v>
      </c>
      <c r="C5" t="s">
        <v>5638</v>
      </c>
      <c r="D5" t="s">
        <v>5629</v>
      </c>
      <c r="E5" t="s">
        <v>5630</v>
      </c>
      <c r="J5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45632</v>
      </c>
      <c r="K5" s="49">
        <f ca="1">IFERROR(WEEKNUM(ORSA_Warnings_Miss_SIMs[[#This Row],[Ops Date]]), "N/A")</f>
        <v>49</v>
      </c>
      <c r="L5" s="49">
        <f ca="1">IFERROR(MONTH(ORSA_Warnings_Miss_SIMs[[#This Row],[Ops Date]]), "N/A")</f>
        <v>12</v>
      </c>
      <c r="M5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5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5" s="49">
        <f>ORSA_Warnings_Miss_SIMs[[#This Row],[Miss]]</f>
        <v>1</v>
      </c>
      <c r="P5" s="50">
        <f>IF(AND(ORSA_Warnings_Miss_SIMs[[#This Row],[CI]] = 0, ORSA_Warnings_Miss_SIMs[[#This Row],[Miss]] = 1), 1, 0)</f>
        <v>0</v>
      </c>
      <c r="Q5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5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5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6" spans="1:19" x14ac:dyDescent="0.25">
      <c r="A6" t="s">
        <v>5564</v>
      </c>
      <c r="B6" t="s">
        <v>5639</v>
      </c>
      <c r="C6" t="s">
        <v>5640</v>
      </c>
      <c r="D6" t="s">
        <v>5641</v>
      </c>
      <c r="E6" t="s">
        <v>5569</v>
      </c>
      <c r="J6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45630</v>
      </c>
      <c r="K6" s="49">
        <f ca="1">IFERROR(WEEKNUM(ORSA_Warnings_Miss_SIMs[[#This Row],[Ops Date]]), "N/A")</f>
        <v>49</v>
      </c>
      <c r="L6" s="49">
        <f ca="1">IFERROR(MONTH(ORSA_Warnings_Miss_SIMs[[#This Row],[Ops Date]]), "N/A")</f>
        <v>12</v>
      </c>
      <c r="M6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6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6" s="49">
        <f>ORSA_Warnings_Miss_SIMs[[#This Row],[Miss]]</f>
        <v>1</v>
      </c>
      <c r="P6" s="50">
        <f>IF(AND(ORSA_Warnings_Miss_SIMs[[#This Row],[CI]] = 0, ORSA_Warnings_Miss_SIMs[[#This Row],[Miss]] = 1), 1, 0)</f>
        <v>0</v>
      </c>
      <c r="Q6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6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6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7" spans="1:19" x14ac:dyDescent="0.25">
      <c r="A7" t="s">
        <v>5532</v>
      </c>
      <c r="B7" t="s">
        <v>5642</v>
      </c>
      <c r="C7" t="s">
        <v>5643</v>
      </c>
      <c r="D7" t="s">
        <v>5629</v>
      </c>
      <c r="E7" t="s">
        <v>5630</v>
      </c>
      <c r="J7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45630</v>
      </c>
      <c r="K7" s="49">
        <f ca="1">IFERROR(WEEKNUM(ORSA_Warnings_Miss_SIMs[[#This Row],[Ops Date]]), "N/A")</f>
        <v>49</v>
      </c>
      <c r="L7" s="49">
        <f ca="1">IFERROR(MONTH(ORSA_Warnings_Miss_SIMs[[#This Row],[Ops Date]]), "N/A")</f>
        <v>12</v>
      </c>
      <c r="M7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7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7" s="49">
        <f>ORSA_Warnings_Miss_SIMs[[#This Row],[Miss]]</f>
        <v>1</v>
      </c>
      <c r="P7" s="50">
        <f>IF(AND(ORSA_Warnings_Miss_SIMs[[#This Row],[CI]] = 0, ORSA_Warnings_Miss_SIMs[[#This Row],[Miss]] = 1), 1, 0)</f>
        <v>0</v>
      </c>
      <c r="Q7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7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7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8" spans="1:19" x14ac:dyDescent="0.25">
      <c r="A8" t="s">
        <v>5534</v>
      </c>
      <c r="B8" t="s">
        <v>5644</v>
      </c>
      <c r="C8" t="s">
        <v>5645</v>
      </c>
      <c r="D8" t="s">
        <v>5646</v>
      </c>
      <c r="E8" t="s">
        <v>5630</v>
      </c>
      <c r="J8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45629</v>
      </c>
      <c r="K8" s="49">
        <f ca="1">IFERROR(WEEKNUM(ORSA_Warnings_Miss_SIMs[[#This Row],[Ops Date]]), "N/A")</f>
        <v>49</v>
      </c>
      <c r="L8" s="49">
        <f ca="1">IFERROR(MONTH(ORSA_Warnings_Miss_SIMs[[#This Row],[Ops Date]]), "N/A")</f>
        <v>12</v>
      </c>
      <c r="M8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8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8" s="49">
        <f>ORSA_Warnings_Miss_SIMs[[#This Row],[Miss]]</f>
        <v>1</v>
      </c>
      <c r="P8" s="50">
        <f>IF(AND(ORSA_Warnings_Miss_SIMs[[#This Row],[CI]] = 0, ORSA_Warnings_Miss_SIMs[[#This Row],[Miss]] = 1), 1, 0)</f>
        <v>0</v>
      </c>
      <c r="Q8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8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8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9" spans="1:19" x14ac:dyDescent="0.25">
      <c r="A9" t="s">
        <v>5535</v>
      </c>
      <c r="B9" t="s">
        <v>5647</v>
      </c>
      <c r="C9" t="s">
        <v>5648</v>
      </c>
      <c r="D9" t="s">
        <v>5629</v>
      </c>
      <c r="E9" t="s">
        <v>5630</v>
      </c>
      <c r="J9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45628</v>
      </c>
      <c r="K9" s="49">
        <f ca="1">IFERROR(WEEKNUM(ORSA_Warnings_Miss_SIMs[[#This Row],[Ops Date]]), "N/A")</f>
        <v>49</v>
      </c>
      <c r="L9" s="49">
        <f ca="1">IFERROR(MONTH(ORSA_Warnings_Miss_SIMs[[#This Row],[Ops Date]]), "N/A")</f>
        <v>12</v>
      </c>
      <c r="M9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9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9" s="49">
        <f>ORSA_Warnings_Miss_SIMs[[#This Row],[Miss]]</f>
        <v>1</v>
      </c>
      <c r="P9" s="50">
        <f>IF(AND(ORSA_Warnings_Miss_SIMs[[#This Row],[CI]] = 0, ORSA_Warnings_Miss_SIMs[[#This Row],[Miss]] = 1), 1, 0)</f>
        <v>0</v>
      </c>
      <c r="Q9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9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9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10" spans="1:19" x14ac:dyDescent="0.25">
      <c r="A10" t="s">
        <v>5649</v>
      </c>
      <c r="B10" t="s">
        <v>5650</v>
      </c>
      <c r="C10" t="s">
        <v>5638</v>
      </c>
      <c r="D10" t="s">
        <v>5641</v>
      </c>
      <c r="E10" t="s">
        <v>5569</v>
      </c>
      <c r="J10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45632</v>
      </c>
      <c r="K10" s="49">
        <f ca="1">IFERROR(WEEKNUM(ORSA_Warnings_Miss_SIMs[[#This Row],[Ops Date]]), "N/A")</f>
        <v>49</v>
      </c>
      <c r="L10" s="49">
        <f ca="1">IFERROR(MONTH(ORSA_Warnings_Miss_SIMs[[#This Row],[Ops Date]]), "N/A")</f>
        <v>12</v>
      </c>
      <c r="M10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10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10" s="49">
        <f>ORSA_Warnings_Miss_SIMs[[#This Row],[Miss]]</f>
        <v>1</v>
      </c>
      <c r="P10" s="50">
        <f>IF(AND(ORSA_Warnings_Miss_SIMs[[#This Row],[CI]] = 0, ORSA_Warnings_Miss_SIMs[[#This Row],[Miss]] = 1), 1, 0)</f>
        <v>0</v>
      </c>
      <c r="Q10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10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10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11" spans="1:19" x14ac:dyDescent="0.25">
      <c r="A11" t="s">
        <v>5651</v>
      </c>
      <c r="B11" t="s">
        <v>5652</v>
      </c>
      <c r="C11" t="s">
        <v>5635</v>
      </c>
      <c r="D11" t="s">
        <v>5646</v>
      </c>
      <c r="E11" t="s">
        <v>5630</v>
      </c>
      <c r="J11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45632</v>
      </c>
      <c r="K11" s="49">
        <f ca="1">IFERROR(WEEKNUM(ORSA_Warnings_Miss_SIMs[[#This Row],[Ops Date]]), "N/A")</f>
        <v>49</v>
      </c>
      <c r="L11" s="49">
        <f ca="1">IFERROR(MONTH(ORSA_Warnings_Miss_SIMs[[#This Row],[Ops Date]]), "N/A")</f>
        <v>12</v>
      </c>
      <c r="M11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11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11" s="49">
        <f>ORSA_Warnings_Miss_SIMs[[#This Row],[Miss]]</f>
        <v>1</v>
      </c>
      <c r="P11" s="50">
        <f>IF(AND(ORSA_Warnings_Miss_SIMs[[#This Row],[CI]] = 0, ORSA_Warnings_Miss_SIMs[[#This Row],[Miss]] = 1), 1, 0)</f>
        <v>0</v>
      </c>
      <c r="Q11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11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11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12" spans="1:19" x14ac:dyDescent="0.25">
      <c r="A12" t="s">
        <v>5653</v>
      </c>
      <c r="B12" t="s">
        <v>5654</v>
      </c>
      <c r="C12" t="s">
        <v>5635</v>
      </c>
      <c r="D12" t="s">
        <v>5655</v>
      </c>
      <c r="E12" t="s">
        <v>5630</v>
      </c>
      <c r="J12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45632</v>
      </c>
      <c r="K12" s="49">
        <f ca="1">IFERROR(WEEKNUM(ORSA_Warnings_Miss_SIMs[[#This Row],[Ops Date]]), "N/A")</f>
        <v>49</v>
      </c>
      <c r="L12" s="49">
        <f ca="1">IFERROR(MONTH(ORSA_Warnings_Miss_SIMs[[#This Row],[Ops Date]]), "N/A")</f>
        <v>12</v>
      </c>
      <c r="M12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12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12" s="49">
        <f>ORSA_Warnings_Miss_SIMs[[#This Row],[Miss]]</f>
        <v>1</v>
      </c>
      <c r="P12" s="50">
        <f>IF(AND(ORSA_Warnings_Miss_SIMs[[#This Row],[CI]] = 0, ORSA_Warnings_Miss_SIMs[[#This Row],[Miss]] = 1), 1, 0)</f>
        <v>0</v>
      </c>
      <c r="Q12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12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12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13" spans="1:19" x14ac:dyDescent="0.25">
      <c r="A13" t="s">
        <v>5540</v>
      </c>
      <c r="B13" t="s">
        <v>5656</v>
      </c>
      <c r="C13" t="s">
        <v>5657</v>
      </c>
      <c r="D13" t="s">
        <v>5658</v>
      </c>
      <c r="E13" t="s">
        <v>5630</v>
      </c>
      <c r="J13" s="81" t="e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#VALUE!</v>
      </c>
      <c r="K13" s="49" t="str">
        <f ca="1">IFERROR(WEEKNUM(ORSA_Warnings_Miss_SIMs[[#This Row],[Ops Date]]), "N/A")</f>
        <v>N/A</v>
      </c>
      <c r="L13" s="49" t="str">
        <f ca="1">IFERROR(MONTH(ORSA_Warnings_Miss_SIMs[[#This Row],[Ops Date]]), "N/A")</f>
        <v>N/A</v>
      </c>
      <c r="M13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13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0</v>
      </c>
      <c r="O13" s="49">
        <f>ORSA_Warnings_Miss_SIMs[[#This Row],[Miss]]</f>
        <v>0</v>
      </c>
      <c r="P13" s="50">
        <f>IF(AND(ORSA_Warnings_Miss_SIMs[[#This Row],[CI]] = 0, ORSA_Warnings_Miss_SIMs[[#This Row],[Miss]] = 1), 1, 0)</f>
        <v>0</v>
      </c>
      <c r="Q13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13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13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14" spans="1:19" x14ac:dyDescent="0.25">
      <c r="A14" t="s">
        <v>5541</v>
      </c>
      <c r="B14" t="s">
        <v>5659</v>
      </c>
      <c r="C14" t="s">
        <v>5660</v>
      </c>
      <c r="D14" t="s">
        <v>5568</v>
      </c>
      <c r="E14" t="s">
        <v>5569</v>
      </c>
      <c r="J14" s="81" t="e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#VALUE!</v>
      </c>
      <c r="K14" s="49" t="str">
        <f ca="1">IFERROR(WEEKNUM(ORSA_Warnings_Miss_SIMs[[#This Row],[Ops Date]]), "N/A")</f>
        <v>N/A</v>
      </c>
      <c r="L14" s="49" t="str">
        <f ca="1">IFERROR(MONTH(ORSA_Warnings_Miss_SIMs[[#This Row],[Ops Date]]), "N/A")</f>
        <v>N/A</v>
      </c>
      <c r="M14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14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14" s="49">
        <f>ORSA_Warnings_Miss_SIMs[[#This Row],[Miss]]</f>
        <v>1</v>
      </c>
      <c r="P14" s="50">
        <f>IF(AND(ORSA_Warnings_Miss_SIMs[[#This Row],[CI]] = 0, ORSA_Warnings_Miss_SIMs[[#This Row],[Miss]] = 1), 1, 0)</f>
        <v>0</v>
      </c>
      <c r="Q14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14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14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15" spans="1:19" x14ac:dyDescent="0.25">
      <c r="A15" t="s">
        <v>5536</v>
      </c>
      <c r="B15" t="s">
        <v>5661</v>
      </c>
      <c r="C15" t="s">
        <v>5662</v>
      </c>
      <c r="D15" t="s">
        <v>5658</v>
      </c>
      <c r="E15" t="s">
        <v>5630</v>
      </c>
      <c r="J15" s="81" t="e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#VALUE!</v>
      </c>
      <c r="K15" s="49" t="str">
        <f ca="1">IFERROR(WEEKNUM(ORSA_Warnings_Miss_SIMs[[#This Row],[Ops Date]]), "N/A")</f>
        <v>N/A</v>
      </c>
      <c r="L15" s="49" t="str">
        <f ca="1">IFERROR(MONTH(ORSA_Warnings_Miss_SIMs[[#This Row],[Ops Date]]), "N/A")</f>
        <v>N/A</v>
      </c>
      <c r="M15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15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0</v>
      </c>
      <c r="O15" s="49">
        <f>ORSA_Warnings_Miss_SIMs[[#This Row],[Miss]]</f>
        <v>0</v>
      </c>
      <c r="P15" s="50">
        <f>IF(AND(ORSA_Warnings_Miss_SIMs[[#This Row],[CI]] = 0, ORSA_Warnings_Miss_SIMs[[#This Row],[Miss]] = 1), 1, 0)</f>
        <v>0</v>
      </c>
      <c r="Q15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15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15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16" spans="1:19" x14ac:dyDescent="0.25">
      <c r="A16" t="s">
        <v>5556</v>
      </c>
      <c r="B16" t="s">
        <v>5663</v>
      </c>
      <c r="C16" t="s">
        <v>5664</v>
      </c>
      <c r="D16" t="s">
        <v>5641</v>
      </c>
      <c r="E16" t="s">
        <v>5569</v>
      </c>
      <c r="J16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45631</v>
      </c>
      <c r="K16" s="49">
        <f ca="1">IFERROR(WEEKNUM(ORSA_Warnings_Miss_SIMs[[#This Row],[Ops Date]]), "N/A")</f>
        <v>49</v>
      </c>
      <c r="L16" s="49">
        <f ca="1">IFERROR(MONTH(ORSA_Warnings_Miss_SIMs[[#This Row],[Ops Date]]), "N/A")</f>
        <v>12</v>
      </c>
      <c r="M16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16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16" s="49">
        <f>ORSA_Warnings_Miss_SIMs[[#This Row],[Miss]]</f>
        <v>1</v>
      </c>
      <c r="P16" s="50">
        <f>IF(AND(ORSA_Warnings_Miss_SIMs[[#This Row],[CI]] = 0, ORSA_Warnings_Miss_SIMs[[#This Row],[Miss]] = 1), 1, 0)</f>
        <v>0</v>
      </c>
      <c r="Q16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16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16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17" spans="1:19" x14ac:dyDescent="0.25">
      <c r="A17" t="s">
        <v>5533</v>
      </c>
      <c r="B17" t="s">
        <v>5665</v>
      </c>
      <c r="C17" t="s">
        <v>5666</v>
      </c>
      <c r="D17" t="s">
        <v>5641</v>
      </c>
      <c r="E17" t="s">
        <v>5569</v>
      </c>
      <c r="J17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45630</v>
      </c>
      <c r="K17" s="49">
        <f ca="1">IFERROR(WEEKNUM(ORSA_Warnings_Miss_SIMs[[#This Row],[Ops Date]]), "N/A")</f>
        <v>49</v>
      </c>
      <c r="L17" s="49">
        <f ca="1">IFERROR(MONTH(ORSA_Warnings_Miss_SIMs[[#This Row],[Ops Date]]), "N/A")</f>
        <v>12</v>
      </c>
      <c r="M17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17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17" s="49">
        <f>ORSA_Warnings_Miss_SIMs[[#This Row],[Miss]]</f>
        <v>1</v>
      </c>
      <c r="P17" s="50">
        <f>IF(AND(ORSA_Warnings_Miss_SIMs[[#This Row],[CI]] = 0, ORSA_Warnings_Miss_SIMs[[#This Row],[Miss]] = 1), 1, 0)</f>
        <v>0</v>
      </c>
      <c r="Q17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17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17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18" spans="1:19" x14ac:dyDescent="0.25">
      <c r="A18" t="s">
        <v>5562</v>
      </c>
      <c r="B18" t="s">
        <v>5667</v>
      </c>
      <c r="C18" t="s">
        <v>5668</v>
      </c>
      <c r="D18" t="s">
        <v>5641</v>
      </c>
      <c r="E18" t="s">
        <v>5569</v>
      </c>
      <c r="J18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45631</v>
      </c>
      <c r="K18" s="49">
        <f ca="1">IFERROR(WEEKNUM(ORSA_Warnings_Miss_SIMs[[#This Row],[Ops Date]]), "N/A")</f>
        <v>49</v>
      </c>
      <c r="L18" s="49">
        <f ca="1">IFERROR(MONTH(ORSA_Warnings_Miss_SIMs[[#This Row],[Ops Date]]), "N/A")</f>
        <v>12</v>
      </c>
      <c r="M18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18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18" s="49">
        <f>ORSA_Warnings_Miss_SIMs[[#This Row],[Miss]]</f>
        <v>1</v>
      </c>
      <c r="P18" s="50">
        <f>IF(AND(ORSA_Warnings_Miss_SIMs[[#This Row],[CI]] = 0, ORSA_Warnings_Miss_SIMs[[#This Row],[Miss]] = 1), 1, 0)</f>
        <v>0</v>
      </c>
      <c r="Q18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18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18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19" spans="1:19" x14ac:dyDescent="0.25">
      <c r="A19" t="s">
        <v>5561</v>
      </c>
      <c r="B19" t="s">
        <v>5669</v>
      </c>
      <c r="C19" t="s">
        <v>5670</v>
      </c>
      <c r="D19" t="s">
        <v>5641</v>
      </c>
      <c r="E19" t="s">
        <v>5569</v>
      </c>
      <c r="J19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45631</v>
      </c>
      <c r="K19" s="49">
        <f ca="1">IFERROR(WEEKNUM(ORSA_Warnings_Miss_SIMs[[#This Row],[Ops Date]]), "N/A")</f>
        <v>49</v>
      </c>
      <c r="L19" s="49">
        <f ca="1">IFERROR(MONTH(ORSA_Warnings_Miss_SIMs[[#This Row],[Ops Date]]), "N/A")</f>
        <v>12</v>
      </c>
      <c r="M19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19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19" s="49">
        <f>ORSA_Warnings_Miss_SIMs[[#This Row],[Miss]]</f>
        <v>1</v>
      </c>
      <c r="P19" s="50">
        <f>IF(AND(ORSA_Warnings_Miss_SIMs[[#This Row],[CI]] = 0, ORSA_Warnings_Miss_SIMs[[#This Row],[Miss]] = 1), 1, 0)</f>
        <v>0</v>
      </c>
      <c r="Q19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19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19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20" spans="1:19" x14ac:dyDescent="0.25">
      <c r="A20" t="s">
        <v>5563</v>
      </c>
      <c r="B20" t="s">
        <v>5671</v>
      </c>
      <c r="C20" t="s">
        <v>5672</v>
      </c>
      <c r="D20" t="s">
        <v>5646</v>
      </c>
      <c r="E20" t="s">
        <v>5630</v>
      </c>
      <c r="J20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45631</v>
      </c>
      <c r="K20" s="49">
        <f ca="1">IFERROR(WEEKNUM(ORSA_Warnings_Miss_SIMs[[#This Row],[Ops Date]]), "N/A")</f>
        <v>49</v>
      </c>
      <c r="L20" s="49">
        <f ca="1">IFERROR(MONTH(ORSA_Warnings_Miss_SIMs[[#This Row],[Ops Date]]), "N/A")</f>
        <v>12</v>
      </c>
      <c r="M20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20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20" s="49">
        <f>ORSA_Warnings_Miss_SIMs[[#This Row],[Miss]]</f>
        <v>1</v>
      </c>
      <c r="P20" s="50">
        <f>IF(AND(ORSA_Warnings_Miss_SIMs[[#This Row],[CI]] = 0, ORSA_Warnings_Miss_SIMs[[#This Row],[Miss]] = 1), 1, 0)</f>
        <v>0</v>
      </c>
      <c r="Q20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20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20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21" spans="1:19" x14ac:dyDescent="0.25">
      <c r="A21" t="s">
        <v>5553</v>
      </c>
      <c r="B21" t="s">
        <v>5673</v>
      </c>
      <c r="C21" t="s">
        <v>5674</v>
      </c>
      <c r="D21" t="s">
        <v>5675</v>
      </c>
      <c r="E21" t="s">
        <v>5676</v>
      </c>
      <c r="J21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45633</v>
      </c>
      <c r="K21" s="49">
        <f ca="1">IFERROR(WEEKNUM(ORSA_Warnings_Miss_SIMs[[#This Row],[Ops Date]]), "N/A")</f>
        <v>49</v>
      </c>
      <c r="L21" s="49">
        <f ca="1">IFERROR(MONTH(ORSA_Warnings_Miss_SIMs[[#This Row],[Ops Date]]), "N/A")</f>
        <v>12</v>
      </c>
      <c r="M21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21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21" s="49">
        <f>ORSA_Warnings_Miss_SIMs[[#This Row],[Miss]]</f>
        <v>1</v>
      </c>
      <c r="P21" s="50">
        <f>IF(AND(ORSA_Warnings_Miss_SIMs[[#This Row],[CI]] = 0, ORSA_Warnings_Miss_SIMs[[#This Row],[Miss]] = 1), 1, 0)</f>
        <v>0</v>
      </c>
      <c r="Q21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21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21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22" spans="1:19" x14ac:dyDescent="0.25">
      <c r="A22" t="s">
        <v>5554</v>
      </c>
      <c r="B22" t="s">
        <v>5677</v>
      </c>
      <c r="C22" t="s">
        <v>5678</v>
      </c>
      <c r="D22" t="s">
        <v>5675</v>
      </c>
      <c r="E22" t="s">
        <v>5676</v>
      </c>
      <c r="J22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45633</v>
      </c>
      <c r="K22" s="49">
        <f ca="1">IFERROR(WEEKNUM(ORSA_Warnings_Miss_SIMs[[#This Row],[Ops Date]]), "N/A")</f>
        <v>49</v>
      </c>
      <c r="L22" s="49">
        <f ca="1">IFERROR(MONTH(ORSA_Warnings_Miss_SIMs[[#This Row],[Ops Date]]), "N/A")</f>
        <v>12</v>
      </c>
      <c r="M22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22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22" s="49">
        <f>ORSA_Warnings_Miss_SIMs[[#This Row],[Miss]]</f>
        <v>1</v>
      </c>
      <c r="P22" s="50">
        <f>IF(AND(ORSA_Warnings_Miss_SIMs[[#This Row],[CI]] = 0, ORSA_Warnings_Miss_SIMs[[#This Row],[Miss]] = 1), 1, 0)</f>
        <v>0</v>
      </c>
      <c r="Q22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22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22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23" spans="1:19" x14ac:dyDescent="0.25">
      <c r="A23" t="s">
        <v>5679</v>
      </c>
      <c r="B23" t="s">
        <v>5680</v>
      </c>
      <c r="C23" t="s">
        <v>5681</v>
      </c>
      <c r="D23" t="s">
        <v>5675</v>
      </c>
      <c r="E23" t="s">
        <v>5676</v>
      </c>
      <c r="J23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45633</v>
      </c>
      <c r="K23" s="49">
        <f ca="1">IFERROR(WEEKNUM(ORSA_Warnings_Miss_SIMs[[#This Row],[Ops Date]]), "N/A")</f>
        <v>49</v>
      </c>
      <c r="L23" s="49">
        <f ca="1">IFERROR(MONTH(ORSA_Warnings_Miss_SIMs[[#This Row],[Ops Date]]), "N/A")</f>
        <v>12</v>
      </c>
      <c r="M23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23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23" s="49">
        <f>ORSA_Warnings_Miss_SIMs[[#This Row],[Miss]]</f>
        <v>1</v>
      </c>
      <c r="P23" s="50">
        <f>IF(AND(ORSA_Warnings_Miss_SIMs[[#This Row],[CI]] = 0, ORSA_Warnings_Miss_SIMs[[#This Row],[Miss]] = 1), 1, 0)</f>
        <v>0</v>
      </c>
      <c r="Q23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23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23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24" spans="1:19" x14ac:dyDescent="0.25">
      <c r="A24" t="s">
        <v>5682</v>
      </c>
      <c r="B24" t="s">
        <v>5683</v>
      </c>
      <c r="C24" t="s">
        <v>5681</v>
      </c>
      <c r="D24" t="s">
        <v>5675</v>
      </c>
      <c r="E24" t="s">
        <v>5676</v>
      </c>
      <c r="J24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45633</v>
      </c>
      <c r="K24" s="49">
        <f ca="1">IFERROR(WEEKNUM(ORSA_Warnings_Miss_SIMs[[#This Row],[Ops Date]]), "N/A")</f>
        <v>49</v>
      </c>
      <c r="L24" s="49">
        <f ca="1">IFERROR(MONTH(ORSA_Warnings_Miss_SIMs[[#This Row],[Ops Date]]), "N/A")</f>
        <v>12</v>
      </c>
      <c r="M24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24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24" s="49">
        <f>ORSA_Warnings_Miss_SIMs[[#This Row],[Miss]]</f>
        <v>1</v>
      </c>
      <c r="P24" s="50">
        <f>IF(AND(ORSA_Warnings_Miss_SIMs[[#This Row],[CI]] = 0, ORSA_Warnings_Miss_SIMs[[#This Row],[Miss]] = 1), 1, 0)</f>
        <v>0</v>
      </c>
      <c r="Q24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24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24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25" spans="1:19" x14ac:dyDescent="0.25">
      <c r="A25" t="s">
        <v>5684</v>
      </c>
      <c r="B25" t="s">
        <v>5685</v>
      </c>
      <c r="C25" t="s">
        <v>5681</v>
      </c>
      <c r="D25" t="s">
        <v>5675</v>
      </c>
      <c r="E25" t="s">
        <v>5676</v>
      </c>
      <c r="J25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45633</v>
      </c>
      <c r="K25" s="49">
        <f ca="1">IFERROR(WEEKNUM(ORSA_Warnings_Miss_SIMs[[#This Row],[Ops Date]]), "N/A")</f>
        <v>49</v>
      </c>
      <c r="L25" s="49">
        <f ca="1">IFERROR(MONTH(ORSA_Warnings_Miss_SIMs[[#This Row],[Ops Date]]), "N/A")</f>
        <v>12</v>
      </c>
      <c r="M25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25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25" s="49">
        <f>ORSA_Warnings_Miss_SIMs[[#This Row],[Miss]]</f>
        <v>1</v>
      </c>
      <c r="P25" s="50">
        <f>IF(AND(ORSA_Warnings_Miss_SIMs[[#This Row],[CI]] = 0, ORSA_Warnings_Miss_SIMs[[#This Row],[Miss]] = 1), 1, 0)</f>
        <v>0</v>
      </c>
      <c r="Q25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25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25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26" spans="1:19" x14ac:dyDescent="0.25">
      <c r="A26" t="s">
        <v>5686</v>
      </c>
      <c r="B26" t="s">
        <v>5687</v>
      </c>
      <c r="C26" t="s">
        <v>5681</v>
      </c>
      <c r="D26" t="s">
        <v>5675</v>
      </c>
      <c r="E26" t="s">
        <v>5676</v>
      </c>
      <c r="J26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45633</v>
      </c>
      <c r="K26" s="49">
        <f ca="1">IFERROR(WEEKNUM(ORSA_Warnings_Miss_SIMs[[#This Row],[Ops Date]]), "N/A")</f>
        <v>49</v>
      </c>
      <c r="L26" s="49">
        <f ca="1">IFERROR(MONTH(ORSA_Warnings_Miss_SIMs[[#This Row],[Ops Date]]), "N/A")</f>
        <v>12</v>
      </c>
      <c r="M26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26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26" s="49">
        <f>ORSA_Warnings_Miss_SIMs[[#This Row],[Miss]]</f>
        <v>1</v>
      </c>
      <c r="P26" s="50">
        <f>IF(AND(ORSA_Warnings_Miss_SIMs[[#This Row],[CI]] = 0, ORSA_Warnings_Miss_SIMs[[#This Row],[Miss]] = 1), 1, 0)</f>
        <v>0</v>
      </c>
      <c r="Q26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26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26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27" spans="1:19" x14ac:dyDescent="0.25">
      <c r="A27" t="s">
        <v>5688</v>
      </c>
      <c r="B27" t="s">
        <v>5689</v>
      </c>
      <c r="C27" t="s">
        <v>5681</v>
      </c>
      <c r="D27" t="s">
        <v>5675</v>
      </c>
      <c r="E27" t="s">
        <v>5676</v>
      </c>
      <c r="J27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45633</v>
      </c>
      <c r="K27" s="49">
        <f ca="1">IFERROR(WEEKNUM(ORSA_Warnings_Miss_SIMs[[#This Row],[Ops Date]]), "N/A")</f>
        <v>49</v>
      </c>
      <c r="L27" s="49">
        <f ca="1">IFERROR(MONTH(ORSA_Warnings_Miss_SIMs[[#This Row],[Ops Date]]), "N/A")</f>
        <v>12</v>
      </c>
      <c r="M27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27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27" s="49">
        <f>ORSA_Warnings_Miss_SIMs[[#This Row],[Miss]]</f>
        <v>1</v>
      </c>
      <c r="P27" s="50">
        <f>IF(AND(ORSA_Warnings_Miss_SIMs[[#This Row],[CI]] = 0, ORSA_Warnings_Miss_SIMs[[#This Row],[Miss]] = 1), 1, 0)</f>
        <v>0</v>
      </c>
      <c r="Q27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27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27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28" spans="1:19" x14ac:dyDescent="0.25">
      <c r="A28" t="s">
        <v>5531</v>
      </c>
      <c r="B28" t="s">
        <v>5690</v>
      </c>
      <c r="C28" t="s">
        <v>5691</v>
      </c>
      <c r="D28" t="s">
        <v>5675</v>
      </c>
      <c r="E28" t="s">
        <v>5676</v>
      </c>
      <c r="J28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45633</v>
      </c>
      <c r="K28" s="49">
        <f ca="1">IFERROR(WEEKNUM(ORSA_Warnings_Miss_SIMs[[#This Row],[Ops Date]]), "N/A")</f>
        <v>49</v>
      </c>
      <c r="L28" s="49">
        <f ca="1">IFERROR(MONTH(ORSA_Warnings_Miss_SIMs[[#This Row],[Ops Date]]), "N/A")</f>
        <v>12</v>
      </c>
      <c r="M28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28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28" s="49">
        <f>ORSA_Warnings_Miss_SIMs[[#This Row],[Miss]]</f>
        <v>1</v>
      </c>
      <c r="P28" s="50">
        <f>IF(AND(ORSA_Warnings_Miss_SIMs[[#This Row],[CI]] = 0, ORSA_Warnings_Miss_SIMs[[#This Row],[Miss]] = 1), 1, 0)</f>
        <v>0</v>
      </c>
      <c r="Q28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28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28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29" spans="1:19" x14ac:dyDescent="0.25">
      <c r="A29" t="s">
        <v>5530</v>
      </c>
      <c r="B29" t="s">
        <v>5692</v>
      </c>
      <c r="C29" t="s">
        <v>5693</v>
      </c>
      <c r="D29" t="s">
        <v>5675</v>
      </c>
      <c r="E29" t="s">
        <v>5676</v>
      </c>
      <c r="J29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45633</v>
      </c>
      <c r="K29" s="49">
        <f ca="1">IFERROR(WEEKNUM(ORSA_Warnings_Miss_SIMs[[#This Row],[Ops Date]]), "N/A")</f>
        <v>49</v>
      </c>
      <c r="L29" s="49">
        <f ca="1">IFERROR(MONTH(ORSA_Warnings_Miss_SIMs[[#This Row],[Ops Date]]), "N/A")</f>
        <v>12</v>
      </c>
      <c r="M29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29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29" s="49">
        <f>ORSA_Warnings_Miss_SIMs[[#This Row],[Miss]]</f>
        <v>1</v>
      </c>
      <c r="P29" s="50">
        <f>IF(AND(ORSA_Warnings_Miss_SIMs[[#This Row],[CI]] = 0, ORSA_Warnings_Miss_SIMs[[#This Row],[Miss]] = 1), 1, 0)</f>
        <v>0</v>
      </c>
      <c r="Q29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29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29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30" spans="1:19" x14ac:dyDescent="0.25">
      <c r="A30" t="s">
        <v>5694</v>
      </c>
      <c r="B30" t="s">
        <v>5695</v>
      </c>
      <c r="C30" t="s">
        <v>5696</v>
      </c>
      <c r="D30" t="s">
        <v>5675</v>
      </c>
      <c r="E30" t="s">
        <v>5676</v>
      </c>
      <c r="J30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45634</v>
      </c>
      <c r="K30" s="49">
        <f ca="1">IFERROR(WEEKNUM(ORSA_Warnings_Miss_SIMs[[#This Row],[Ops Date]]), "N/A")</f>
        <v>50</v>
      </c>
      <c r="L30" s="49">
        <f ca="1">IFERROR(MONTH(ORSA_Warnings_Miss_SIMs[[#This Row],[Ops Date]]), "N/A")</f>
        <v>12</v>
      </c>
      <c r="M30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30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30" s="49">
        <f>ORSA_Warnings_Miss_SIMs[[#This Row],[Miss]]</f>
        <v>1</v>
      </c>
      <c r="P30" s="50">
        <f>IF(AND(ORSA_Warnings_Miss_SIMs[[#This Row],[CI]] = 0, ORSA_Warnings_Miss_SIMs[[#This Row],[Miss]] = 1), 1, 0)</f>
        <v>0</v>
      </c>
      <c r="Q30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30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30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31" spans="1:19" x14ac:dyDescent="0.25">
      <c r="A31" t="s">
        <v>5697</v>
      </c>
      <c r="B31" t="s">
        <v>5698</v>
      </c>
      <c r="C31" t="s">
        <v>5699</v>
      </c>
      <c r="D31" t="s">
        <v>5675</v>
      </c>
      <c r="E31" t="s">
        <v>5676</v>
      </c>
      <c r="J31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45634</v>
      </c>
      <c r="K31" s="49">
        <f ca="1">IFERROR(WEEKNUM(ORSA_Warnings_Miss_SIMs[[#This Row],[Ops Date]]), "N/A")</f>
        <v>50</v>
      </c>
      <c r="L31" s="49">
        <f ca="1">IFERROR(MONTH(ORSA_Warnings_Miss_SIMs[[#This Row],[Ops Date]]), "N/A")</f>
        <v>12</v>
      </c>
      <c r="M31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31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31" s="49">
        <f>ORSA_Warnings_Miss_SIMs[[#This Row],[Miss]]</f>
        <v>1</v>
      </c>
      <c r="P31" s="50">
        <f>IF(AND(ORSA_Warnings_Miss_SIMs[[#This Row],[CI]] = 0, ORSA_Warnings_Miss_SIMs[[#This Row],[Miss]] = 1), 1, 0)</f>
        <v>0</v>
      </c>
      <c r="Q31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31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31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32" spans="1:19" x14ac:dyDescent="0.25">
      <c r="A32" t="s">
        <v>5700</v>
      </c>
      <c r="B32" t="s">
        <v>5701</v>
      </c>
      <c r="C32" t="s">
        <v>5696</v>
      </c>
      <c r="D32" t="s">
        <v>5675</v>
      </c>
      <c r="E32" t="s">
        <v>5676</v>
      </c>
      <c r="J32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45634</v>
      </c>
      <c r="K32" s="49">
        <f ca="1">IFERROR(WEEKNUM(ORSA_Warnings_Miss_SIMs[[#This Row],[Ops Date]]), "N/A")</f>
        <v>50</v>
      </c>
      <c r="L32" s="49">
        <f ca="1">IFERROR(MONTH(ORSA_Warnings_Miss_SIMs[[#This Row],[Ops Date]]), "N/A")</f>
        <v>12</v>
      </c>
      <c r="M32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32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32" s="49">
        <f>ORSA_Warnings_Miss_SIMs[[#This Row],[Miss]]</f>
        <v>1</v>
      </c>
      <c r="P32" s="50">
        <f>IF(AND(ORSA_Warnings_Miss_SIMs[[#This Row],[CI]] = 0, ORSA_Warnings_Miss_SIMs[[#This Row],[Miss]] = 1), 1, 0)</f>
        <v>0</v>
      </c>
      <c r="Q32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32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32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33" spans="1:19" x14ac:dyDescent="0.25">
      <c r="A33" t="s">
        <v>5702</v>
      </c>
      <c r="B33" t="s">
        <v>5703</v>
      </c>
      <c r="C33" t="s">
        <v>5699</v>
      </c>
      <c r="D33" t="s">
        <v>5675</v>
      </c>
      <c r="E33" t="s">
        <v>5676</v>
      </c>
      <c r="J33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45634</v>
      </c>
      <c r="K33" s="49">
        <f ca="1">IFERROR(WEEKNUM(ORSA_Warnings_Miss_SIMs[[#This Row],[Ops Date]]), "N/A")</f>
        <v>50</v>
      </c>
      <c r="L33" s="49">
        <f ca="1">IFERROR(MONTH(ORSA_Warnings_Miss_SIMs[[#This Row],[Ops Date]]), "N/A")</f>
        <v>12</v>
      </c>
      <c r="M33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33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33" s="49">
        <f>ORSA_Warnings_Miss_SIMs[[#This Row],[Miss]]</f>
        <v>1</v>
      </c>
      <c r="P33" s="50">
        <f>IF(AND(ORSA_Warnings_Miss_SIMs[[#This Row],[CI]] = 0, ORSA_Warnings_Miss_SIMs[[#This Row],[Miss]] = 1), 1, 0)</f>
        <v>0</v>
      </c>
      <c r="Q33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33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33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34" spans="1:19" x14ac:dyDescent="0.25">
      <c r="A34" t="s">
        <v>5704</v>
      </c>
      <c r="B34" t="s">
        <v>5705</v>
      </c>
      <c r="C34" t="s">
        <v>5699</v>
      </c>
      <c r="D34" t="s">
        <v>5675</v>
      </c>
      <c r="E34" t="s">
        <v>5676</v>
      </c>
      <c r="J34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45634</v>
      </c>
      <c r="K34" s="49">
        <f ca="1">IFERROR(WEEKNUM(ORSA_Warnings_Miss_SIMs[[#This Row],[Ops Date]]), "N/A")</f>
        <v>50</v>
      </c>
      <c r="L34" s="49">
        <f ca="1">IFERROR(MONTH(ORSA_Warnings_Miss_SIMs[[#This Row],[Ops Date]]), "N/A")</f>
        <v>12</v>
      </c>
      <c r="M34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34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34" s="49">
        <f>ORSA_Warnings_Miss_SIMs[[#This Row],[Miss]]</f>
        <v>1</v>
      </c>
      <c r="P34" s="50">
        <f>IF(AND(ORSA_Warnings_Miss_SIMs[[#This Row],[CI]] = 0, ORSA_Warnings_Miss_SIMs[[#This Row],[Miss]] = 1), 1, 0)</f>
        <v>0</v>
      </c>
      <c r="Q34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34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34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35" spans="1:19" x14ac:dyDescent="0.25">
      <c r="A35" t="s">
        <v>5552</v>
      </c>
      <c r="B35" t="s">
        <v>5706</v>
      </c>
      <c r="C35" t="s">
        <v>5707</v>
      </c>
      <c r="D35" t="s">
        <v>5675</v>
      </c>
      <c r="E35" t="s">
        <v>5676</v>
      </c>
      <c r="J35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45634</v>
      </c>
      <c r="K35" s="49">
        <f ca="1">IFERROR(WEEKNUM(ORSA_Warnings_Miss_SIMs[[#This Row],[Ops Date]]), "N/A")</f>
        <v>50</v>
      </c>
      <c r="L35" s="49">
        <f ca="1">IFERROR(MONTH(ORSA_Warnings_Miss_SIMs[[#This Row],[Ops Date]]), "N/A")</f>
        <v>12</v>
      </c>
      <c r="M35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35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35" s="49">
        <f>ORSA_Warnings_Miss_SIMs[[#This Row],[Miss]]</f>
        <v>1</v>
      </c>
      <c r="P35" s="50">
        <f>IF(AND(ORSA_Warnings_Miss_SIMs[[#This Row],[CI]] = 0, ORSA_Warnings_Miss_SIMs[[#This Row],[Miss]] = 1), 1, 0)</f>
        <v>0</v>
      </c>
      <c r="Q35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35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35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36" spans="1:19" x14ac:dyDescent="0.25">
      <c r="B36" t="s">
        <v>5708</v>
      </c>
      <c r="C36" t="s">
        <v>5709</v>
      </c>
      <c r="D36" t="s">
        <v>5710</v>
      </c>
      <c r="E36" t="s">
        <v>5580</v>
      </c>
      <c r="J36" s="81" t="e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#VALUE!</v>
      </c>
      <c r="K36" s="49" t="str">
        <f ca="1">IFERROR(WEEKNUM(ORSA_Warnings_Miss_SIMs[[#This Row],[Ops Date]]), "N/A")</f>
        <v>N/A</v>
      </c>
      <c r="L36" s="49" t="str">
        <f ca="1">IFERROR(MONTH(ORSA_Warnings_Miss_SIMs[[#This Row],[Ops Date]]), "N/A")</f>
        <v>N/A</v>
      </c>
      <c r="M36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36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36" s="49">
        <f>ORSA_Warnings_Miss_SIMs[[#This Row],[Miss]]</f>
        <v>1</v>
      </c>
      <c r="P36" s="50">
        <f>IF(AND(ORSA_Warnings_Miss_SIMs[[#This Row],[CI]] = 0, ORSA_Warnings_Miss_SIMs[[#This Row],[Miss]] = 1), 1, 0)</f>
        <v>0</v>
      </c>
      <c r="Q36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36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36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37" spans="1:19" x14ac:dyDescent="0.25">
      <c r="A37" t="s">
        <v>5560</v>
      </c>
      <c r="B37" t="s">
        <v>5711</v>
      </c>
      <c r="C37" t="s">
        <v>5712</v>
      </c>
      <c r="D37" t="s">
        <v>5675</v>
      </c>
      <c r="E37" t="s">
        <v>5676</v>
      </c>
      <c r="J37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45631</v>
      </c>
      <c r="K37" s="49">
        <f ca="1">IFERROR(WEEKNUM(ORSA_Warnings_Miss_SIMs[[#This Row],[Ops Date]]), "N/A")</f>
        <v>49</v>
      </c>
      <c r="L37" s="49">
        <f ca="1">IFERROR(MONTH(ORSA_Warnings_Miss_SIMs[[#This Row],[Ops Date]]), "N/A")</f>
        <v>12</v>
      </c>
      <c r="M37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37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37" s="49">
        <f>ORSA_Warnings_Miss_SIMs[[#This Row],[Miss]]</f>
        <v>1</v>
      </c>
      <c r="P37" s="50">
        <f>IF(AND(ORSA_Warnings_Miss_SIMs[[#This Row],[CI]] = 0, ORSA_Warnings_Miss_SIMs[[#This Row],[Miss]] = 1), 1, 0)</f>
        <v>0</v>
      </c>
      <c r="Q37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37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37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38" spans="1:19" x14ac:dyDescent="0.25">
      <c r="A38" t="s">
        <v>5713</v>
      </c>
      <c r="B38" t="s">
        <v>5714</v>
      </c>
      <c r="C38" t="s">
        <v>5635</v>
      </c>
      <c r="D38" t="s">
        <v>5675</v>
      </c>
      <c r="E38" t="s">
        <v>5580</v>
      </c>
      <c r="J38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45632</v>
      </c>
      <c r="K38" s="49">
        <f ca="1">IFERROR(WEEKNUM(ORSA_Warnings_Miss_SIMs[[#This Row],[Ops Date]]), "N/A")</f>
        <v>49</v>
      </c>
      <c r="L38" s="49">
        <f ca="1">IFERROR(MONTH(ORSA_Warnings_Miss_SIMs[[#This Row],[Ops Date]]), "N/A")</f>
        <v>12</v>
      </c>
      <c r="M38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38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38" s="49">
        <f>ORSA_Warnings_Miss_SIMs[[#This Row],[Miss]]</f>
        <v>1</v>
      </c>
      <c r="P38" s="50">
        <f>IF(AND(ORSA_Warnings_Miss_SIMs[[#This Row],[CI]] = 0, ORSA_Warnings_Miss_SIMs[[#This Row],[Miss]] = 1), 1, 0)</f>
        <v>0</v>
      </c>
      <c r="Q38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38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38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39" spans="1:19" x14ac:dyDescent="0.25">
      <c r="A39" t="s">
        <v>5558</v>
      </c>
      <c r="B39" t="s">
        <v>5715</v>
      </c>
      <c r="C39" t="s">
        <v>5716</v>
      </c>
      <c r="D39" t="s">
        <v>5641</v>
      </c>
      <c r="E39" t="s">
        <v>5569</v>
      </c>
      <c r="J39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45631</v>
      </c>
      <c r="K39" s="49">
        <f ca="1">IFERROR(WEEKNUM(ORSA_Warnings_Miss_SIMs[[#This Row],[Ops Date]]), "N/A")</f>
        <v>49</v>
      </c>
      <c r="L39" s="49">
        <f ca="1">IFERROR(MONTH(ORSA_Warnings_Miss_SIMs[[#This Row],[Ops Date]]), "N/A")</f>
        <v>12</v>
      </c>
      <c r="M39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39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39" s="49">
        <f>ORSA_Warnings_Miss_SIMs[[#This Row],[Miss]]</f>
        <v>1</v>
      </c>
      <c r="P39" s="50">
        <f>IF(AND(ORSA_Warnings_Miss_SIMs[[#This Row],[CI]] = 0, ORSA_Warnings_Miss_SIMs[[#This Row],[Miss]] = 1), 1, 0)</f>
        <v>0</v>
      </c>
      <c r="Q39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39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39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40" spans="1:19" x14ac:dyDescent="0.25">
      <c r="A40" t="s">
        <v>5557</v>
      </c>
      <c r="B40" t="s">
        <v>5717</v>
      </c>
      <c r="C40" t="s">
        <v>5718</v>
      </c>
      <c r="D40" t="s">
        <v>5641</v>
      </c>
      <c r="E40" t="s">
        <v>5569</v>
      </c>
      <c r="J40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45631</v>
      </c>
      <c r="K40" s="49">
        <f ca="1">IFERROR(WEEKNUM(ORSA_Warnings_Miss_SIMs[[#This Row],[Ops Date]]), "N/A")</f>
        <v>49</v>
      </c>
      <c r="L40" s="49">
        <f ca="1">IFERROR(MONTH(ORSA_Warnings_Miss_SIMs[[#This Row],[Ops Date]]), "N/A")</f>
        <v>12</v>
      </c>
      <c r="M40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40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40" s="49">
        <f>ORSA_Warnings_Miss_SIMs[[#This Row],[Miss]]</f>
        <v>1</v>
      </c>
      <c r="P40" s="50">
        <f>IF(AND(ORSA_Warnings_Miss_SIMs[[#This Row],[CI]] = 0, ORSA_Warnings_Miss_SIMs[[#This Row],[Miss]] = 1), 1, 0)</f>
        <v>0</v>
      </c>
      <c r="Q40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40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40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41" spans="1:19" x14ac:dyDescent="0.25">
      <c r="A41" t="s">
        <v>5538</v>
      </c>
      <c r="B41" t="s">
        <v>5719</v>
      </c>
      <c r="C41" t="s">
        <v>5720</v>
      </c>
      <c r="D41" t="s">
        <v>5568</v>
      </c>
      <c r="E41" t="s">
        <v>5569</v>
      </c>
      <c r="J41" s="81" t="e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#VALUE!</v>
      </c>
      <c r="K41" s="49" t="str">
        <f ca="1">IFERROR(WEEKNUM(ORSA_Warnings_Miss_SIMs[[#This Row],[Ops Date]]), "N/A")</f>
        <v>N/A</v>
      </c>
      <c r="L41" s="49" t="str">
        <f ca="1">IFERROR(MONTH(ORSA_Warnings_Miss_SIMs[[#This Row],[Ops Date]]), "N/A")</f>
        <v>N/A</v>
      </c>
      <c r="M41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41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41" s="49">
        <f>ORSA_Warnings_Miss_SIMs[[#This Row],[Miss]]</f>
        <v>1</v>
      </c>
      <c r="P41" s="50">
        <f>IF(AND(ORSA_Warnings_Miss_SIMs[[#This Row],[CI]] = 0, ORSA_Warnings_Miss_SIMs[[#This Row],[Miss]] = 1), 1, 0)</f>
        <v>0</v>
      </c>
      <c r="Q41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41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41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42" spans="1:19" x14ac:dyDescent="0.25">
      <c r="A42" t="s">
        <v>5721</v>
      </c>
      <c r="B42" t="s">
        <v>5722</v>
      </c>
      <c r="C42" t="s">
        <v>5635</v>
      </c>
      <c r="D42" t="s">
        <v>5675</v>
      </c>
      <c r="E42" t="s">
        <v>5676</v>
      </c>
      <c r="J42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45632</v>
      </c>
      <c r="K42" s="49">
        <f ca="1">IFERROR(WEEKNUM(ORSA_Warnings_Miss_SIMs[[#This Row],[Ops Date]]), "N/A")</f>
        <v>49</v>
      </c>
      <c r="L42" s="49">
        <f ca="1">IFERROR(MONTH(ORSA_Warnings_Miss_SIMs[[#This Row],[Ops Date]]), "N/A")</f>
        <v>12</v>
      </c>
      <c r="M42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42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42" s="49">
        <f>ORSA_Warnings_Miss_SIMs[[#This Row],[Miss]]</f>
        <v>1</v>
      </c>
      <c r="P42" s="50">
        <f>IF(AND(ORSA_Warnings_Miss_SIMs[[#This Row],[CI]] = 0, ORSA_Warnings_Miss_SIMs[[#This Row],[Miss]] = 1), 1, 0)</f>
        <v>0</v>
      </c>
      <c r="Q42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42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42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43" spans="1:19" x14ac:dyDescent="0.25">
      <c r="A43" t="s">
        <v>5723</v>
      </c>
      <c r="B43" t="s">
        <v>5724</v>
      </c>
      <c r="C43" t="s">
        <v>5635</v>
      </c>
      <c r="D43" t="s">
        <v>5675</v>
      </c>
      <c r="E43" t="s">
        <v>5676</v>
      </c>
      <c r="J43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45632</v>
      </c>
      <c r="K43" s="49">
        <f ca="1">IFERROR(WEEKNUM(ORSA_Warnings_Miss_SIMs[[#This Row],[Ops Date]]), "N/A")</f>
        <v>49</v>
      </c>
      <c r="L43" s="49">
        <f ca="1">IFERROR(MONTH(ORSA_Warnings_Miss_SIMs[[#This Row],[Ops Date]]), "N/A")</f>
        <v>12</v>
      </c>
      <c r="M43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43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43" s="49">
        <f>ORSA_Warnings_Miss_SIMs[[#This Row],[Miss]]</f>
        <v>1</v>
      </c>
      <c r="P43" s="50">
        <f>IF(AND(ORSA_Warnings_Miss_SIMs[[#This Row],[CI]] = 0, ORSA_Warnings_Miss_SIMs[[#This Row],[Miss]] = 1), 1, 0)</f>
        <v>0</v>
      </c>
      <c r="Q43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43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43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44" spans="1:19" x14ac:dyDescent="0.25">
      <c r="A44" t="s">
        <v>5725</v>
      </c>
      <c r="B44" t="s">
        <v>5726</v>
      </c>
      <c r="C44" t="s">
        <v>5635</v>
      </c>
      <c r="D44" t="s">
        <v>5675</v>
      </c>
      <c r="E44" t="s">
        <v>5676</v>
      </c>
      <c r="J44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45632</v>
      </c>
      <c r="K44" s="49">
        <f ca="1">IFERROR(WEEKNUM(ORSA_Warnings_Miss_SIMs[[#This Row],[Ops Date]]), "N/A")</f>
        <v>49</v>
      </c>
      <c r="L44" s="49">
        <f ca="1">IFERROR(MONTH(ORSA_Warnings_Miss_SIMs[[#This Row],[Ops Date]]), "N/A")</f>
        <v>12</v>
      </c>
      <c r="M44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44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44" s="49">
        <f>ORSA_Warnings_Miss_SIMs[[#This Row],[Miss]]</f>
        <v>1</v>
      </c>
      <c r="P44" s="50">
        <f>IF(AND(ORSA_Warnings_Miss_SIMs[[#This Row],[CI]] = 0, ORSA_Warnings_Miss_SIMs[[#This Row],[Miss]] = 1), 1, 0)</f>
        <v>0</v>
      </c>
      <c r="Q44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44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44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45" spans="1:19" x14ac:dyDescent="0.25">
      <c r="A45" t="s">
        <v>5727</v>
      </c>
      <c r="B45" t="s">
        <v>5728</v>
      </c>
      <c r="C45" t="s">
        <v>5638</v>
      </c>
      <c r="D45" t="s">
        <v>5675</v>
      </c>
      <c r="E45" t="s">
        <v>5676</v>
      </c>
      <c r="J45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45632</v>
      </c>
      <c r="K45" s="49">
        <f ca="1">IFERROR(WEEKNUM(ORSA_Warnings_Miss_SIMs[[#This Row],[Ops Date]]), "N/A")</f>
        <v>49</v>
      </c>
      <c r="L45" s="49">
        <f ca="1">IFERROR(MONTH(ORSA_Warnings_Miss_SIMs[[#This Row],[Ops Date]]), "N/A")</f>
        <v>12</v>
      </c>
      <c r="M45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45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45" s="49">
        <f>ORSA_Warnings_Miss_SIMs[[#This Row],[Miss]]</f>
        <v>1</v>
      </c>
      <c r="P45" s="50">
        <f>IF(AND(ORSA_Warnings_Miss_SIMs[[#This Row],[CI]] = 0, ORSA_Warnings_Miss_SIMs[[#This Row],[Miss]] = 1), 1, 0)</f>
        <v>0</v>
      </c>
      <c r="Q45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45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45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46" spans="1:19" x14ac:dyDescent="0.25">
      <c r="A46" t="s">
        <v>5555</v>
      </c>
      <c r="B46" t="s">
        <v>5729</v>
      </c>
      <c r="C46" t="s">
        <v>5730</v>
      </c>
      <c r="D46" t="s">
        <v>5675</v>
      </c>
      <c r="E46" t="s">
        <v>5676</v>
      </c>
      <c r="J46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45631</v>
      </c>
      <c r="K46" s="49">
        <f ca="1">IFERROR(WEEKNUM(ORSA_Warnings_Miss_SIMs[[#This Row],[Ops Date]]), "N/A")</f>
        <v>49</v>
      </c>
      <c r="L46" s="49">
        <f ca="1">IFERROR(MONTH(ORSA_Warnings_Miss_SIMs[[#This Row],[Ops Date]]), "N/A")</f>
        <v>12</v>
      </c>
      <c r="M46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46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46" s="49">
        <f>ORSA_Warnings_Miss_SIMs[[#This Row],[Miss]]</f>
        <v>1</v>
      </c>
      <c r="P46" s="50">
        <f>IF(AND(ORSA_Warnings_Miss_SIMs[[#This Row],[CI]] = 0, ORSA_Warnings_Miss_SIMs[[#This Row],[Miss]] = 1), 1, 0)</f>
        <v>0</v>
      </c>
      <c r="Q46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46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46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47" spans="1:19" x14ac:dyDescent="0.25">
      <c r="A47" t="s">
        <v>5559</v>
      </c>
      <c r="B47" t="s">
        <v>5731</v>
      </c>
      <c r="C47" t="s">
        <v>5732</v>
      </c>
      <c r="D47" t="s">
        <v>5675</v>
      </c>
      <c r="E47" t="s">
        <v>5676</v>
      </c>
      <c r="J47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45631</v>
      </c>
      <c r="K47" s="49">
        <f ca="1">IFERROR(WEEKNUM(ORSA_Warnings_Miss_SIMs[[#This Row],[Ops Date]]), "N/A")</f>
        <v>49</v>
      </c>
      <c r="L47" s="49">
        <f ca="1">IFERROR(MONTH(ORSA_Warnings_Miss_SIMs[[#This Row],[Ops Date]]), "N/A")</f>
        <v>12</v>
      </c>
      <c r="M47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47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47" s="49">
        <f>ORSA_Warnings_Miss_SIMs[[#This Row],[Miss]]</f>
        <v>1</v>
      </c>
      <c r="P47" s="50">
        <f>IF(AND(ORSA_Warnings_Miss_SIMs[[#This Row],[CI]] = 0, ORSA_Warnings_Miss_SIMs[[#This Row],[Miss]] = 1), 1, 0)</f>
        <v>0</v>
      </c>
      <c r="Q47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47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47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48" spans="1:19" x14ac:dyDescent="0.25">
      <c r="A48" t="s">
        <v>5560</v>
      </c>
      <c r="B48" t="s">
        <v>5733</v>
      </c>
      <c r="C48" t="s">
        <v>5734</v>
      </c>
      <c r="D48" t="s">
        <v>5675</v>
      </c>
      <c r="E48" t="s">
        <v>5676</v>
      </c>
      <c r="J48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45631</v>
      </c>
      <c r="K48" s="49">
        <f ca="1">IFERROR(WEEKNUM(ORSA_Warnings_Miss_SIMs[[#This Row],[Ops Date]]), "N/A")</f>
        <v>49</v>
      </c>
      <c r="L48" s="49">
        <f ca="1">IFERROR(MONTH(ORSA_Warnings_Miss_SIMs[[#This Row],[Ops Date]]), "N/A")</f>
        <v>12</v>
      </c>
      <c r="M48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48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48" s="49">
        <f>ORSA_Warnings_Miss_SIMs[[#This Row],[Miss]]</f>
        <v>1</v>
      </c>
      <c r="P48" s="50">
        <f>IF(AND(ORSA_Warnings_Miss_SIMs[[#This Row],[CI]] = 0, ORSA_Warnings_Miss_SIMs[[#This Row],[Miss]] = 1), 1, 0)</f>
        <v>0</v>
      </c>
      <c r="Q48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48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48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49" spans="1:19" x14ac:dyDescent="0.25">
      <c r="A49" t="s">
        <v>5558</v>
      </c>
      <c r="B49" t="s">
        <v>5735</v>
      </c>
      <c r="C49" t="s">
        <v>5736</v>
      </c>
      <c r="D49" t="s">
        <v>5675</v>
      </c>
      <c r="E49" t="s">
        <v>5676</v>
      </c>
      <c r="J49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45631</v>
      </c>
      <c r="K49" s="49">
        <f ca="1">IFERROR(WEEKNUM(ORSA_Warnings_Miss_SIMs[[#This Row],[Ops Date]]), "N/A")</f>
        <v>49</v>
      </c>
      <c r="L49" s="49">
        <f ca="1">IFERROR(MONTH(ORSA_Warnings_Miss_SIMs[[#This Row],[Ops Date]]), "N/A")</f>
        <v>12</v>
      </c>
      <c r="M49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49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49" s="49">
        <f>ORSA_Warnings_Miss_SIMs[[#This Row],[Miss]]</f>
        <v>1</v>
      </c>
      <c r="P49" s="50">
        <f>IF(AND(ORSA_Warnings_Miss_SIMs[[#This Row],[CI]] = 0, ORSA_Warnings_Miss_SIMs[[#This Row],[Miss]] = 1), 1, 0)</f>
        <v>0</v>
      </c>
      <c r="Q49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49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49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50" spans="1:19" x14ac:dyDescent="0.25">
      <c r="A50" t="s">
        <v>5563</v>
      </c>
      <c r="B50" t="s">
        <v>5737</v>
      </c>
      <c r="C50" t="s">
        <v>5738</v>
      </c>
      <c r="D50" t="s">
        <v>5675</v>
      </c>
      <c r="E50" t="s">
        <v>5676</v>
      </c>
      <c r="J50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45631</v>
      </c>
      <c r="K50" s="49">
        <f ca="1">IFERROR(WEEKNUM(ORSA_Warnings_Miss_SIMs[[#This Row],[Ops Date]]), "N/A")</f>
        <v>49</v>
      </c>
      <c r="L50" s="49">
        <f ca="1">IFERROR(MONTH(ORSA_Warnings_Miss_SIMs[[#This Row],[Ops Date]]), "N/A")</f>
        <v>12</v>
      </c>
      <c r="M50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50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50" s="49">
        <f>ORSA_Warnings_Miss_SIMs[[#This Row],[Miss]]</f>
        <v>1</v>
      </c>
      <c r="P50" s="50">
        <f>IF(AND(ORSA_Warnings_Miss_SIMs[[#This Row],[CI]] = 0, ORSA_Warnings_Miss_SIMs[[#This Row],[Miss]] = 1), 1, 0)</f>
        <v>0</v>
      </c>
      <c r="Q50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50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50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51" spans="1:19" x14ac:dyDescent="0.25">
      <c r="A51" t="s">
        <v>5555</v>
      </c>
      <c r="B51" t="s">
        <v>5739</v>
      </c>
      <c r="C51" t="s">
        <v>5740</v>
      </c>
      <c r="D51" t="s">
        <v>5675</v>
      </c>
      <c r="E51" t="s">
        <v>5676</v>
      </c>
      <c r="J51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45631</v>
      </c>
      <c r="K51" s="49">
        <f ca="1">IFERROR(WEEKNUM(ORSA_Warnings_Miss_SIMs[[#This Row],[Ops Date]]), "N/A")</f>
        <v>49</v>
      </c>
      <c r="L51" s="49">
        <f ca="1">IFERROR(MONTH(ORSA_Warnings_Miss_SIMs[[#This Row],[Ops Date]]), "N/A")</f>
        <v>12</v>
      </c>
      <c r="M51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51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51" s="49">
        <f>ORSA_Warnings_Miss_SIMs[[#This Row],[Miss]]</f>
        <v>1</v>
      </c>
      <c r="P51" s="50">
        <f>IF(AND(ORSA_Warnings_Miss_SIMs[[#This Row],[CI]] = 0, ORSA_Warnings_Miss_SIMs[[#This Row],[Miss]] = 1), 1, 0)</f>
        <v>0</v>
      </c>
      <c r="Q51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51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51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52" spans="1:19" x14ac:dyDescent="0.25">
      <c r="A52" t="s">
        <v>5557</v>
      </c>
      <c r="B52" t="s">
        <v>5741</v>
      </c>
      <c r="C52" t="s">
        <v>5742</v>
      </c>
      <c r="D52" t="s">
        <v>5675</v>
      </c>
      <c r="E52" t="s">
        <v>5676</v>
      </c>
      <c r="J52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45631</v>
      </c>
      <c r="K52" s="49">
        <f ca="1">IFERROR(WEEKNUM(ORSA_Warnings_Miss_SIMs[[#This Row],[Ops Date]]), "N/A")</f>
        <v>49</v>
      </c>
      <c r="L52" s="49">
        <f ca="1">IFERROR(MONTH(ORSA_Warnings_Miss_SIMs[[#This Row],[Ops Date]]), "N/A")</f>
        <v>12</v>
      </c>
      <c r="M52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52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52" s="49">
        <f>ORSA_Warnings_Miss_SIMs[[#This Row],[Miss]]</f>
        <v>1</v>
      </c>
      <c r="P52" s="50">
        <f>IF(AND(ORSA_Warnings_Miss_SIMs[[#This Row],[CI]] = 0, ORSA_Warnings_Miss_SIMs[[#This Row],[Miss]] = 1), 1, 0)</f>
        <v>0</v>
      </c>
      <c r="Q52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52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52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53" spans="1:19" x14ac:dyDescent="0.25">
      <c r="A53" t="s">
        <v>5559</v>
      </c>
      <c r="B53" t="s">
        <v>5743</v>
      </c>
      <c r="C53" t="s">
        <v>5744</v>
      </c>
      <c r="D53" t="s">
        <v>5675</v>
      </c>
      <c r="E53" t="s">
        <v>5676</v>
      </c>
      <c r="J53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45631</v>
      </c>
      <c r="K53" s="49">
        <f ca="1">IFERROR(WEEKNUM(ORSA_Warnings_Miss_SIMs[[#This Row],[Ops Date]]), "N/A")</f>
        <v>49</v>
      </c>
      <c r="L53" s="49">
        <f ca="1">IFERROR(MONTH(ORSA_Warnings_Miss_SIMs[[#This Row],[Ops Date]]), "N/A")</f>
        <v>12</v>
      </c>
      <c r="M53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53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53" s="49">
        <f>ORSA_Warnings_Miss_SIMs[[#This Row],[Miss]]</f>
        <v>1</v>
      </c>
      <c r="P53" s="50">
        <f>IF(AND(ORSA_Warnings_Miss_SIMs[[#This Row],[CI]] = 0, ORSA_Warnings_Miss_SIMs[[#This Row],[Miss]] = 1), 1, 0)</f>
        <v>0</v>
      </c>
      <c r="Q53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53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53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54" spans="1:19" x14ac:dyDescent="0.25">
      <c r="A54" t="s">
        <v>5556</v>
      </c>
      <c r="B54" t="s">
        <v>5745</v>
      </c>
      <c r="C54" t="s">
        <v>5746</v>
      </c>
      <c r="D54" t="s">
        <v>5675</v>
      </c>
      <c r="E54" t="s">
        <v>5676</v>
      </c>
      <c r="J54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45631</v>
      </c>
      <c r="K54" s="49">
        <f ca="1">IFERROR(WEEKNUM(ORSA_Warnings_Miss_SIMs[[#This Row],[Ops Date]]), "N/A")</f>
        <v>49</v>
      </c>
      <c r="L54" s="49">
        <f ca="1">IFERROR(MONTH(ORSA_Warnings_Miss_SIMs[[#This Row],[Ops Date]]), "N/A")</f>
        <v>12</v>
      </c>
      <c r="M54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54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54" s="49">
        <f>ORSA_Warnings_Miss_SIMs[[#This Row],[Miss]]</f>
        <v>1</v>
      </c>
      <c r="P54" s="50">
        <f>IF(AND(ORSA_Warnings_Miss_SIMs[[#This Row],[CI]] = 0, ORSA_Warnings_Miss_SIMs[[#This Row],[Miss]] = 1), 1, 0)</f>
        <v>0</v>
      </c>
      <c r="Q54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54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54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55" spans="1:19" x14ac:dyDescent="0.25">
      <c r="A55" t="s">
        <v>5561</v>
      </c>
      <c r="B55" t="s">
        <v>5747</v>
      </c>
      <c r="C55" t="s">
        <v>5748</v>
      </c>
      <c r="D55" t="s">
        <v>5675</v>
      </c>
      <c r="E55" t="s">
        <v>5676</v>
      </c>
      <c r="J55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45631</v>
      </c>
      <c r="K55" s="49">
        <f ca="1">IFERROR(WEEKNUM(ORSA_Warnings_Miss_SIMs[[#This Row],[Ops Date]]), "N/A")</f>
        <v>49</v>
      </c>
      <c r="L55" s="49">
        <f ca="1">IFERROR(MONTH(ORSA_Warnings_Miss_SIMs[[#This Row],[Ops Date]]), "N/A")</f>
        <v>12</v>
      </c>
      <c r="M55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55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55" s="49">
        <f>ORSA_Warnings_Miss_SIMs[[#This Row],[Miss]]</f>
        <v>1</v>
      </c>
      <c r="P55" s="50">
        <f>IF(AND(ORSA_Warnings_Miss_SIMs[[#This Row],[CI]] = 0, ORSA_Warnings_Miss_SIMs[[#This Row],[Miss]] = 1), 1, 0)</f>
        <v>0</v>
      </c>
      <c r="Q55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55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55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56" spans="1:19" x14ac:dyDescent="0.25">
      <c r="A56" t="s">
        <v>5562</v>
      </c>
      <c r="B56" t="s">
        <v>5749</v>
      </c>
      <c r="C56" t="s">
        <v>5750</v>
      </c>
      <c r="D56" t="s">
        <v>5675</v>
      </c>
      <c r="E56" t="s">
        <v>5676</v>
      </c>
      <c r="J56" s="81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45631</v>
      </c>
      <c r="K56" s="49">
        <f ca="1">IFERROR(WEEKNUM(ORSA_Warnings_Miss_SIMs[[#This Row],[Ops Date]]), "N/A")</f>
        <v>49</v>
      </c>
      <c r="L56" s="49">
        <f ca="1">IFERROR(MONTH(ORSA_Warnings_Miss_SIMs[[#This Row],[Ops Date]]), "N/A")</f>
        <v>12</v>
      </c>
      <c r="M56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56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56" s="49">
        <f>ORSA_Warnings_Miss_SIMs[[#This Row],[Miss]]</f>
        <v>1</v>
      </c>
      <c r="P56" s="50">
        <f>IF(AND(ORSA_Warnings_Miss_SIMs[[#This Row],[CI]] = 0, ORSA_Warnings_Miss_SIMs[[#This Row],[Miss]] = 1), 1, 0)</f>
        <v>0</v>
      </c>
      <c r="Q56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56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56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57" spans="1:19" x14ac:dyDescent="0.25">
      <c r="A57" t="s">
        <v>5565</v>
      </c>
      <c r="B57" t="s">
        <v>5751</v>
      </c>
      <c r="C57" t="s">
        <v>5752</v>
      </c>
      <c r="D57" t="s">
        <v>5753</v>
      </c>
      <c r="E57" t="s">
        <v>5630</v>
      </c>
      <c r="J57" s="81" t="e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#VALUE!</v>
      </c>
      <c r="K57" s="49" t="str">
        <f ca="1">IFERROR(WEEKNUM(ORSA_Warnings_Miss_SIMs[[#This Row],[Ops Date]]), "N/A")</f>
        <v>N/A</v>
      </c>
      <c r="L57" s="49" t="str">
        <f ca="1">IFERROR(MONTH(ORSA_Warnings_Miss_SIMs[[#This Row],[Ops Date]]), "N/A")</f>
        <v>N/A</v>
      </c>
      <c r="M57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57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57" s="49">
        <f>ORSA_Warnings_Miss_SIMs[[#This Row],[Miss]]</f>
        <v>1</v>
      </c>
      <c r="P57" s="50">
        <f>IF(AND(ORSA_Warnings_Miss_SIMs[[#This Row],[CI]] = 0, ORSA_Warnings_Miss_SIMs[[#This Row],[Miss]] = 1), 1, 0)</f>
        <v>0</v>
      </c>
      <c r="Q57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57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57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58" spans="1:19" x14ac:dyDescent="0.25">
      <c r="A58" t="s">
        <v>5539</v>
      </c>
      <c r="B58" t="s">
        <v>5566</v>
      </c>
      <c r="C58" t="s">
        <v>5567</v>
      </c>
      <c r="D58" t="s">
        <v>5568</v>
      </c>
      <c r="E58" t="s">
        <v>5569</v>
      </c>
      <c r="J58" s="81" t="e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#VALUE!</v>
      </c>
      <c r="K58" s="49" t="str">
        <f ca="1">IFERROR(WEEKNUM(ORSA_Warnings_Miss_SIMs[[#This Row],[Ops Date]]), "N/A")</f>
        <v>N/A</v>
      </c>
      <c r="L58" s="49" t="str">
        <f ca="1">IFERROR(MONTH(ORSA_Warnings_Miss_SIMs[[#This Row],[Ops Date]]), "N/A")</f>
        <v>N/A</v>
      </c>
      <c r="M58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58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58" s="49">
        <f>ORSA_Warnings_Miss_SIMs[[#This Row],[Miss]]</f>
        <v>1</v>
      </c>
      <c r="P58" s="50">
        <f>IF(AND(ORSA_Warnings_Miss_SIMs[[#This Row],[CI]] = 0, ORSA_Warnings_Miss_SIMs[[#This Row],[Miss]] = 1), 1, 0)</f>
        <v>0</v>
      </c>
      <c r="Q58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58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58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59" spans="1:19" x14ac:dyDescent="0.25">
      <c r="A59" s="192" t="s">
        <v>5537</v>
      </c>
      <c r="B59" t="s">
        <v>5570</v>
      </c>
      <c r="C59" t="s">
        <v>5571</v>
      </c>
      <c r="D59" t="s">
        <v>5572</v>
      </c>
      <c r="E59" t="s">
        <v>5569</v>
      </c>
      <c r="J59" s="81" t="e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#VALUE!</v>
      </c>
      <c r="K59" s="49" t="str">
        <f ca="1">IFERROR(WEEKNUM(ORSA_Warnings_Miss_SIMs[[#This Row],[Ops Date]]), "N/A")</f>
        <v>N/A</v>
      </c>
      <c r="L59" s="49" t="str">
        <f ca="1">IFERROR(MONTH(ORSA_Warnings_Miss_SIMs[[#This Row],[Ops Date]]), "N/A")</f>
        <v>N/A</v>
      </c>
      <c r="M59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59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59" s="49">
        <f>ORSA_Warnings_Miss_SIMs[[#This Row],[Miss]]</f>
        <v>1</v>
      </c>
      <c r="P59" s="50">
        <f>IF(AND(ORSA_Warnings_Miss_SIMs[[#This Row],[CI]] = 0, ORSA_Warnings_Miss_SIMs[[#This Row],[Miss]] = 1), 1, 0)</f>
        <v>0</v>
      </c>
      <c r="Q59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59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59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60" spans="1:19" x14ac:dyDescent="0.25">
      <c r="A60" t="s">
        <v>5542</v>
      </c>
      <c r="B60" t="s">
        <v>5573</v>
      </c>
      <c r="C60" t="s">
        <v>5574</v>
      </c>
      <c r="D60" t="s">
        <v>5568</v>
      </c>
      <c r="E60" t="s">
        <v>5569</v>
      </c>
      <c r="J60" s="81" t="e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#VALUE!</v>
      </c>
      <c r="K60" s="49" t="str">
        <f ca="1">IFERROR(WEEKNUM(ORSA_Warnings_Miss_SIMs[[#This Row],[Ops Date]]), "N/A")</f>
        <v>N/A</v>
      </c>
      <c r="L60" s="49" t="str">
        <f ca="1">IFERROR(MONTH(ORSA_Warnings_Miss_SIMs[[#This Row],[Ops Date]]), "N/A")</f>
        <v>N/A</v>
      </c>
      <c r="M60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60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60" s="49">
        <f>ORSA_Warnings_Miss_SIMs[[#This Row],[Miss]]</f>
        <v>1</v>
      </c>
      <c r="P60" s="50">
        <f>IF(AND(ORSA_Warnings_Miss_SIMs[[#This Row],[CI]] = 0, ORSA_Warnings_Miss_SIMs[[#This Row],[Miss]] = 1), 1, 0)</f>
        <v>0</v>
      </c>
      <c r="Q60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60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60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61" spans="1:19" x14ac:dyDescent="0.25">
      <c r="A61" t="s">
        <v>5545</v>
      </c>
      <c r="B61" t="s">
        <v>5575</v>
      </c>
      <c r="C61" t="s">
        <v>5576</v>
      </c>
      <c r="D61" t="s">
        <v>5568</v>
      </c>
      <c r="E61" t="s">
        <v>5569</v>
      </c>
      <c r="J61" s="81" t="e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#VALUE!</v>
      </c>
      <c r="K61" s="49" t="str">
        <f ca="1">IFERROR(WEEKNUM(ORSA_Warnings_Miss_SIMs[[#This Row],[Ops Date]]), "N/A")</f>
        <v>N/A</v>
      </c>
      <c r="L61" s="49" t="str">
        <f ca="1">IFERROR(MONTH(ORSA_Warnings_Miss_SIMs[[#This Row],[Ops Date]]), "N/A")</f>
        <v>N/A</v>
      </c>
      <c r="M61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61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61" s="49">
        <f>ORSA_Warnings_Miss_SIMs[[#This Row],[Miss]]</f>
        <v>1</v>
      </c>
      <c r="P61" s="50">
        <f>IF(AND(ORSA_Warnings_Miss_SIMs[[#This Row],[CI]] = 0, ORSA_Warnings_Miss_SIMs[[#This Row],[Miss]] = 1), 1, 0)</f>
        <v>0</v>
      </c>
      <c r="Q61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61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61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62" spans="1:19" x14ac:dyDescent="0.25">
      <c r="A62" t="s">
        <v>5551</v>
      </c>
      <c r="B62" t="s">
        <v>5754</v>
      </c>
      <c r="C62" t="s">
        <v>5755</v>
      </c>
      <c r="D62" t="s">
        <v>5658</v>
      </c>
      <c r="E62" t="s">
        <v>5569</v>
      </c>
      <c r="J62" s="81" t="e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#VALUE!</v>
      </c>
      <c r="K62" s="49" t="str">
        <f ca="1">IFERROR(WEEKNUM(ORSA_Warnings_Miss_SIMs[[#This Row],[Ops Date]]), "N/A")</f>
        <v>N/A</v>
      </c>
      <c r="L62" s="49" t="str">
        <f ca="1">IFERROR(MONTH(ORSA_Warnings_Miss_SIMs[[#This Row],[Ops Date]]), "N/A")</f>
        <v>N/A</v>
      </c>
      <c r="M62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62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0</v>
      </c>
      <c r="O62" s="49">
        <f>ORSA_Warnings_Miss_SIMs[[#This Row],[Miss]]</f>
        <v>0</v>
      </c>
      <c r="P62" s="50">
        <f>IF(AND(ORSA_Warnings_Miss_SIMs[[#This Row],[CI]] = 0, ORSA_Warnings_Miss_SIMs[[#This Row],[Miss]] = 1), 1, 0)</f>
        <v>0</v>
      </c>
      <c r="Q62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62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62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63" spans="1:19" x14ac:dyDescent="0.25">
      <c r="A63" t="s">
        <v>5547</v>
      </c>
      <c r="B63" t="s">
        <v>5756</v>
      </c>
      <c r="C63" t="s">
        <v>5757</v>
      </c>
      <c r="D63" t="s">
        <v>5568</v>
      </c>
      <c r="E63" t="s">
        <v>5569</v>
      </c>
      <c r="J63" s="81" t="e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#VALUE!</v>
      </c>
      <c r="K63" s="49" t="str">
        <f ca="1">IFERROR(WEEKNUM(ORSA_Warnings_Miss_SIMs[[#This Row],[Ops Date]]), "N/A")</f>
        <v>N/A</v>
      </c>
      <c r="L63" s="49" t="str">
        <f ca="1">IFERROR(MONTH(ORSA_Warnings_Miss_SIMs[[#This Row],[Ops Date]]), "N/A")</f>
        <v>N/A</v>
      </c>
      <c r="M63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63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63" s="49">
        <f>ORSA_Warnings_Miss_SIMs[[#This Row],[Miss]]</f>
        <v>1</v>
      </c>
      <c r="P63" s="50">
        <f>IF(AND(ORSA_Warnings_Miss_SIMs[[#This Row],[CI]] = 0, ORSA_Warnings_Miss_SIMs[[#This Row],[Miss]] = 1), 1, 0)</f>
        <v>0</v>
      </c>
      <c r="Q63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63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63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64" spans="1:19" x14ac:dyDescent="0.25">
      <c r="A64" t="s">
        <v>5544</v>
      </c>
      <c r="B64" t="s">
        <v>5758</v>
      </c>
      <c r="C64" t="s">
        <v>5759</v>
      </c>
      <c r="D64" t="s">
        <v>5579</v>
      </c>
      <c r="E64" t="s">
        <v>5580</v>
      </c>
      <c r="J64" s="81" t="e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#VALUE!</v>
      </c>
      <c r="K64" s="49" t="str">
        <f ca="1">IFERROR(WEEKNUM(ORSA_Warnings_Miss_SIMs[[#This Row],[Ops Date]]), "N/A")</f>
        <v>N/A</v>
      </c>
      <c r="L64" s="49" t="str">
        <f ca="1">IFERROR(MONTH(ORSA_Warnings_Miss_SIMs[[#This Row],[Ops Date]]), "N/A")</f>
        <v>N/A</v>
      </c>
      <c r="M64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64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64" s="49">
        <f>ORSA_Warnings_Miss_SIMs[[#This Row],[Miss]]</f>
        <v>1</v>
      </c>
      <c r="P64" s="50">
        <f>IF(AND(ORSA_Warnings_Miss_SIMs[[#This Row],[CI]] = 0, ORSA_Warnings_Miss_SIMs[[#This Row],[Miss]] = 1), 1, 0)</f>
        <v>0</v>
      </c>
      <c r="Q64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64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64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65" spans="1:19" x14ac:dyDescent="0.25">
      <c r="A65" t="s">
        <v>5546</v>
      </c>
      <c r="B65" t="s">
        <v>5577</v>
      </c>
      <c r="C65" t="s">
        <v>5578</v>
      </c>
      <c r="D65" t="s">
        <v>5579</v>
      </c>
      <c r="E65" t="s">
        <v>5580</v>
      </c>
      <c r="J65" s="81" t="e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#VALUE!</v>
      </c>
      <c r="K65" s="49" t="str">
        <f ca="1">IFERROR(WEEKNUM(ORSA_Warnings_Miss_SIMs[[#This Row],[Ops Date]]), "N/A")</f>
        <v>N/A</v>
      </c>
      <c r="L65" s="49" t="str">
        <f ca="1">IFERROR(MONTH(ORSA_Warnings_Miss_SIMs[[#This Row],[Ops Date]]), "N/A")</f>
        <v>N/A</v>
      </c>
      <c r="M65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65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65" s="49">
        <f>ORSA_Warnings_Miss_SIMs[[#This Row],[Miss]]</f>
        <v>1</v>
      </c>
      <c r="P65" s="50">
        <f>IF(AND(ORSA_Warnings_Miss_SIMs[[#This Row],[CI]] = 0, ORSA_Warnings_Miss_SIMs[[#This Row],[Miss]] = 1), 1, 0)</f>
        <v>0</v>
      </c>
      <c r="Q65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65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65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66" spans="1:19" x14ac:dyDescent="0.25">
      <c r="A66" t="s">
        <v>5543</v>
      </c>
      <c r="B66" t="s">
        <v>5760</v>
      </c>
      <c r="C66" t="s">
        <v>5761</v>
      </c>
      <c r="D66" t="s">
        <v>5658</v>
      </c>
      <c r="E66" t="s">
        <v>5630</v>
      </c>
      <c r="J66" s="81" t="e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#VALUE!</v>
      </c>
      <c r="K66" s="49" t="str">
        <f ca="1">IFERROR(WEEKNUM(ORSA_Warnings_Miss_SIMs[[#This Row],[Ops Date]]), "N/A")</f>
        <v>N/A</v>
      </c>
      <c r="L66" s="49" t="str">
        <f ca="1">IFERROR(MONTH(ORSA_Warnings_Miss_SIMs[[#This Row],[Ops Date]]), "N/A")</f>
        <v>N/A</v>
      </c>
      <c r="M66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66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0</v>
      </c>
      <c r="O66" s="49">
        <f>ORSA_Warnings_Miss_SIMs[[#This Row],[Miss]]</f>
        <v>0</v>
      </c>
      <c r="P66" s="50">
        <f>IF(AND(ORSA_Warnings_Miss_SIMs[[#This Row],[CI]] = 0, ORSA_Warnings_Miss_SIMs[[#This Row],[Miss]] = 1), 1, 0)</f>
        <v>0</v>
      </c>
      <c r="Q66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66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66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67" spans="1:19" x14ac:dyDescent="0.25">
      <c r="A67" t="s">
        <v>5550</v>
      </c>
      <c r="B67" t="s">
        <v>5762</v>
      </c>
      <c r="C67" t="s">
        <v>5763</v>
      </c>
      <c r="D67" t="s">
        <v>5568</v>
      </c>
      <c r="E67" t="s">
        <v>5569</v>
      </c>
      <c r="J67" s="81" t="e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#VALUE!</v>
      </c>
      <c r="K67" s="49" t="str">
        <f ca="1">IFERROR(WEEKNUM(ORSA_Warnings_Miss_SIMs[[#This Row],[Ops Date]]), "N/A")</f>
        <v>N/A</v>
      </c>
      <c r="L67" s="49" t="str">
        <f ca="1">IFERROR(MONTH(ORSA_Warnings_Miss_SIMs[[#This Row],[Ops Date]]), "N/A")</f>
        <v>N/A</v>
      </c>
      <c r="M67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67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1</v>
      </c>
      <c r="O67" s="49">
        <f>ORSA_Warnings_Miss_SIMs[[#This Row],[Miss]]</f>
        <v>1</v>
      </c>
      <c r="P67" s="50">
        <f>IF(AND(ORSA_Warnings_Miss_SIMs[[#This Row],[CI]] = 0, ORSA_Warnings_Miss_SIMs[[#This Row],[Miss]] = 1), 1, 0)</f>
        <v>0</v>
      </c>
      <c r="Q67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67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67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68" spans="1:19" x14ac:dyDescent="0.25">
      <c r="A68" t="s">
        <v>5549</v>
      </c>
      <c r="B68" t="s">
        <v>5764</v>
      </c>
      <c r="C68" t="s">
        <v>5765</v>
      </c>
      <c r="D68" t="s">
        <v>5658</v>
      </c>
      <c r="E68" t="s">
        <v>5630</v>
      </c>
      <c r="J68" s="81" t="e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#VALUE!</v>
      </c>
      <c r="K68" s="49" t="str">
        <f ca="1">IFERROR(WEEKNUM(ORSA_Warnings_Miss_SIMs[[#This Row],[Ops Date]]), "N/A")</f>
        <v>N/A</v>
      </c>
      <c r="L68" s="49" t="str">
        <f ca="1">IFERROR(MONTH(ORSA_Warnings_Miss_SIMs[[#This Row],[Ops Date]]), "N/A")</f>
        <v>N/A</v>
      </c>
      <c r="M68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68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0</v>
      </c>
      <c r="O68" s="49">
        <f>ORSA_Warnings_Miss_SIMs[[#This Row],[Miss]]</f>
        <v>0</v>
      </c>
      <c r="P68" s="50">
        <f>IF(AND(ORSA_Warnings_Miss_SIMs[[#This Row],[CI]] = 0, ORSA_Warnings_Miss_SIMs[[#This Row],[Miss]] = 1), 1, 0)</f>
        <v>0</v>
      </c>
      <c r="Q68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68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68" s="50">
        <f>IF(AND(ORSA_Warnings_Miss_SIMs[[#This Row],[Excluded]] = 0, OR(ORSA_Warnings_Miss_SIMs[[#This Row],[SLA Miss]] &lt;&gt; "", ISNUMBER(SEARCH("SLA", ORSA_Warnings_Miss_SIMs[[#This Row],[Labels]])))), 1, 0)</f>
        <v>0</v>
      </c>
    </row>
    <row r="69" spans="1:19" x14ac:dyDescent="0.25">
      <c r="A69" t="s">
        <v>5548</v>
      </c>
      <c r="B69" t="s">
        <v>5766</v>
      </c>
      <c r="C69" t="s">
        <v>5767</v>
      </c>
      <c r="D69" t="s">
        <v>5658</v>
      </c>
      <c r="E69" t="s">
        <v>5630</v>
      </c>
      <c r="J69" s="81" t="e">
        <f ca="1">_xlfn.LET(_xlpm.protoKey,
 TRIM(RIGHT(LEFT(ORSA_Warnings_Miss_SIMs[[#This Row],[Title]], IFERROR(
   SEARCH("/" &amp; TEXT(TODAY(), "YYYY") - 1, ORSA_Warnings_Miss_SIMs[[#This Row],[Title]]),
   SEARCH("/" &amp; TEXT(TODAY(), "YYYY"),  ORSA_Warnings_Miss_SIMs[[#This Row],[Title]])) + 4), 10)),
 DATEVALUE(TEXT(IFERROR(IFERROR(
  MOD(LEFT(_xlpm.protoKey), 1) + _xlpm.protoKey,
  REPLACE(_xlpm.protoKey, 1, 1, "")),
  "N/A"), "MM/DD/YYYY")))</f>
        <v>#VALUE!</v>
      </c>
      <c r="K69" s="49" t="str">
        <f ca="1">IFERROR(WEEKNUM(ORSA_Warnings_Miss_SIMs[[#This Row],[Ops Date]]), "N/A")</f>
        <v>N/A</v>
      </c>
      <c r="L69" s="49" t="str">
        <f ca="1">IFERROR(MONTH(ORSA_Warnings_Miss_SIMs[[#This Row],[Ops Date]]), "N/A")</f>
        <v>N/A</v>
      </c>
      <c r="M69" s="49">
        <f>IF(OR(ISNUMBER(SEARCH("Excluded", ORSA_Warnings_Miss_SIMs[[#This Row],[Labels]])), ISNUMBER(SEARCH("Quality", ORSA_Warnings_Miss_SIMs[[#This Row],[Data Status]])), ISNUMBER(SEARCH("Exception", ORSA_Warnings_Miss_SIMs[[#This Row],[Data Status]]))), 1, 0)</f>
        <v>0</v>
      </c>
      <c r="N69" s="49">
        <f>IF(AND(ORSA_Warnings_Miss_SIMs[[#This Row],[Excluded]] = 0, OR(ORSA_Warnings_Miss_SIMs[[#This Row],[Operator Follow-up]] = 1, ORSA_Warnings_Miss_SIMs[[#This Row],[False Resolution]] = 1, ORSA_Warnings_Miss_SIMs[[#This Row],[SLA]] = 1, ISNUMBER( SEARCH("Miss", ORSA_Warnings_Miss_SIMs[[#This Row],[Labels]])))), 1, 0)</f>
        <v>0</v>
      </c>
      <c r="O69" s="49">
        <f>ORSA_Warnings_Miss_SIMs[[#This Row],[Miss]]</f>
        <v>0</v>
      </c>
      <c r="P69" s="50">
        <f>IF(AND(ORSA_Warnings_Miss_SIMs[[#This Row],[CI]] = 0, ORSA_Warnings_Miss_SIMs[[#This Row],[Miss]] = 1), 1, 0)</f>
        <v>0</v>
      </c>
      <c r="Q69" s="49">
        <f>IF(AND(ORSA_Warnings_Miss_SIMs[[#This Row],[Excluded]] = 0, OR(ORSA_Warnings_Miss_SIMs[[#This Row],[Operator Follow-up Miss]] &lt;&gt; "", ISNUMBER(SEARCH("Operator Follow Up", ORSA_Warnings_Miss_SIMs[[#This Row],[Labels]])))), 1, 0)</f>
        <v>0</v>
      </c>
      <c r="R69" s="49">
        <f>IF(AND(ORSA_Warnings_Miss_SIMs[[#This Row],[Excluded]] = 0, OR(ORSA_Warnings_Miss_SIMs[[#This Row],[False Resolution Miss]] &lt;&gt; "", ISNUMBER(SEARCH("False Resolution", ORSA_Warnings_Miss_SIMs[[#This Row],[Labels]])))), 1, 0)</f>
        <v>0</v>
      </c>
      <c r="S69" s="50">
        <f>IF(AND(ORSA_Warnings_Miss_SIMs[[#This Row],[Excluded]] = 0, OR(ORSA_Warnings_Miss_SIMs[[#This Row],[SLA Miss]] &lt;&gt; "", ISNUMBER(SEARCH("SLA", ORSA_Warnings_Miss_SIMs[[#This Row],[Labels]])))), 1, 0)</f>
        <v>0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684BF-B816-43F3-AA11-3ADF8E922967}">
  <sheetPr codeName="Sheet17">
    <tabColor rgb="FF00B050"/>
  </sheetPr>
  <dimension ref="A1:P2"/>
  <sheetViews>
    <sheetView workbookViewId="0">
      <selection activeCell="H1" sqref="H1:H1048576"/>
    </sheetView>
  </sheetViews>
  <sheetFormatPr defaultColWidth="20.5703125" defaultRowHeight="15" x14ac:dyDescent="0.25"/>
  <cols>
    <col min="8" max="8" width="20.5703125" style="25"/>
  </cols>
  <sheetData>
    <row r="1" spans="1:16" x14ac:dyDescent="0.25">
      <c r="A1" s="27" t="s">
        <v>52</v>
      </c>
      <c r="B1" s="28" t="s">
        <v>0</v>
      </c>
      <c r="C1" s="28" t="s">
        <v>1</v>
      </c>
      <c r="D1" s="28" t="s">
        <v>53</v>
      </c>
      <c r="E1" s="28" t="s">
        <v>54</v>
      </c>
      <c r="F1" s="28" t="s">
        <v>55</v>
      </c>
      <c r="G1" s="28" t="s">
        <v>56</v>
      </c>
      <c r="H1" s="83" t="s">
        <v>19</v>
      </c>
      <c r="I1" s="29" t="s">
        <v>35</v>
      </c>
      <c r="J1" s="30" t="s">
        <v>21</v>
      </c>
      <c r="K1" s="30" t="s">
        <v>32</v>
      </c>
      <c r="L1" s="30" t="s">
        <v>34</v>
      </c>
      <c r="M1" s="31" t="s">
        <v>20</v>
      </c>
      <c r="N1" s="30" t="s">
        <v>25</v>
      </c>
      <c r="O1" s="30" t="s">
        <v>13</v>
      </c>
      <c r="P1" s="31" t="s">
        <v>33</v>
      </c>
    </row>
    <row r="2" spans="1:16" x14ac:dyDescent="0.25">
      <c r="H2" s="71" t="e">
        <f ca="1">_xlfn.LET(_xlpm.protoKey,
 TRIM(RIGHT(LEFT(MOPAR_Manual_Captures_SIMs[[#This Row],[Title]], IFERROR(
   SEARCH("/" &amp; TEXT(TODAY(), "YYYY") - 1, MOPAR_Manual_Captures_SIMs[[#This Row],[Title]]),
   SEARCH("/" &amp; TEXT(TODAY(), "YYYY"),  MOPAR_Manual_Captures_SIMs[[#This Row],[Title]])) + 4), 10)),
  DATEVALUE(TEXT(IFERROR(IFERROR(
  MOD(LEFT(_xlpm.protoKey), 1) + _xlpm.protoKey,
  REPLACE(_xlpm.protoKey, 1, 1, "")),
  "N/A"), "MM/DD/YYYY")))</f>
        <v>#VALUE!</v>
      </c>
      <c r="I2" s="32" t="str">
        <f ca="1">IFERROR(WEEKNUM(MOPAR_Manual_Captures_SIMs[[#This Row],[Ops Date]]), "N/A")</f>
        <v>N/A</v>
      </c>
      <c r="J2" s="32">
        <f>IF(OR(ISNUMBER(SEARCH("Excluded", MOPAR_Manual_Captures_SIMs[[#This Row],[Labels]])), ISNUMBER(SEARCH("Quality", MOPAR_Manual_Captures_SIMs[[#This Row],[Data Status]])), ISNUMBER(SEARCH("Exception", MOPAR_Manual_Captures_SIMs[[#This Row],[Data Status]]))), 1, 0)</f>
        <v>0</v>
      </c>
      <c r="K2" s="32">
        <f>IF(AND(MOPAR_Manual_Captures_SIMs[[#This Row],[Excluded]] = 0, OR(MOPAR_Manual_Captures_SIMs[[#This Row],[Operator Follow-up]] = 1, MOPAR_Manual_Captures_SIMs[[#This Row],[False Resolution]] = 1, MOPAR_Manual_Captures_SIMs[[#This Row],[SLA]] = 1, ISNUMBER( SEARCH("Miss", MOPAR_Manual_Captures_SIMs[[#This Row],[Labels]])))), 1, 0)</f>
        <v>0</v>
      </c>
      <c r="L2" s="32">
        <f>MOPAR_Manual_Captures_SIMs[[#This Row],[Miss]]</f>
        <v>0</v>
      </c>
      <c r="M2" s="33">
        <f>IF(AND(MOPAR_Manual_Captures_SIMs[[#This Row],[CI]] = 0, MOPAR_Manual_Captures_SIMs[[#This Row],[Miss]] = 1), 1, 0)</f>
        <v>0</v>
      </c>
      <c r="N2" s="32">
        <f>IF(AND(MOPAR_Manual_Captures_SIMs[[#This Row],[Excluded]] = 0, OR(MOPAR_Manual_Captures_SIMs[[#This Row],[Operator Follow-up Miss]] &lt;&gt; "", ISNUMBER(SEARCH("Operator Follow Up", MOPAR_Manual_Captures_SIMs[[#This Row],[Labels]])))), 1, 0)</f>
        <v>0</v>
      </c>
      <c r="O2" s="32">
        <f>IF(AND(MOPAR_Manual_Captures_SIMs[[#This Row],[Excluded]] = 0, OR(MOPAR_Manual_Captures_SIMs[[#This Row],[False Resolution Miss]] &lt;&gt; "", ISNUMBER(SEARCH("False Resolution", MOPAR_Manual_Captures_SIMs[[#This Row],[Labels]])))), 1, 0)</f>
        <v>0</v>
      </c>
      <c r="P2" s="33">
        <f>IF(AND(MOPAR_Manual_Captures_SIMs[[#This Row],[Excluded]] = 0, OR(MOPAR_Manual_Captures_SIMs[[#This Row],[SLA Miss]] &lt;&gt; "", ISNUMBER(SEARCH("SLA", MOPAR_Manual_Captures_SIMs[[#This Row],[Labels]])))), 1, 0)</f>
        <v>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CBB81-104C-4340-914B-A33535FFDF6C}">
  <sheetPr codeName="Sheet7">
    <tabColor rgb="FF92D050"/>
  </sheetPr>
  <dimension ref="A1:M1392"/>
  <sheetViews>
    <sheetView workbookViewId="0">
      <selection activeCell="E14" sqref="E14"/>
    </sheetView>
  </sheetViews>
  <sheetFormatPr defaultRowHeight="15" x14ac:dyDescent="0.25"/>
  <cols>
    <col min="1" max="1" width="37.42578125" bestFit="1" customWidth="1"/>
    <col min="2" max="2" width="49.85546875" bestFit="1" customWidth="1"/>
    <col min="4" max="4" width="24.5703125" bestFit="1" customWidth="1"/>
    <col min="5" max="5" width="38" bestFit="1" customWidth="1"/>
    <col min="7" max="7" width="20.5703125" bestFit="1" customWidth="1"/>
  </cols>
  <sheetData>
    <row r="1" spans="1:13" ht="15.75" thickBot="1" x14ac:dyDescent="0.3">
      <c r="A1" s="189" t="s">
        <v>876</v>
      </c>
      <c r="B1" s="190"/>
      <c r="D1" s="189" t="s">
        <v>877</v>
      </c>
      <c r="E1" s="190"/>
      <c r="G1" s="51"/>
      <c r="H1" s="51"/>
      <c r="I1" s="51"/>
      <c r="J1" s="51"/>
      <c r="K1" s="51"/>
      <c r="L1" s="51"/>
      <c r="M1" s="51"/>
    </row>
    <row r="2" spans="1:13" x14ac:dyDescent="0.25">
      <c r="A2" s="44" t="s">
        <v>60</v>
      </c>
      <c r="B2" s="45" t="s">
        <v>61</v>
      </c>
      <c r="D2" s="44" t="s">
        <v>60</v>
      </c>
      <c r="E2" s="45" t="s">
        <v>61</v>
      </c>
      <c r="G2" s="68"/>
      <c r="H2" s="68"/>
      <c r="I2" s="68"/>
      <c r="J2" s="68"/>
      <c r="K2" s="68"/>
      <c r="L2" s="51"/>
      <c r="M2" s="51"/>
    </row>
    <row r="3" spans="1:13" x14ac:dyDescent="0.25">
      <c r="A3" s="39" t="s">
        <v>62</v>
      </c>
      <c r="B3" s="40" t="s">
        <v>63</v>
      </c>
      <c r="D3" s="39" t="s">
        <v>2</v>
      </c>
      <c r="E3" s="40" t="s">
        <v>871</v>
      </c>
      <c r="G3" s="69" t="s">
        <v>2388</v>
      </c>
      <c r="H3" s="69" t="s">
        <v>1739</v>
      </c>
      <c r="I3" s="68"/>
      <c r="J3" s="68"/>
      <c r="K3" s="68"/>
      <c r="L3" s="51"/>
      <c r="M3" s="51"/>
    </row>
    <row r="4" spans="1:13" x14ac:dyDescent="0.25">
      <c r="A4" s="39" t="s">
        <v>301</v>
      </c>
      <c r="B4" s="40" t="s">
        <v>704</v>
      </c>
      <c r="D4" s="39" t="s">
        <v>4624</v>
      </c>
      <c r="E4" s="40" t="s">
        <v>4625</v>
      </c>
      <c r="G4" s="70" t="s">
        <v>2389</v>
      </c>
      <c r="H4" s="70" t="s">
        <v>1740</v>
      </c>
      <c r="I4" s="68"/>
      <c r="J4" s="68"/>
      <c r="K4" s="68"/>
      <c r="L4" s="51"/>
      <c r="M4" s="51"/>
    </row>
    <row r="5" spans="1:13" x14ac:dyDescent="0.25">
      <c r="A5" s="39" t="s">
        <v>299</v>
      </c>
      <c r="B5" s="40" t="s">
        <v>702</v>
      </c>
      <c r="D5" s="39" t="s">
        <v>18</v>
      </c>
      <c r="E5" s="40" t="s">
        <v>872</v>
      </c>
      <c r="G5" s="51"/>
      <c r="H5" s="51"/>
      <c r="I5" s="51"/>
      <c r="J5" s="51"/>
      <c r="K5" s="51"/>
      <c r="L5" s="51"/>
      <c r="M5" s="51"/>
    </row>
    <row r="6" spans="1:13" x14ac:dyDescent="0.25">
      <c r="A6" s="39" t="s">
        <v>297</v>
      </c>
      <c r="B6" s="40" t="s">
        <v>700</v>
      </c>
      <c r="D6" s="39" t="s">
        <v>9</v>
      </c>
      <c r="E6" s="40" t="s">
        <v>873</v>
      </c>
    </row>
    <row r="7" spans="1:13" x14ac:dyDescent="0.25">
      <c r="A7" s="39" t="s">
        <v>317</v>
      </c>
      <c r="B7" s="40" t="s">
        <v>720</v>
      </c>
      <c r="D7" s="39" t="s">
        <v>3</v>
      </c>
      <c r="E7" s="40" t="s">
        <v>874</v>
      </c>
    </row>
    <row r="8" spans="1:13" x14ac:dyDescent="0.25">
      <c r="A8" s="39" t="s">
        <v>881</v>
      </c>
      <c r="B8" s="40" t="s">
        <v>886</v>
      </c>
      <c r="D8" s="39" t="s">
        <v>24</v>
      </c>
      <c r="E8" s="40" t="s">
        <v>875</v>
      </c>
    </row>
    <row r="9" spans="1:13" x14ac:dyDescent="0.25">
      <c r="A9" s="39" t="s">
        <v>252</v>
      </c>
      <c r="B9" s="40" t="s">
        <v>656</v>
      </c>
      <c r="D9" s="39" t="s">
        <v>1724</v>
      </c>
      <c r="E9" s="40" t="s">
        <v>1725</v>
      </c>
    </row>
    <row r="10" spans="1:13" x14ac:dyDescent="0.25">
      <c r="A10" s="39" t="s">
        <v>65</v>
      </c>
      <c r="B10" s="40" t="s">
        <v>21</v>
      </c>
      <c r="D10" s="39" t="s">
        <v>4473</v>
      </c>
      <c r="E10" s="40" t="s">
        <v>4474</v>
      </c>
    </row>
    <row r="11" spans="1:13" x14ac:dyDescent="0.25">
      <c r="A11" s="39" t="s">
        <v>64</v>
      </c>
      <c r="B11" s="40" t="s">
        <v>470</v>
      </c>
      <c r="D11" s="42" t="s">
        <v>4472</v>
      </c>
      <c r="E11" s="43" t="s">
        <v>4475</v>
      </c>
    </row>
    <row r="12" spans="1:13" x14ac:dyDescent="0.25">
      <c r="A12" s="39" t="s">
        <v>66</v>
      </c>
      <c r="B12" s="40" t="s">
        <v>13</v>
      </c>
      <c r="D12" s="39" t="s">
        <v>5308</v>
      </c>
      <c r="E12" s="40" t="s">
        <v>5310</v>
      </c>
    </row>
    <row r="13" spans="1:13" x14ac:dyDescent="0.25">
      <c r="A13" s="39" t="s">
        <v>336</v>
      </c>
      <c r="B13" s="40" t="s">
        <v>13</v>
      </c>
      <c r="D13" s="39" t="s">
        <v>5309</v>
      </c>
      <c r="E13" s="40" t="s">
        <v>5311</v>
      </c>
    </row>
    <row r="14" spans="1:13" x14ac:dyDescent="0.25">
      <c r="A14" s="39" t="s">
        <v>364</v>
      </c>
      <c r="B14" s="40" t="s">
        <v>13</v>
      </c>
      <c r="D14" s="39" t="s">
        <v>5527</v>
      </c>
      <c r="E14" s="40" t="s">
        <v>5604</v>
      </c>
    </row>
    <row r="15" spans="1:13" x14ac:dyDescent="0.25">
      <c r="A15" s="39" t="s">
        <v>466</v>
      </c>
      <c r="B15" s="40" t="s">
        <v>867</v>
      </c>
      <c r="D15" s="42" t="s">
        <v>4644</v>
      </c>
      <c r="E15" s="43" t="s">
        <v>4645</v>
      </c>
    </row>
    <row r="16" spans="1:13" x14ac:dyDescent="0.25">
      <c r="A16" s="39" t="s">
        <v>68</v>
      </c>
      <c r="B16" s="40" t="s">
        <v>472</v>
      </c>
    </row>
    <row r="17" spans="1:8" x14ac:dyDescent="0.25">
      <c r="A17" s="39" t="s">
        <v>67</v>
      </c>
      <c r="B17" s="40" t="s">
        <v>471</v>
      </c>
    </row>
    <row r="18" spans="1:8" x14ac:dyDescent="0.25">
      <c r="A18" s="39" t="s">
        <v>69</v>
      </c>
      <c r="B18" s="40" t="s">
        <v>473</v>
      </c>
    </row>
    <row r="19" spans="1:8" x14ac:dyDescent="0.25">
      <c r="A19" s="39" t="s">
        <v>199</v>
      </c>
      <c r="B19" s="40" t="s">
        <v>603</v>
      </c>
    </row>
    <row r="20" spans="1:8" x14ac:dyDescent="0.25">
      <c r="A20" s="39" t="s">
        <v>192</v>
      </c>
      <c r="B20" s="40" t="s">
        <v>596</v>
      </c>
      <c r="E20" s="51"/>
    </row>
    <row r="21" spans="1:8" x14ac:dyDescent="0.25">
      <c r="A21" s="39" t="s">
        <v>187</v>
      </c>
      <c r="B21" s="40" t="s">
        <v>591</v>
      </c>
    </row>
    <row r="22" spans="1:8" x14ac:dyDescent="0.25">
      <c r="A22" s="39" t="s">
        <v>182</v>
      </c>
      <c r="B22" s="40" t="s">
        <v>586</v>
      </c>
    </row>
    <row r="23" spans="1:8" x14ac:dyDescent="0.25">
      <c r="A23" s="39" t="s">
        <v>177</v>
      </c>
      <c r="B23" s="40" t="s">
        <v>581</v>
      </c>
    </row>
    <row r="24" spans="1:8" x14ac:dyDescent="0.25">
      <c r="A24" s="39" t="s">
        <v>172</v>
      </c>
      <c r="B24" s="40" t="s">
        <v>576</v>
      </c>
    </row>
    <row r="25" spans="1:8" x14ac:dyDescent="0.25">
      <c r="A25" s="39" t="s">
        <v>167</v>
      </c>
      <c r="B25" s="40" t="s">
        <v>571</v>
      </c>
      <c r="H25" s="51"/>
    </row>
    <row r="26" spans="1:8" x14ac:dyDescent="0.25">
      <c r="A26" s="39" t="s">
        <v>162</v>
      </c>
      <c r="B26" s="40" t="s">
        <v>566</v>
      </c>
    </row>
    <row r="27" spans="1:8" x14ac:dyDescent="0.25">
      <c r="A27" s="39" t="s">
        <v>157</v>
      </c>
      <c r="B27" s="40" t="s">
        <v>561</v>
      </c>
    </row>
    <row r="28" spans="1:8" x14ac:dyDescent="0.25">
      <c r="A28" s="39" t="s">
        <v>152</v>
      </c>
      <c r="B28" s="40" t="s">
        <v>556</v>
      </c>
    </row>
    <row r="29" spans="1:8" x14ac:dyDescent="0.25">
      <c r="A29" s="39" t="s">
        <v>147</v>
      </c>
      <c r="B29" s="40" t="s">
        <v>551</v>
      </c>
    </row>
    <row r="30" spans="1:8" x14ac:dyDescent="0.25">
      <c r="A30" s="39" t="s">
        <v>142</v>
      </c>
      <c r="B30" s="40" t="s">
        <v>546</v>
      </c>
    </row>
    <row r="31" spans="1:8" x14ac:dyDescent="0.25">
      <c r="A31" s="39" t="s">
        <v>137</v>
      </c>
      <c r="B31" s="40" t="s">
        <v>541</v>
      </c>
    </row>
    <row r="32" spans="1:8" x14ac:dyDescent="0.25">
      <c r="A32" s="39" t="s">
        <v>132</v>
      </c>
      <c r="B32" s="40" t="s">
        <v>536</v>
      </c>
    </row>
    <row r="33" spans="1:2" x14ac:dyDescent="0.25">
      <c r="A33" s="39" t="s">
        <v>127</v>
      </c>
      <c r="B33" s="40" t="s">
        <v>531</v>
      </c>
    </row>
    <row r="34" spans="1:2" x14ac:dyDescent="0.25">
      <c r="A34" s="41" t="s">
        <v>121</v>
      </c>
      <c r="B34" s="40" t="s">
        <v>525</v>
      </c>
    </row>
    <row r="35" spans="1:2" x14ac:dyDescent="0.25">
      <c r="A35" s="39" t="s">
        <v>116</v>
      </c>
      <c r="B35" s="40" t="s">
        <v>520</v>
      </c>
    </row>
    <row r="36" spans="1:2" x14ac:dyDescent="0.25">
      <c r="A36" s="39" t="s">
        <v>112</v>
      </c>
      <c r="B36" s="40" t="s">
        <v>516</v>
      </c>
    </row>
    <row r="37" spans="1:2" x14ac:dyDescent="0.25">
      <c r="A37" s="39" t="s">
        <v>107</v>
      </c>
      <c r="B37" s="40" t="s">
        <v>511</v>
      </c>
    </row>
    <row r="38" spans="1:2" x14ac:dyDescent="0.25">
      <c r="A38" s="39" t="s">
        <v>103</v>
      </c>
      <c r="B38" s="40" t="s">
        <v>507</v>
      </c>
    </row>
    <row r="39" spans="1:2" x14ac:dyDescent="0.25">
      <c r="A39" s="39" t="s">
        <v>99</v>
      </c>
      <c r="B39" s="40" t="s">
        <v>503</v>
      </c>
    </row>
    <row r="40" spans="1:2" x14ac:dyDescent="0.25">
      <c r="A40" s="39" t="s">
        <v>95</v>
      </c>
      <c r="B40" s="40" t="s">
        <v>499</v>
      </c>
    </row>
    <row r="41" spans="1:2" x14ac:dyDescent="0.25">
      <c r="A41" s="39" t="s">
        <v>91</v>
      </c>
      <c r="B41" s="40" t="s">
        <v>495</v>
      </c>
    </row>
    <row r="42" spans="1:2" x14ac:dyDescent="0.25">
      <c r="A42" s="39" t="s">
        <v>89</v>
      </c>
      <c r="B42" s="40" t="s">
        <v>493</v>
      </c>
    </row>
    <row r="43" spans="1:2" x14ac:dyDescent="0.25">
      <c r="A43" s="39" t="s">
        <v>84</v>
      </c>
      <c r="B43" s="40" t="s">
        <v>488</v>
      </c>
    </row>
    <row r="44" spans="1:2" x14ac:dyDescent="0.25">
      <c r="A44" s="39" t="s">
        <v>80</v>
      </c>
      <c r="B44" s="40" t="s">
        <v>484</v>
      </c>
    </row>
    <row r="45" spans="1:2" x14ac:dyDescent="0.25">
      <c r="A45" s="41" t="s">
        <v>77</v>
      </c>
      <c r="B45" s="40" t="s">
        <v>481</v>
      </c>
    </row>
    <row r="46" spans="1:2" x14ac:dyDescent="0.25">
      <c r="A46" s="39" t="s">
        <v>75</v>
      </c>
      <c r="B46" s="40" t="s">
        <v>479</v>
      </c>
    </row>
    <row r="47" spans="1:2" x14ac:dyDescent="0.25">
      <c r="A47" s="39" t="s">
        <v>237</v>
      </c>
      <c r="B47" s="40" t="s">
        <v>641</v>
      </c>
    </row>
    <row r="48" spans="1:2" x14ac:dyDescent="0.25">
      <c r="A48" s="39" t="s">
        <v>232</v>
      </c>
      <c r="B48" s="40" t="s">
        <v>636</v>
      </c>
    </row>
    <row r="49" spans="1:2" x14ac:dyDescent="0.25">
      <c r="A49" s="39" t="s">
        <v>261</v>
      </c>
      <c r="B49" s="40" t="s">
        <v>665</v>
      </c>
    </row>
    <row r="50" spans="1:2" x14ac:dyDescent="0.25">
      <c r="A50" s="39" t="s">
        <v>260</v>
      </c>
      <c r="B50" s="40" t="s">
        <v>664</v>
      </c>
    </row>
    <row r="51" spans="1:2" x14ac:dyDescent="0.25">
      <c r="A51" s="39" t="s">
        <v>259</v>
      </c>
      <c r="B51" s="40" t="s">
        <v>663</v>
      </c>
    </row>
    <row r="52" spans="1:2" x14ac:dyDescent="0.25">
      <c r="A52" s="39" t="s">
        <v>257</v>
      </c>
      <c r="B52" s="40" t="s">
        <v>661</v>
      </c>
    </row>
    <row r="53" spans="1:2" x14ac:dyDescent="0.25">
      <c r="A53" s="39" t="s">
        <v>251</v>
      </c>
      <c r="B53" s="40" t="s">
        <v>655</v>
      </c>
    </row>
    <row r="54" spans="1:2" x14ac:dyDescent="0.25">
      <c r="A54" s="39" t="s">
        <v>241</v>
      </c>
      <c r="B54" s="40" t="s">
        <v>645</v>
      </c>
    </row>
    <row r="55" spans="1:2" x14ac:dyDescent="0.25">
      <c r="A55" s="39" t="s">
        <v>240</v>
      </c>
      <c r="B55" s="40" t="s">
        <v>644</v>
      </c>
    </row>
    <row r="56" spans="1:2" x14ac:dyDescent="0.25">
      <c r="A56" s="39" t="s">
        <v>276</v>
      </c>
      <c r="B56" s="40" t="s">
        <v>679</v>
      </c>
    </row>
    <row r="57" spans="1:2" x14ac:dyDescent="0.25">
      <c r="A57" s="39" t="s">
        <v>281</v>
      </c>
      <c r="B57" s="40" t="s">
        <v>684</v>
      </c>
    </row>
    <row r="58" spans="1:2" x14ac:dyDescent="0.25">
      <c r="A58" s="39" t="s">
        <v>282</v>
      </c>
      <c r="B58" s="40" t="s">
        <v>685</v>
      </c>
    </row>
    <row r="59" spans="1:2" x14ac:dyDescent="0.25">
      <c r="A59" s="39" t="s">
        <v>280</v>
      </c>
      <c r="B59" s="40" t="s">
        <v>683</v>
      </c>
    </row>
    <row r="60" spans="1:2" x14ac:dyDescent="0.25">
      <c r="A60" s="39" t="s">
        <v>279</v>
      </c>
      <c r="B60" s="40" t="s">
        <v>682</v>
      </c>
    </row>
    <row r="61" spans="1:2" x14ac:dyDescent="0.25">
      <c r="A61" s="39" t="s">
        <v>278</v>
      </c>
      <c r="B61" s="40" t="s">
        <v>681</v>
      </c>
    </row>
    <row r="62" spans="1:2" x14ac:dyDescent="0.25">
      <c r="A62" s="39" t="s">
        <v>277</v>
      </c>
      <c r="B62" s="40" t="s">
        <v>680</v>
      </c>
    </row>
    <row r="63" spans="1:2" x14ac:dyDescent="0.25">
      <c r="A63" s="39" t="s">
        <v>307</v>
      </c>
      <c r="B63" s="40" t="s">
        <v>710</v>
      </c>
    </row>
    <row r="64" spans="1:2" x14ac:dyDescent="0.25">
      <c r="A64" s="39" t="s">
        <v>334</v>
      </c>
      <c r="B64" s="40" t="s">
        <v>737</v>
      </c>
    </row>
    <row r="65" spans="1:2" x14ac:dyDescent="0.25">
      <c r="A65" s="39" t="s">
        <v>333</v>
      </c>
      <c r="B65" s="40" t="s">
        <v>736</v>
      </c>
    </row>
    <row r="66" spans="1:2" x14ac:dyDescent="0.25">
      <c r="A66" s="39" t="s">
        <v>332</v>
      </c>
      <c r="B66" s="40" t="s">
        <v>735</v>
      </c>
    </row>
    <row r="67" spans="1:2" x14ac:dyDescent="0.25">
      <c r="A67" s="39" t="s">
        <v>335</v>
      </c>
      <c r="B67" s="40" t="s">
        <v>738</v>
      </c>
    </row>
    <row r="68" spans="1:2" x14ac:dyDescent="0.25">
      <c r="A68" s="39" t="s">
        <v>390</v>
      </c>
      <c r="B68" s="40" t="s">
        <v>791</v>
      </c>
    </row>
    <row r="69" spans="1:2" x14ac:dyDescent="0.25">
      <c r="A69" s="39" t="s">
        <v>878</v>
      </c>
      <c r="B69" s="40" t="s">
        <v>883</v>
      </c>
    </row>
    <row r="70" spans="1:2" x14ac:dyDescent="0.25">
      <c r="A70" s="39" t="s">
        <v>415</v>
      </c>
      <c r="B70" s="40" t="s">
        <v>816</v>
      </c>
    </row>
    <row r="71" spans="1:2" x14ac:dyDescent="0.25">
      <c r="A71" s="39" t="s">
        <v>414</v>
      </c>
      <c r="B71" s="40" t="s">
        <v>815</v>
      </c>
    </row>
    <row r="72" spans="1:2" x14ac:dyDescent="0.25">
      <c r="A72" s="39" t="s">
        <v>410</v>
      </c>
      <c r="B72" s="40" t="s">
        <v>811</v>
      </c>
    </row>
    <row r="73" spans="1:2" x14ac:dyDescent="0.25">
      <c r="A73" s="39" t="s">
        <v>413</v>
      </c>
      <c r="B73" s="40" t="s">
        <v>814</v>
      </c>
    </row>
    <row r="74" spans="1:2" x14ac:dyDescent="0.25">
      <c r="A74" s="39" t="s">
        <v>412</v>
      </c>
      <c r="B74" s="40" t="s">
        <v>813</v>
      </c>
    </row>
    <row r="75" spans="1:2" x14ac:dyDescent="0.25">
      <c r="A75" s="39" t="s">
        <v>398</v>
      </c>
      <c r="B75" s="40" t="s">
        <v>799</v>
      </c>
    </row>
    <row r="76" spans="1:2" x14ac:dyDescent="0.25">
      <c r="A76" s="39" t="s">
        <v>411</v>
      </c>
      <c r="B76" s="40" t="s">
        <v>812</v>
      </c>
    </row>
    <row r="77" spans="1:2" x14ac:dyDescent="0.25">
      <c r="A77" s="39" t="s">
        <v>409</v>
      </c>
      <c r="B77" s="40" t="s">
        <v>810</v>
      </c>
    </row>
    <row r="78" spans="1:2" x14ac:dyDescent="0.25">
      <c r="A78" s="39" t="s">
        <v>408</v>
      </c>
      <c r="B78" s="40" t="s">
        <v>809</v>
      </c>
    </row>
    <row r="79" spans="1:2" x14ac:dyDescent="0.25">
      <c r="A79" s="39" t="s">
        <v>407</v>
      </c>
      <c r="B79" s="40" t="s">
        <v>808</v>
      </c>
    </row>
    <row r="80" spans="1:2" x14ac:dyDescent="0.25">
      <c r="A80" s="39" t="s">
        <v>406</v>
      </c>
      <c r="B80" s="40" t="s">
        <v>807</v>
      </c>
    </row>
    <row r="81" spans="1:2" x14ac:dyDescent="0.25">
      <c r="A81" s="39" t="s">
        <v>405</v>
      </c>
      <c r="B81" s="40" t="s">
        <v>806</v>
      </c>
    </row>
    <row r="82" spans="1:2" x14ac:dyDescent="0.25">
      <c r="A82" s="39" t="s">
        <v>402</v>
      </c>
      <c r="B82" s="40" t="s">
        <v>803</v>
      </c>
    </row>
    <row r="83" spans="1:2" x14ac:dyDescent="0.25">
      <c r="A83" s="39" t="s">
        <v>404</v>
      </c>
      <c r="B83" s="40" t="s">
        <v>805</v>
      </c>
    </row>
    <row r="84" spans="1:2" x14ac:dyDescent="0.25">
      <c r="A84" s="39" t="s">
        <v>403</v>
      </c>
      <c r="B84" s="40" t="s">
        <v>804</v>
      </c>
    </row>
    <row r="85" spans="1:2" x14ac:dyDescent="0.25">
      <c r="A85" s="39" t="s">
        <v>391</v>
      </c>
      <c r="B85" s="40" t="s">
        <v>792</v>
      </c>
    </row>
    <row r="86" spans="1:2" x14ac:dyDescent="0.25">
      <c r="A86" s="39" t="s">
        <v>401</v>
      </c>
      <c r="B86" s="40" t="s">
        <v>802</v>
      </c>
    </row>
    <row r="87" spans="1:2" x14ac:dyDescent="0.25">
      <c r="A87" s="39" t="s">
        <v>400</v>
      </c>
      <c r="B87" s="40" t="s">
        <v>801</v>
      </c>
    </row>
    <row r="88" spans="1:2" x14ac:dyDescent="0.25">
      <c r="A88" s="39" t="s">
        <v>399</v>
      </c>
      <c r="B88" s="40" t="s">
        <v>800</v>
      </c>
    </row>
    <row r="89" spans="1:2" x14ac:dyDescent="0.25">
      <c r="A89" s="39" t="s">
        <v>397</v>
      </c>
      <c r="B89" s="40" t="s">
        <v>798</v>
      </c>
    </row>
    <row r="90" spans="1:2" x14ac:dyDescent="0.25">
      <c r="A90" s="39" t="s">
        <v>395</v>
      </c>
      <c r="B90" s="40" t="s">
        <v>796</v>
      </c>
    </row>
    <row r="91" spans="1:2" x14ac:dyDescent="0.25">
      <c r="A91" s="39" t="s">
        <v>396</v>
      </c>
      <c r="B91" s="40" t="s">
        <v>797</v>
      </c>
    </row>
    <row r="92" spans="1:2" x14ac:dyDescent="0.25">
      <c r="A92" s="39" t="s">
        <v>394</v>
      </c>
      <c r="B92" s="40" t="s">
        <v>795</v>
      </c>
    </row>
    <row r="93" spans="1:2" x14ac:dyDescent="0.25">
      <c r="A93" s="39" t="s">
        <v>393</v>
      </c>
      <c r="B93" s="40" t="s">
        <v>794</v>
      </c>
    </row>
    <row r="94" spans="1:2" x14ac:dyDescent="0.25">
      <c r="A94" s="39" t="s">
        <v>392</v>
      </c>
      <c r="B94" s="40" t="s">
        <v>793</v>
      </c>
    </row>
    <row r="95" spans="1:2" x14ac:dyDescent="0.25">
      <c r="A95" s="41" t="s">
        <v>229</v>
      </c>
      <c r="B95" s="40" t="s">
        <v>633</v>
      </c>
    </row>
    <row r="96" spans="1:2" x14ac:dyDescent="0.25">
      <c r="A96" s="39" t="s">
        <v>221</v>
      </c>
      <c r="B96" s="40" t="s">
        <v>625</v>
      </c>
    </row>
    <row r="97" spans="1:2" x14ac:dyDescent="0.25">
      <c r="A97" s="39" t="s">
        <v>216</v>
      </c>
      <c r="B97" s="40" t="s">
        <v>620</v>
      </c>
    </row>
    <row r="98" spans="1:2" x14ac:dyDescent="0.25">
      <c r="A98" s="39" t="s">
        <v>211</v>
      </c>
      <c r="B98" s="40" t="s">
        <v>615</v>
      </c>
    </row>
    <row r="99" spans="1:2" x14ac:dyDescent="0.25">
      <c r="A99" s="39" t="s">
        <v>206</v>
      </c>
      <c r="B99" s="40" t="s">
        <v>610</v>
      </c>
    </row>
    <row r="100" spans="1:2" x14ac:dyDescent="0.25">
      <c r="A100" s="39" t="s">
        <v>204</v>
      </c>
      <c r="B100" s="40" t="s">
        <v>608</v>
      </c>
    </row>
    <row r="101" spans="1:2" x14ac:dyDescent="0.25">
      <c r="A101" s="39" t="s">
        <v>200</v>
      </c>
      <c r="B101" s="40" t="s">
        <v>604</v>
      </c>
    </row>
    <row r="102" spans="1:2" x14ac:dyDescent="0.25">
      <c r="A102" s="39" t="s">
        <v>193</v>
      </c>
      <c r="B102" s="40" t="s">
        <v>597</v>
      </c>
    </row>
    <row r="103" spans="1:2" x14ac:dyDescent="0.25">
      <c r="A103" s="39" t="s">
        <v>188</v>
      </c>
      <c r="B103" s="40" t="s">
        <v>592</v>
      </c>
    </row>
    <row r="104" spans="1:2" x14ac:dyDescent="0.25">
      <c r="A104" s="39" t="s">
        <v>183</v>
      </c>
      <c r="B104" s="40" t="s">
        <v>587</v>
      </c>
    </row>
    <row r="105" spans="1:2" x14ac:dyDescent="0.25">
      <c r="A105" s="39" t="s">
        <v>178</v>
      </c>
      <c r="B105" s="40" t="s">
        <v>582</v>
      </c>
    </row>
    <row r="106" spans="1:2" x14ac:dyDescent="0.25">
      <c r="A106" s="39" t="s">
        <v>173</v>
      </c>
      <c r="B106" s="40" t="s">
        <v>577</v>
      </c>
    </row>
    <row r="107" spans="1:2" x14ac:dyDescent="0.25">
      <c r="A107" s="39" t="s">
        <v>168</v>
      </c>
      <c r="B107" s="40" t="s">
        <v>572</v>
      </c>
    </row>
    <row r="108" spans="1:2" x14ac:dyDescent="0.25">
      <c r="A108" s="39" t="s">
        <v>163</v>
      </c>
      <c r="B108" s="40" t="s">
        <v>567</v>
      </c>
    </row>
    <row r="109" spans="1:2" x14ac:dyDescent="0.25">
      <c r="A109" s="39" t="s">
        <v>158</v>
      </c>
      <c r="B109" s="40" t="s">
        <v>562</v>
      </c>
    </row>
    <row r="110" spans="1:2" x14ac:dyDescent="0.25">
      <c r="A110" s="39" t="s">
        <v>153</v>
      </c>
      <c r="B110" s="40" t="s">
        <v>557</v>
      </c>
    </row>
    <row r="111" spans="1:2" x14ac:dyDescent="0.25">
      <c r="A111" s="39" t="s">
        <v>148</v>
      </c>
      <c r="B111" s="40" t="s">
        <v>552</v>
      </c>
    </row>
    <row r="112" spans="1:2" x14ac:dyDescent="0.25">
      <c r="A112" s="39" t="s">
        <v>143</v>
      </c>
      <c r="B112" s="40" t="s">
        <v>547</v>
      </c>
    </row>
    <row r="113" spans="1:2" x14ac:dyDescent="0.25">
      <c r="A113" s="39" t="s">
        <v>138</v>
      </c>
      <c r="B113" s="40" t="s">
        <v>542</v>
      </c>
    </row>
    <row r="114" spans="1:2" x14ac:dyDescent="0.25">
      <c r="A114" s="39" t="s">
        <v>133</v>
      </c>
      <c r="B114" s="40" t="s">
        <v>537</v>
      </c>
    </row>
    <row r="115" spans="1:2" x14ac:dyDescent="0.25">
      <c r="A115" s="39" t="s">
        <v>128</v>
      </c>
      <c r="B115" s="40" t="s">
        <v>532</v>
      </c>
    </row>
    <row r="116" spans="1:2" x14ac:dyDescent="0.25">
      <c r="A116" s="39" t="s">
        <v>117</v>
      </c>
      <c r="B116" s="40" t="s">
        <v>521</v>
      </c>
    </row>
    <row r="117" spans="1:2" x14ac:dyDescent="0.25">
      <c r="A117" s="39" t="s">
        <v>113</v>
      </c>
      <c r="B117" s="40" t="s">
        <v>517</v>
      </c>
    </row>
    <row r="118" spans="1:2" x14ac:dyDescent="0.25">
      <c r="A118" s="39" t="s">
        <v>108</v>
      </c>
      <c r="B118" s="40" t="s">
        <v>512</v>
      </c>
    </row>
    <row r="119" spans="1:2" x14ac:dyDescent="0.25">
      <c r="A119" s="39" t="s">
        <v>104</v>
      </c>
      <c r="B119" s="40" t="s">
        <v>508</v>
      </c>
    </row>
    <row r="120" spans="1:2" x14ac:dyDescent="0.25">
      <c r="A120" s="39" t="s">
        <v>100</v>
      </c>
      <c r="B120" s="40" t="s">
        <v>504</v>
      </c>
    </row>
    <row r="121" spans="1:2" x14ac:dyDescent="0.25">
      <c r="A121" s="39" t="s">
        <v>96</v>
      </c>
      <c r="B121" s="40" t="s">
        <v>500</v>
      </c>
    </row>
    <row r="122" spans="1:2" x14ac:dyDescent="0.25">
      <c r="A122" s="39" t="s">
        <v>93</v>
      </c>
      <c r="B122" s="40" t="s">
        <v>497</v>
      </c>
    </row>
    <row r="123" spans="1:2" x14ac:dyDescent="0.25">
      <c r="A123" s="39" t="s">
        <v>86</v>
      </c>
      <c r="B123" s="40" t="s">
        <v>490</v>
      </c>
    </row>
    <row r="124" spans="1:2" x14ac:dyDescent="0.25">
      <c r="A124" s="39" t="s">
        <v>82</v>
      </c>
      <c r="B124" s="40" t="s">
        <v>486</v>
      </c>
    </row>
    <row r="125" spans="1:2" x14ac:dyDescent="0.25">
      <c r="A125" s="39" t="s">
        <v>78</v>
      </c>
      <c r="B125" s="40" t="s">
        <v>482</v>
      </c>
    </row>
    <row r="126" spans="1:2" x14ac:dyDescent="0.25">
      <c r="A126" s="39" t="s">
        <v>238</v>
      </c>
      <c r="B126" s="40" t="s">
        <v>642</v>
      </c>
    </row>
    <row r="127" spans="1:2" x14ac:dyDescent="0.25">
      <c r="A127" s="39" t="s">
        <v>233</v>
      </c>
      <c r="B127" s="40" t="s">
        <v>637</v>
      </c>
    </row>
    <row r="128" spans="1:2" x14ac:dyDescent="0.25">
      <c r="A128" s="39" t="s">
        <v>269</v>
      </c>
      <c r="B128" s="40" t="s">
        <v>673</v>
      </c>
    </row>
    <row r="129" spans="1:2" x14ac:dyDescent="0.25">
      <c r="A129" s="39" t="s">
        <v>265</v>
      </c>
      <c r="B129" s="40" t="s">
        <v>669</v>
      </c>
    </row>
    <row r="130" spans="1:2" x14ac:dyDescent="0.25">
      <c r="A130" s="39" t="s">
        <v>258</v>
      </c>
      <c r="B130" s="40" t="s">
        <v>662</v>
      </c>
    </row>
    <row r="131" spans="1:2" x14ac:dyDescent="0.25">
      <c r="A131" s="39" t="s">
        <v>253</v>
      </c>
      <c r="B131" s="40" t="s">
        <v>657</v>
      </c>
    </row>
    <row r="132" spans="1:2" x14ac:dyDescent="0.25">
      <c r="A132" s="39" t="s">
        <v>248</v>
      </c>
      <c r="B132" s="40" t="s">
        <v>652</v>
      </c>
    </row>
    <row r="133" spans="1:2" x14ac:dyDescent="0.25">
      <c r="A133" s="39" t="s">
        <v>243</v>
      </c>
      <c r="B133" s="40" t="s">
        <v>647</v>
      </c>
    </row>
    <row r="134" spans="1:2" x14ac:dyDescent="0.25">
      <c r="A134" s="39" t="s">
        <v>314</v>
      </c>
      <c r="B134" s="40" t="s">
        <v>717</v>
      </c>
    </row>
    <row r="135" spans="1:2" x14ac:dyDescent="0.25">
      <c r="A135" s="39" t="s">
        <v>311</v>
      </c>
      <c r="B135" s="40" t="s">
        <v>714</v>
      </c>
    </row>
    <row r="136" spans="1:2" x14ac:dyDescent="0.25">
      <c r="A136" s="39" t="s">
        <v>313</v>
      </c>
      <c r="B136" s="40" t="s">
        <v>716</v>
      </c>
    </row>
    <row r="137" spans="1:2" x14ac:dyDescent="0.25">
      <c r="A137" s="39" t="s">
        <v>312</v>
      </c>
      <c r="B137" s="40" t="s">
        <v>715</v>
      </c>
    </row>
    <row r="138" spans="1:2" x14ac:dyDescent="0.25">
      <c r="A138" s="39" t="s">
        <v>309</v>
      </c>
      <c r="B138" s="40" t="s">
        <v>712</v>
      </c>
    </row>
    <row r="139" spans="1:2" x14ac:dyDescent="0.25">
      <c r="A139" s="39" t="s">
        <v>308</v>
      </c>
      <c r="B139" s="40" t="s">
        <v>711</v>
      </c>
    </row>
    <row r="140" spans="1:2" x14ac:dyDescent="0.25">
      <c r="A140" s="39" t="s">
        <v>310</v>
      </c>
      <c r="B140" s="40" t="s">
        <v>713</v>
      </c>
    </row>
    <row r="141" spans="1:2" x14ac:dyDescent="0.25">
      <c r="A141" s="39" t="s">
        <v>325</v>
      </c>
      <c r="B141" s="40" t="s">
        <v>728</v>
      </c>
    </row>
    <row r="142" spans="1:2" x14ac:dyDescent="0.25">
      <c r="A142" s="39" t="s">
        <v>324</v>
      </c>
      <c r="B142" s="40" t="s">
        <v>727</v>
      </c>
    </row>
    <row r="143" spans="1:2" x14ac:dyDescent="0.25">
      <c r="A143" s="39" t="s">
        <v>323</v>
      </c>
      <c r="B143" s="40" t="s">
        <v>726</v>
      </c>
    </row>
    <row r="144" spans="1:2" x14ac:dyDescent="0.25">
      <c r="A144" s="39" t="s">
        <v>322</v>
      </c>
      <c r="B144" s="40" t="s">
        <v>725</v>
      </c>
    </row>
    <row r="145" spans="1:2" x14ac:dyDescent="0.25">
      <c r="A145" s="39" t="s">
        <v>363</v>
      </c>
      <c r="B145" s="40" t="s">
        <v>765</v>
      </c>
    </row>
    <row r="146" spans="1:2" x14ac:dyDescent="0.25">
      <c r="A146" s="39" t="s">
        <v>880</v>
      </c>
      <c r="B146" s="40" t="s">
        <v>885</v>
      </c>
    </row>
    <row r="147" spans="1:2" x14ac:dyDescent="0.25">
      <c r="A147" s="39" t="s">
        <v>389</v>
      </c>
      <c r="B147" s="40" t="s">
        <v>790</v>
      </c>
    </row>
    <row r="148" spans="1:2" x14ac:dyDescent="0.25">
      <c r="A148" s="39" t="s">
        <v>375</v>
      </c>
      <c r="B148" s="40" t="s">
        <v>776</v>
      </c>
    </row>
    <row r="149" spans="1:2" x14ac:dyDescent="0.25">
      <c r="A149" s="39" t="s">
        <v>388</v>
      </c>
      <c r="B149" s="40" t="s">
        <v>789</v>
      </c>
    </row>
    <row r="150" spans="1:2" x14ac:dyDescent="0.25">
      <c r="A150" s="39" t="s">
        <v>387</v>
      </c>
      <c r="B150" s="40" t="s">
        <v>788</v>
      </c>
    </row>
    <row r="151" spans="1:2" x14ac:dyDescent="0.25">
      <c r="A151" s="39" t="s">
        <v>386</v>
      </c>
      <c r="B151" s="40" t="s">
        <v>787</v>
      </c>
    </row>
    <row r="152" spans="1:2" x14ac:dyDescent="0.25">
      <c r="A152" s="39" t="s">
        <v>385</v>
      </c>
      <c r="B152" s="40" t="s">
        <v>786</v>
      </c>
    </row>
    <row r="153" spans="1:2" x14ac:dyDescent="0.25">
      <c r="A153" s="39" t="s">
        <v>384</v>
      </c>
      <c r="B153" s="40" t="s">
        <v>785</v>
      </c>
    </row>
    <row r="154" spans="1:2" x14ac:dyDescent="0.25">
      <c r="A154" s="39" t="s">
        <v>383</v>
      </c>
      <c r="B154" s="40" t="s">
        <v>784</v>
      </c>
    </row>
    <row r="155" spans="1:2" x14ac:dyDescent="0.25">
      <c r="A155" s="39" t="s">
        <v>382</v>
      </c>
      <c r="B155" s="40" t="s">
        <v>783</v>
      </c>
    </row>
    <row r="156" spans="1:2" x14ac:dyDescent="0.25">
      <c r="A156" s="39" t="s">
        <v>376</v>
      </c>
      <c r="B156" s="40" t="s">
        <v>777</v>
      </c>
    </row>
    <row r="157" spans="1:2" x14ac:dyDescent="0.25">
      <c r="A157" s="39" t="s">
        <v>381</v>
      </c>
      <c r="B157" s="40" t="s">
        <v>782</v>
      </c>
    </row>
    <row r="158" spans="1:2" x14ac:dyDescent="0.25">
      <c r="A158" s="39" t="s">
        <v>380</v>
      </c>
      <c r="B158" s="40" t="s">
        <v>781</v>
      </c>
    </row>
    <row r="159" spans="1:2" x14ac:dyDescent="0.25">
      <c r="A159" s="39" t="s">
        <v>379</v>
      </c>
      <c r="B159" s="40" t="s">
        <v>780</v>
      </c>
    </row>
    <row r="160" spans="1:2" x14ac:dyDescent="0.25">
      <c r="A160" s="39" t="s">
        <v>378</v>
      </c>
      <c r="B160" s="40" t="s">
        <v>779</v>
      </c>
    </row>
    <row r="161" spans="1:2" x14ac:dyDescent="0.25">
      <c r="A161" s="39" t="s">
        <v>377</v>
      </c>
      <c r="B161" s="40" t="s">
        <v>778</v>
      </c>
    </row>
    <row r="162" spans="1:2" x14ac:dyDescent="0.25">
      <c r="A162" s="39" t="s">
        <v>374</v>
      </c>
      <c r="B162" s="40" t="s">
        <v>775</v>
      </c>
    </row>
    <row r="163" spans="1:2" x14ac:dyDescent="0.25">
      <c r="A163" s="39" t="s">
        <v>373</v>
      </c>
      <c r="B163" s="40" t="s">
        <v>774</v>
      </c>
    </row>
    <row r="164" spans="1:2" x14ac:dyDescent="0.25">
      <c r="A164" s="39" t="s">
        <v>372</v>
      </c>
      <c r="B164" s="40" t="s">
        <v>773</v>
      </c>
    </row>
    <row r="165" spans="1:2" x14ac:dyDescent="0.25">
      <c r="A165" s="39" t="s">
        <v>371</v>
      </c>
      <c r="B165" s="40" t="s">
        <v>772</v>
      </c>
    </row>
    <row r="166" spans="1:2" x14ac:dyDescent="0.25">
      <c r="A166" s="39" t="s">
        <v>370</v>
      </c>
      <c r="B166" s="40" t="s">
        <v>771</v>
      </c>
    </row>
    <row r="167" spans="1:2" x14ac:dyDescent="0.25">
      <c r="A167" s="39" t="s">
        <v>369</v>
      </c>
      <c r="B167" s="40" t="s">
        <v>770</v>
      </c>
    </row>
    <row r="168" spans="1:2" x14ac:dyDescent="0.25">
      <c r="A168" s="39" t="s">
        <v>368</v>
      </c>
      <c r="B168" s="40" t="s">
        <v>769</v>
      </c>
    </row>
    <row r="169" spans="1:2" x14ac:dyDescent="0.25">
      <c r="A169" s="39" t="s">
        <v>367</v>
      </c>
      <c r="B169" s="40" t="s">
        <v>768</v>
      </c>
    </row>
    <row r="170" spans="1:2" x14ac:dyDescent="0.25">
      <c r="A170" s="39" t="s">
        <v>366</v>
      </c>
      <c r="B170" s="40" t="s">
        <v>767</v>
      </c>
    </row>
    <row r="171" spans="1:2" x14ac:dyDescent="0.25">
      <c r="A171" s="39" t="s">
        <v>365</v>
      </c>
      <c r="B171" s="40" t="s">
        <v>766</v>
      </c>
    </row>
    <row r="172" spans="1:2" x14ac:dyDescent="0.25">
      <c r="A172" s="39" t="s">
        <v>230</v>
      </c>
      <c r="B172" s="40" t="s">
        <v>634</v>
      </c>
    </row>
    <row r="173" spans="1:2" x14ac:dyDescent="0.25">
      <c r="A173" s="39" t="s">
        <v>226</v>
      </c>
      <c r="B173" s="40" t="s">
        <v>630</v>
      </c>
    </row>
    <row r="174" spans="1:2" x14ac:dyDescent="0.25">
      <c r="A174" s="39" t="s">
        <v>222</v>
      </c>
      <c r="B174" s="40" t="s">
        <v>626</v>
      </c>
    </row>
    <row r="175" spans="1:2" x14ac:dyDescent="0.25">
      <c r="A175" s="39" t="s">
        <v>217</v>
      </c>
      <c r="B175" s="40" t="s">
        <v>621</v>
      </c>
    </row>
    <row r="176" spans="1:2" x14ac:dyDescent="0.25">
      <c r="A176" s="39" t="s">
        <v>212</v>
      </c>
      <c r="B176" s="40" t="s">
        <v>616</v>
      </c>
    </row>
    <row r="177" spans="1:2" x14ac:dyDescent="0.25">
      <c r="A177" s="39" t="s">
        <v>207</v>
      </c>
      <c r="B177" s="40" t="s">
        <v>611</v>
      </c>
    </row>
    <row r="178" spans="1:2" x14ac:dyDescent="0.25">
      <c r="A178" s="39" t="s">
        <v>126</v>
      </c>
      <c r="B178" s="40" t="s">
        <v>530</v>
      </c>
    </row>
    <row r="179" spans="1:2" x14ac:dyDescent="0.25">
      <c r="A179" s="39" t="s">
        <v>201</v>
      </c>
      <c r="B179" s="40" t="s">
        <v>605</v>
      </c>
    </row>
    <row r="180" spans="1:2" x14ac:dyDescent="0.25">
      <c r="A180" s="39" t="s">
        <v>197</v>
      </c>
      <c r="B180" s="40" t="s">
        <v>601</v>
      </c>
    </row>
    <row r="181" spans="1:2" x14ac:dyDescent="0.25">
      <c r="A181" s="39" t="s">
        <v>194</v>
      </c>
      <c r="B181" s="40" t="s">
        <v>598</v>
      </c>
    </row>
    <row r="182" spans="1:2" x14ac:dyDescent="0.25">
      <c r="A182" s="39" t="s">
        <v>189</v>
      </c>
      <c r="B182" s="40" t="s">
        <v>593</v>
      </c>
    </row>
    <row r="183" spans="1:2" x14ac:dyDescent="0.25">
      <c r="A183" s="39" t="s">
        <v>184</v>
      </c>
      <c r="B183" s="40" t="s">
        <v>588</v>
      </c>
    </row>
    <row r="184" spans="1:2" x14ac:dyDescent="0.25">
      <c r="A184" s="39" t="s">
        <v>179</v>
      </c>
      <c r="B184" s="40" t="s">
        <v>583</v>
      </c>
    </row>
    <row r="185" spans="1:2" x14ac:dyDescent="0.25">
      <c r="A185" s="39" t="s">
        <v>174</v>
      </c>
      <c r="B185" s="40" t="s">
        <v>578</v>
      </c>
    </row>
    <row r="186" spans="1:2" x14ac:dyDescent="0.25">
      <c r="A186" s="39" t="s">
        <v>169</v>
      </c>
      <c r="B186" s="40" t="s">
        <v>573</v>
      </c>
    </row>
    <row r="187" spans="1:2" x14ac:dyDescent="0.25">
      <c r="A187" s="39" t="s">
        <v>164</v>
      </c>
      <c r="B187" s="40" t="s">
        <v>568</v>
      </c>
    </row>
    <row r="188" spans="1:2" x14ac:dyDescent="0.25">
      <c r="A188" s="39" t="s">
        <v>159</v>
      </c>
      <c r="B188" s="40" t="s">
        <v>563</v>
      </c>
    </row>
    <row r="189" spans="1:2" x14ac:dyDescent="0.25">
      <c r="A189" s="39" t="s">
        <v>154</v>
      </c>
      <c r="B189" s="40" t="s">
        <v>558</v>
      </c>
    </row>
    <row r="190" spans="1:2" x14ac:dyDescent="0.25">
      <c r="A190" s="39" t="s">
        <v>149</v>
      </c>
      <c r="B190" s="40" t="s">
        <v>553</v>
      </c>
    </row>
    <row r="191" spans="1:2" x14ac:dyDescent="0.25">
      <c r="A191" s="41" t="s">
        <v>144</v>
      </c>
      <c r="B191" s="40" t="s">
        <v>548</v>
      </c>
    </row>
    <row r="192" spans="1:2" x14ac:dyDescent="0.25">
      <c r="A192" s="39" t="s">
        <v>139</v>
      </c>
      <c r="B192" s="40" t="s">
        <v>543</v>
      </c>
    </row>
    <row r="193" spans="1:2" x14ac:dyDescent="0.25">
      <c r="A193" s="39" t="s">
        <v>134</v>
      </c>
      <c r="B193" s="40" t="s">
        <v>538</v>
      </c>
    </row>
    <row r="194" spans="1:2" x14ac:dyDescent="0.25">
      <c r="A194" s="39" t="s">
        <v>129</v>
      </c>
      <c r="B194" s="40" t="s">
        <v>533</v>
      </c>
    </row>
    <row r="195" spans="1:2" x14ac:dyDescent="0.25">
      <c r="A195" s="39" t="s">
        <v>122</v>
      </c>
      <c r="B195" s="40" t="s">
        <v>526</v>
      </c>
    </row>
    <row r="196" spans="1:2" x14ac:dyDescent="0.25">
      <c r="A196" s="39" t="s">
        <v>118</v>
      </c>
      <c r="B196" s="40" t="s">
        <v>522</v>
      </c>
    </row>
    <row r="197" spans="1:2" x14ac:dyDescent="0.25">
      <c r="A197" s="39" t="s">
        <v>109</v>
      </c>
      <c r="B197" s="40" t="s">
        <v>513</v>
      </c>
    </row>
    <row r="198" spans="1:2" x14ac:dyDescent="0.25">
      <c r="A198" s="39" t="s">
        <v>235</v>
      </c>
      <c r="B198" s="40" t="s">
        <v>639</v>
      </c>
    </row>
    <row r="199" spans="1:2" x14ac:dyDescent="0.25">
      <c r="A199" s="39" t="s">
        <v>271</v>
      </c>
      <c r="B199" s="40" t="s">
        <v>675</v>
      </c>
    </row>
    <row r="200" spans="1:2" x14ac:dyDescent="0.25">
      <c r="A200" s="39" t="s">
        <v>267</v>
      </c>
      <c r="B200" s="40" t="s">
        <v>671</v>
      </c>
    </row>
    <row r="201" spans="1:2" x14ac:dyDescent="0.25">
      <c r="A201" s="39" t="s">
        <v>262</v>
      </c>
      <c r="B201" s="40" t="s">
        <v>666</v>
      </c>
    </row>
    <row r="202" spans="1:2" x14ac:dyDescent="0.25">
      <c r="A202" s="39" t="s">
        <v>255</v>
      </c>
      <c r="B202" s="40" t="s">
        <v>659</v>
      </c>
    </row>
    <row r="203" spans="1:2" x14ac:dyDescent="0.25">
      <c r="A203" s="39" t="s">
        <v>249</v>
      </c>
      <c r="B203" s="40" t="s">
        <v>653</v>
      </c>
    </row>
    <row r="204" spans="1:2" x14ac:dyDescent="0.25">
      <c r="A204" s="39" t="s">
        <v>245</v>
      </c>
      <c r="B204" s="40" t="s">
        <v>649</v>
      </c>
    </row>
    <row r="205" spans="1:2" x14ac:dyDescent="0.25">
      <c r="A205" s="39" t="s">
        <v>275</v>
      </c>
      <c r="B205" s="40" t="s">
        <v>678</v>
      </c>
    </row>
    <row r="206" spans="1:2" x14ac:dyDescent="0.25">
      <c r="A206" s="39" t="s">
        <v>296</v>
      </c>
      <c r="B206" s="40" t="s">
        <v>699</v>
      </c>
    </row>
    <row r="207" spans="1:2" x14ac:dyDescent="0.25">
      <c r="A207" s="39" t="s">
        <v>295</v>
      </c>
      <c r="B207" s="40" t="s">
        <v>698</v>
      </c>
    </row>
    <row r="208" spans="1:2" x14ac:dyDescent="0.25">
      <c r="A208" s="39" t="s">
        <v>294</v>
      </c>
      <c r="B208" s="40" t="s">
        <v>697</v>
      </c>
    </row>
    <row r="209" spans="1:2" x14ac:dyDescent="0.25">
      <c r="A209" s="39" t="s">
        <v>293</v>
      </c>
      <c r="B209" s="40" t="s">
        <v>696</v>
      </c>
    </row>
    <row r="210" spans="1:2" x14ac:dyDescent="0.25">
      <c r="A210" s="39" t="s">
        <v>292</v>
      </c>
      <c r="B210" s="40" t="s">
        <v>695</v>
      </c>
    </row>
    <row r="211" spans="1:2" x14ac:dyDescent="0.25">
      <c r="A211" s="39" t="s">
        <v>291</v>
      </c>
      <c r="B211" s="40" t="s">
        <v>694</v>
      </c>
    </row>
    <row r="212" spans="1:2" x14ac:dyDescent="0.25">
      <c r="A212" s="39" t="s">
        <v>290</v>
      </c>
      <c r="B212" s="40" t="s">
        <v>693</v>
      </c>
    </row>
    <row r="213" spans="1:2" x14ac:dyDescent="0.25">
      <c r="A213" s="39" t="s">
        <v>327</v>
      </c>
      <c r="B213" s="40" t="s">
        <v>730</v>
      </c>
    </row>
    <row r="214" spans="1:2" x14ac:dyDescent="0.25">
      <c r="A214" s="39" t="s">
        <v>326</v>
      </c>
      <c r="B214" s="40" t="s">
        <v>729</v>
      </c>
    </row>
    <row r="215" spans="1:2" x14ac:dyDescent="0.25">
      <c r="A215" s="39" t="s">
        <v>337</v>
      </c>
      <c r="B215" s="40" t="s">
        <v>739</v>
      </c>
    </row>
    <row r="216" spans="1:2" x14ac:dyDescent="0.25">
      <c r="A216" s="39" t="s">
        <v>882</v>
      </c>
      <c r="B216" s="40" t="s">
        <v>887</v>
      </c>
    </row>
    <row r="217" spans="1:2" x14ac:dyDescent="0.25">
      <c r="A217" s="39" t="s">
        <v>360</v>
      </c>
      <c r="B217" s="40" t="s">
        <v>762</v>
      </c>
    </row>
    <row r="218" spans="1:2" x14ac:dyDescent="0.25">
      <c r="A218" s="39" t="s">
        <v>359</v>
      </c>
      <c r="B218" s="40" t="s">
        <v>761</v>
      </c>
    </row>
    <row r="219" spans="1:2" x14ac:dyDescent="0.25">
      <c r="A219" s="39" t="s">
        <v>361</v>
      </c>
      <c r="B219" s="40" t="s">
        <v>763</v>
      </c>
    </row>
    <row r="220" spans="1:2" x14ac:dyDescent="0.25">
      <c r="A220" s="39" t="s">
        <v>358</v>
      </c>
      <c r="B220" s="40" t="s">
        <v>760</v>
      </c>
    </row>
    <row r="221" spans="1:2" x14ac:dyDescent="0.25">
      <c r="A221" s="39" t="s">
        <v>362</v>
      </c>
      <c r="B221" s="40" t="s">
        <v>764</v>
      </c>
    </row>
    <row r="222" spans="1:2" x14ac:dyDescent="0.25">
      <c r="A222" s="39" t="s">
        <v>357</v>
      </c>
      <c r="B222" s="40" t="s">
        <v>759</v>
      </c>
    </row>
    <row r="223" spans="1:2" x14ac:dyDescent="0.25">
      <c r="A223" s="39" t="s">
        <v>356</v>
      </c>
      <c r="B223" s="40" t="s">
        <v>758</v>
      </c>
    </row>
    <row r="224" spans="1:2" x14ac:dyDescent="0.25">
      <c r="A224" s="39" t="s">
        <v>355</v>
      </c>
      <c r="B224" s="40" t="s">
        <v>757</v>
      </c>
    </row>
    <row r="225" spans="1:2" x14ac:dyDescent="0.25">
      <c r="A225" s="39" t="s">
        <v>354</v>
      </c>
      <c r="B225" s="40" t="s">
        <v>756</v>
      </c>
    </row>
    <row r="226" spans="1:2" x14ac:dyDescent="0.25">
      <c r="A226" s="39" t="s">
        <v>353</v>
      </c>
      <c r="B226" s="40" t="s">
        <v>755</v>
      </c>
    </row>
    <row r="227" spans="1:2" x14ac:dyDescent="0.25">
      <c r="A227" s="39" t="s">
        <v>352</v>
      </c>
      <c r="B227" s="40" t="s">
        <v>754</v>
      </c>
    </row>
    <row r="228" spans="1:2" x14ac:dyDescent="0.25">
      <c r="A228" s="39" t="s">
        <v>351</v>
      </c>
      <c r="B228" s="40" t="s">
        <v>753</v>
      </c>
    </row>
    <row r="229" spans="1:2" x14ac:dyDescent="0.25">
      <c r="A229" s="39" t="s">
        <v>350</v>
      </c>
      <c r="B229" s="40" t="s">
        <v>752</v>
      </c>
    </row>
    <row r="230" spans="1:2" x14ac:dyDescent="0.25">
      <c r="A230" s="39" t="s">
        <v>349</v>
      </c>
      <c r="B230" s="40" t="s">
        <v>751</v>
      </c>
    </row>
    <row r="231" spans="1:2" x14ac:dyDescent="0.25">
      <c r="A231" s="39" t="s">
        <v>348</v>
      </c>
      <c r="B231" s="40" t="s">
        <v>750</v>
      </c>
    </row>
    <row r="232" spans="1:2" x14ac:dyDescent="0.25">
      <c r="A232" s="39" t="s">
        <v>347</v>
      </c>
      <c r="B232" s="40" t="s">
        <v>749</v>
      </c>
    </row>
    <row r="233" spans="1:2" x14ac:dyDescent="0.25">
      <c r="A233" s="39" t="s">
        <v>346</v>
      </c>
      <c r="B233" s="40" t="s">
        <v>748</v>
      </c>
    </row>
    <row r="234" spans="1:2" x14ac:dyDescent="0.25">
      <c r="A234" s="39" t="s">
        <v>345</v>
      </c>
      <c r="B234" s="40" t="s">
        <v>747</v>
      </c>
    </row>
    <row r="235" spans="1:2" x14ac:dyDescent="0.25">
      <c r="A235" s="39" t="s">
        <v>344</v>
      </c>
      <c r="B235" s="40" t="s">
        <v>746</v>
      </c>
    </row>
    <row r="236" spans="1:2" x14ac:dyDescent="0.25">
      <c r="A236" s="39" t="s">
        <v>343</v>
      </c>
      <c r="B236" s="40" t="s">
        <v>745</v>
      </c>
    </row>
    <row r="237" spans="1:2" x14ac:dyDescent="0.25">
      <c r="A237" s="39" t="s">
        <v>342</v>
      </c>
      <c r="B237" s="40" t="s">
        <v>744</v>
      </c>
    </row>
    <row r="238" spans="1:2" x14ac:dyDescent="0.25">
      <c r="A238" s="39" t="s">
        <v>341</v>
      </c>
      <c r="B238" s="40" t="s">
        <v>743</v>
      </c>
    </row>
    <row r="239" spans="1:2" x14ac:dyDescent="0.25">
      <c r="A239" s="39" t="s">
        <v>340</v>
      </c>
      <c r="B239" s="40" t="s">
        <v>742</v>
      </c>
    </row>
    <row r="240" spans="1:2" x14ac:dyDescent="0.25">
      <c r="A240" s="39" t="s">
        <v>339</v>
      </c>
      <c r="B240" s="40" t="s">
        <v>741</v>
      </c>
    </row>
    <row r="241" spans="1:2" x14ac:dyDescent="0.25">
      <c r="A241" s="39" t="s">
        <v>338</v>
      </c>
      <c r="B241" s="40" t="s">
        <v>740</v>
      </c>
    </row>
    <row r="242" spans="1:2" x14ac:dyDescent="0.25">
      <c r="A242" s="39" t="s">
        <v>223</v>
      </c>
      <c r="B242" s="40" t="s">
        <v>627</v>
      </c>
    </row>
    <row r="243" spans="1:2" x14ac:dyDescent="0.25">
      <c r="A243" s="39" t="s">
        <v>218</v>
      </c>
      <c r="B243" s="40" t="s">
        <v>622</v>
      </c>
    </row>
    <row r="244" spans="1:2" x14ac:dyDescent="0.25">
      <c r="A244" s="39" t="s">
        <v>213</v>
      </c>
      <c r="B244" s="40" t="s">
        <v>617</v>
      </c>
    </row>
    <row r="245" spans="1:2" x14ac:dyDescent="0.25">
      <c r="A245" s="39" t="s">
        <v>208</v>
      </c>
      <c r="B245" s="40" t="s">
        <v>612</v>
      </c>
    </row>
    <row r="246" spans="1:2" x14ac:dyDescent="0.25">
      <c r="A246" s="39" t="s">
        <v>205</v>
      </c>
      <c r="B246" s="40" t="s">
        <v>609</v>
      </c>
    </row>
    <row r="247" spans="1:2" x14ac:dyDescent="0.25">
      <c r="A247" s="39" t="s">
        <v>202</v>
      </c>
      <c r="B247" s="40" t="s">
        <v>606</v>
      </c>
    </row>
    <row r="248" spans="1:2" x14ac:dyDescent="0.25">
      <c r="A248" s="39" t="s">
        <v>195</v>
      </c>
      <c r="B248" s="40" t="s">
        <v>599</v>
      </c>
    </row>
    <row r="249" spans="1:2" x14ac:dyDescent="0.25">
      <c r="A249" s="39" t="s">
        <v>190</v>
      </c>
      <c r="B249" s="40" t="s">
        <v>594</v>
      </c>
    </row>
    <row r="250" spans="1:2" x14ac:dyDescent="0.25">
      <c r="A250" s="39" t="s">
        <v>185</v>
      </c>
      <c r="B250" s="40" t="s">
        <v>589</v>
      </c>
    </row>
    <row r="251" spans="1:2" x14ac:dyDescent="0.25">
      <c r="A251" s="39" t="s">
        <v>180</v>
      </c>
      <c r="B251" s="40" t="s">
        <v>584</v>
      </c>
    </row>
    <row r="252" spans="1:2" x14ac:dyDescent="0.25">
      <c r="A252" s="39" t="s">
        <v>175</v>
      </c>
      <c r="B252" s="40" t="s">
        <v>579</v>
      </c>
    </row>
    <row r="253" spans="1:2" x14ac:dyDescent="0.25">
      <c r="A253" s="39" t="s">
        <v>170</v>
      </c>
      <c r="B253" s="40" t="s">
        <v>574</v>
      </c>
    </row>
    <row r="254" spans="1:2" x14ac:dyDescent="0.25">
      <c r="A254" s="39" t="s">
        <v>165</v>
      </c>
      <c r="B254" s="40" t="s">
        <v>569</v>
      </c>
    </row>
    <row r="255" spans="1:2" x14ac:dyDescent="0.25">
      <c r="A255" s="39" t="s">
        <v>160</v>
      </c>
      <c r="B255" s="40" t="s">
        <v>564</v>
      </c>
    </row>
    <row r="256" spans="1:2" x14ac:dyDescent="0.25">
      <c r="A256" s="39" t="s">
        <v>155</v>
      </c>
      <c r="B256" s="40" t="s">
        <v>559</v>
      </c>
    </row>
    <row r="257" spans="1:2" x14ac:dyDescent="0.25">
      <c r="A257" s="39" t="s">
        <v>150</v>
      </c>
      <c r="B257" s="40" t="s">
        <v>554</v>
      </c>
    </row>
    <row r="258" spans="1:2" x14ac:dyDescent="0.25">
      <c r="A258" s="39" t="s">
        <v>145</v>
      </c>
      <c r="B258" s="40" t="s">
        <v>549</v>
      </c>
    </row>
    <row r="259" spans="1:2" x14ac:dyDescent="0.25">
      <c r="A259" s="39" t="s">
        <v>140</v>
      </c>
      <c r="B259" s="40" t="s">
        <v>544</v>
      </c>
    </row>
    <row r="260" spans="1:2" x14ac:dyDescent="0.25">
      <c r="A260" s="39" t="s">
        <v>135</v>
      </c>
      <c r="B260" s="40" t="s">
        <v>539</v>
      </c>
    </row>
    <row r="261" spans="1:2" x14ac:dyDescent="0.25">
      <c r="A261" s="39" t="s">
        <v>130</v>
      </c>
      <c r="B261" s="40" t="s">
        <v>534</v>
      </c>
    </row>
    <row r="262" spans="1:2" x14ac:dyDescent="0.25">
      <c r="A262" s="39" t="s">
        <v>123</v>
      </c>
      <c r="B262" s="40" t="s">
        <v>527</v>
      </c>
    </row>
    <row r="263" spans="1:2" x14ac:dyDescent="0.25">
      <c r="A263" s="39" t="s">
        <v>119</v>
      </c>
      <c r="B263" s="40" t="s">
        <v>523</v>
      </c>
    </row>
    <row r="264" spans="1:2" x14ac:dyDescent="0.25">
      <c r="A264" s="39" t="s">
        <v>114</v>
      </c>
      <c r="B264" s="40" t="s">
        <v>518</v>
      </c>
    </row>
    <row r="265" spans="1:2" x14ac:dyDescent="0.25">
      <c r="A265" s="39" t="s">
        <v>110</v>
      </c>
      <c r="B265" s="40" t="s">
        <v>514</v>
      </c>
    </row>
    <row r="266" spans="1:2" x14ac:dyDescent="0.25">
      <c r="A266" s="39" t="s">
        <v>105</v>
      </c>
      <c r="B266" s="40" t="s">
        <v>509</v>
      </c>
    </row>
    <row r="267" spans="1:2" x14ac:dyDescent="0.25">
      <c r="A267" s="39" t="s">
        <v>101</v>
      </c>
      <c r="B267" s="40" t="s">
        <v>505</v>
      </c>
    </row>
    <row r="268" spans="1:2" x14ac:dyDescent="0.25">
      <c r="A268" s="39" t="s">
        <v>98</v>
      </c>
      <c r="B268" s="40" t="s">
        <v>502</v>
      </c>
    </row>
    <row r="269" spans="1:2" x14ac:dyDescent="0.25">
      <c r="A269" s="39" t="s">
        <v>92</v>
      </c>
      <c r="B269" s="40" t="s">
        <v>496</v>
      </c>
    </row>
    <row r="270" spans="1:2" x14ac:dyDescent="0.25">
      <c r="A270" s="39" t="s">
        <v>88</v>
      </c>
      <c r="B270" s="40" t="s">
        <v>492</v>
      </c>
    </row>
    <row r="271" spans="1:2" x14ac:dyDescent="0.25">
      <c r="A271" s="39" t="s">
        <v>87</v>
      </c>
      <c r="B271" s="40" t="s">
        <v>491</v>
      </c>
    </row>
    <row r="272" spans="1:2" x14ac:dyDescent="0.25">
      <c r="A272" s="39" t="s">
        <v>83</v>
      </c>
      <c r="B272" s="40" t="s">
        <v>487</v>
      </c>
    </row>
    <row r="273" spans="1:2" x14ac:dyDescent="0.25">
      <c r="A273" s="39" t="s">
        <v>79</v>
      </c>
      <c r="B273" s="40" t="s">
        <v>483</v>
      </c>
    </row>
    <row r="274" spans="1:2" x14ac:dyDescent="0.25">
      <c r="A274" s="39" t="s">
        <v>239</v>
      </c>
      <c r="B274" s="40" t="s">
        <v>643</v>
      </c>
    </row>
    <row r="275" spans="1:2" x14ac:dyDescent="0.25">
      <c r="A275" s="39" t="s">
        <v>234</v>
      </c>
      <c r="B275" s="40" t="s">
        <v>638</v>
      </c>
    </row>
    <row r="276" spans="1:2" x14ac:dyDescent="0.25">
      <c r="A276" s="39" t="s">
        <v>268</v>
      </c>
      <c r="B276" s="40" t="s">
        <v>672</v>
      </c>
    </row>
    <row r="277" spans="1:2" x14ac:dyDescent="0.25">
      <c r="A277" s="39" t="s">
        <v>266</v>
      </c>
      <c r="B277" s="40" t="s">
        <v>670</v>
      </c>
    </row>
    <row r="278" spans="1:2" x14ac:dyDescent="0.25">
      <c r="A278" s="39" t="s">
        <v>256</v>
      </c>
      <c r="B278" s="40" t="s">
        <v>660</v>
      </c>
    </row>
    <row r="279" spans="1:2" x14ac:dyDescent="0.25">
      <c r="A279" s="39" t="s">
        <v>254</v>
      </c>
      <c r="B279" s="40" t="s">
        <v>658</v>
      </c>
    </row>
    <row r="280" spans="1:2" x14ac:dyDescent="0.25">
      <c r="A280" s="39" t="s">
        <v>246</v>
      </c>
      <c r="B280" s="40" t="s">
        <v>650</v>
      </c>
    </row>
    <row r="281" spans="1:2" x14ac:dyDescent="0.25">
      <c r="A281" s="39" t="s">
        <v>242</v>
      </c>
      <c r="B281" s="40" t="s">
        <v>646</v>
      </c>
    </row>
    <row r="282" spans="1:2" x14ac:dyDescent="0.25">
      <c r="A282" s="39" t="s">
        <v>272</v>
      </c>
      <c r="B282" s="40" t="s">
        <v>676</v>
      </c>
    </row>
    <row r="283" spans="1:2" x14ac:dyDescent="0.25">
      <c r="A283" s="39" t="s">
        <v>273</v>
      </c>
      <c r="B283" s="40" t="s">
        <v>676</v>
      </c>
    </row>
    <row r="284" spans="1:2" x14ac:dyDescent="0.25">
      <c r="A284" s="39" t="s">
        <v>289</v>
      </c>
      <c r="B284" s="40" t="s">
        <v>692</v>
      </c>
    </row>
    <row r="285" spans="1:2" x14ac:dyDescent="0.25">
      <c r="A285" s="39" t="s">
        <v>285</v>
      </c>
      <c r="B285" s="40" t="s">
        <v>688</v>
      </c>
    </row>
    <row r="286" spans="1:2" x14ac:dyDescent="0.25">
      <c r="A286" s="39" t="s">
        <v>288</v>
      </c>
      <c r="B286" s="40" t="s">
        <v>691</v>
      </c>
    </row>
    <row r="287" spans="1:2" x14ac:dyDescent="0.25">
      <c r="A287" s="39" t="s">
        <v>287</v>
      </c>
      <c r="B287" s="40" t="s">
        <v>690</v>
      </c>
    </row>
    <row r="288" spans="1:2" x14ac:dyDescent="0.25">
      <c r="A288" s="39" t="s">
        <v>286</v>
      </c>
      <c r="B288" s="40" t="s">
        <v>689</v>
      </c>
    </row>
    <row r="289" spans="1:2" x14ac:dyDescent="0.25">
      <c r="A289" s="39" t="s">
        <v>284</v>
      </c>
      <c r="B289" s="40" t="s">
        <v>687</v>
      </c>
    </row>
    <row r="290" spans="1:2" x14ac:dyDescent="0.25">
      <c r="A290" s="39" t="s">
        <v>283</v>
      </c>
      <c r="B290" s="40" t="s">
        <v>686</v>
      </c>
    </row>
    <row r="291" spans="1:2" x14ac:dyDescent="0.25">
      <c r="A291" s="39" t="s">
        <v>331</v>
      </c>
      <c r="B291" s="40" t="s">
        <v>734</v>
      </c>
    </row>
    <row r="292" spans="1:2" x14ac:dyDescent="0.25">
      <c r="A292" s="39" t="s">
        <v>330</v>
      </c>
      <c r="B292" s="40" t="s">
        <v>733</v>
      </c>
    </row>
    <row r="293" spans="1:2" x14ac:dyDescent="0.25">
      <c r="A293" s="39" t="s">
        <v>329</v>
      </c>
      <c r="B293" s="40" t="s">
        <v>732</v>
      </c>
    </row>
    <row r="294" spans="1:2" x14ac:dyDescent="0.25">
      <c r="A294" s="39" t="s">
        <v>328</v>
      </c>
      <c r="B294" s="40" t="s">
        <v>731</v>
      </c>
    </row>
    <row r="295" spans="1:2" x14ac:dyDescent="0.25">
      <c r="A295" s="39" t="s">
        <v>443</v>
      </c>
      <c r="B295" s="40" t="s">
        <v>844</v>
      </c>
    </row>
    <row r="296" spans="1:2" x14ac:dyDescent="0.25">
      <c r="A296" s="39" t="s">
        <v>879</v>
      </c>
      <c r="B296" s="40" t="s">
        <v>884</v>
      </c>
    </row>
    <row r="297" spans="1:2" x14ac:dyDescent="0.25">
      <c r="A297" s="39" t="s">
        <v>469</v>
      </c>
      <c r="B297" s="40" t="s">
        <v>870</v>
      </c>
    </row>
    <row r="298" spans="1:2" x14ac:dyDescent="0.25">
      <c r="A298" s="39" t="s">
        <v>463</v>
      </c>
      <c r="B298" s="40" t="s">
        <v>864</v>
      </c>
    </row>
    <row r="299" spans="1:2" x14ac:dyDescent="0.25">
      <c r="A299" s="39" t="s">
        <v>468</v>
      </c>
      <c r="B299" s="40" t="s">
        <v>869</v>
      </c>
    </row>
    <row r="300" spans="1:2" x14ac:dyDescent="0.25">
      <c r="A300" s="39" t="s">
        <v>467</v>
      </c>
      <c r="B300" s="40" t="s">
        <v>868</v>
      </c>
    </row>
    <row r="301" spans="1:2" x14ac:dyDescent="0.25">
      <c r="A301" s="39" t="s">
        <v>465</v>
      </c>
      <c r="B301" s="40" t="s">
        <v>866</v>
      </c>
    </row>
    <row r="302" spans="1:2" x14ac:dyDescent="0.25">
      <c r="A302" s="41" t="s">
        <v>464</v>
      </c>
      <c r="B302" s="40" t="s">
        <v>865</v>
      </c>
    </row>
    <row r="303" spans="1:2" x14ac:dyDescent="0.25">
      <c r="A303" s="39" t="s">
        <v>462</v>
      </c>
      <c r="B303" s="40" t="s">
        <v>863</v>
      </c>
    </row>
    <row r="304" spans="1:2" x14ac:dyDescent="0.25">
      <c r="A304" s="39" t="s">
        <v>461</v>
      </c>
      <c r="B304" s="40" t="s">
        <v>862</v>
      </c>
    </row>
    <row r="305" spans="1:2" x14ac:dyDescent="0.25">
      <c r="A305" s="39" t="s">
        <v>460</v>
      </c>
      <c r="B305" s="40" t="s">
        <v>861</v>
      </c>
    </row>
    <row r="306" spans="1:2" x14ac:dyDescent="0.25">
      <c r="A306" s="39" t="s">
        <v>451</v>
      </c>
      <c r="B306" s="40" t="s">
        <v>852</v>
      </c>
    </row>
    <row r="307" spans="1:2" x14ac:dyDescent="0.25">
      <c r="A307" s="39" t="s">
        <v>459</v>
      </c>
      <c r="B307" s="40" t="s">
        <v>860</v>
      </c>
    </row>
    <row r="308" spans="1:2" x14ac:dyDescent="0.25">
      <c r="A308" s="39" t="s">
        <v>458</v>
      </c>
      <c r="B308" s="40" t="s">
        <v>859</v>
      </c>
    </row>
    <row r="309" spans="1:2" x14ac:dyDescent="0.25">
      <c r="A309" s="39" t="s">
        <v>457</v>
      </c>
      <c r="B309" s="40" t="s">
        <v>858</v>
      </c>
    </row>
    <row r="310" spans="1:2" x14ac:dyDescent="0.25">
      <c r="A310" s="39" t="s">
        <v>456</v>
      </c>
      <c r="B310" s="40" t="s">
        <v>857</v>
      </c>
    </row>
    <row r="311" spans="1:2" x14ac:dyDescent="0.25">
      <c r="A311" s="39" t="s">
        <v>455</v>
      </c>
      <c r="B311" s="40" t="s">
        <v>856</v>
      </c>
    </row>
    <row r="312" spans="1:2" x14ac:dyDescent="0.25">
      <c r="A312" s="39" t="s">
        <v>454</v>
      </c>
      <c r="B312" s="40" t="s">
        <v>855</v>
      </c>
    </row>
    <row r="313" spans="1:2" x14ac:dyDescent="0.25">
      <c r="A313" s="39" t="s">
        <v>453</v>
      </c>
      <c r="B313" s="40" t="s">
        <v>854</v>
      </c>
    </row>
    <row r="314" spans="1:2" x14ac:dyDescent="0.25">
      <c r="A314" s="39" t="s">
        <v>444</v>
      </c>
      <c r="B314" s="40" t="s">
        <v>845</v>
      </c>
    </row>
    <row r="315" spans="1:2" x14ac:dyDescent="0.25">
      <c r="A315" s="39" t="s">
        <v>452</v>
      </c>
      <c r="B315" s="40" t="s">
        <v>853</v>
      </c>
    </row>
    <row r="316" spans="1:2" x14ac:dyDescent="0.25">
      <c r="A316" s="39" t="s">
        <v>450</v>
      </c>
      <c r="B316" s="40" t="s">
        <v>851</v>
      </c>
    </row>
    <row r="317" spans="1:2" x14ac:dyDescent="0.25">
      <c r="A317" s="39" t="s">
        <v>449</v>
      </c>
      <c r="B317" s="40" t="s">
        <v>850</v>
      </c>
    </row>
    <row r="318" spans="1:2" x14ac:dyDescent="0.25">
      <c r="A318" s="39" t="s">
        <v>448</v>
      </c>
      <c r="B318" s="40" t="s">
        <v>849</v>
      </c>
    </row>
    <row r="319" spans="1:2" x14ac:dyDescent="0.25">
      <c r="A319" s="39" t="s">
        <v>447</v>
      </c>
      <c r="B319" s="40" t="s">
        <v>848</v>
      </c>
    </row>
    <row r="320" spans="1:2" x14ac:dyDescent="0.25">
      <c r="A320" s="39" t="s">
        <v>446</v>
      </c>
      <c r="B320" s="40" t="s">
        <v>847</v>
      </c>
    </row>
    <row r="321" spans="1:2" x14ac:dyDescent="0.25">
      <c r="A321" s="39" t="s">
        <v>445</v>
      </c>
      <c r="B321" s="40" t="s">
        <v>846</v>
      </c>
    </row>
    <row r="322" spans="1:2" x14ac:dyDescent="0.25">
      <c r="A322" s="39" t="s">
        <v>231</v>
      </c>
      <c r="B322" s="40" t="s">
        <v>635</v>
      </c>
    </row>
    <row r="323" spans="1:2" x14ac:dyDescent="0.25">
      <c r="A323" s="39" t="s">
        <v>227</v>
      </c>
      <c r="B323" s="40" t="s">
        <v>631</v>
      </c>
    </row>
    <row r="324" spans="1:2" x14ac:dyDescent="0.25">
      <c r="A324" s="39" t="s">
        <v>224</v>
      </c>
      <c r="B324" s="40" t="s">
        <v>628</v>
      </c>
    </row>
    <row r="325" spans="1:2" x14ac:dyDescent="0.25">
      <c r="A325" s="39" t="s">
        <v>219</v>
      </c>
      <c r="B325" s="40" t="s">
        <v>623</v>
      </c>
    </row>
    <row r="326" spans="1:2" x14ac:dyDescent="0.25">
      <c r="A326" s="39" t="s">
        <v>214</v>
      </c>
      <c r="B326" s="40" t="s">
        <v>618</v>
      </c>
    </row>
    <row r="327" spans="1:2" x14ac:dyDescent="0.25">
      <c r="A327" s="39" t="s">
        <v>209</v>
      </c>
      <c r="B327" s="40" t="s">
        <v>613</v>
      </c>
    </row>
    <row r="328" spans="1:2" x14ac:dyDescent="0.25">
      <c r="A328" s="39" t="s">
        <v>124</v>
      </c>
      <c r="B328" s="40" t="s">
        <v>528</v>
      </c>
    </row>
    <row r="329" spans="1:2" x14ac:dyDescent="0.25">
      <c r="A329" s="39" t="s">
        <v>203</v>
      </c>
      <c r="B329" s="40" t="s">
        <v>607</v>
      </c>
    </row>
    <row r="330" spans="1:2" x14ac:dyDescent="0.25">
      <c r="A330" s="39" t="s">
        <v>198</v>
      </c>
      <c r="B330" s="40" t="s">
        <v>602</v>
      </c>
    </row>
    <row r="331" spans="1:2" x14ac:dyDescent="0.25">
      <c r="A331" s="39" t="s">
        <v>196</v>
      </c>
      <c r="B331" s="40" t="s">
        <v>600</v>
      </c>
    </row>
    <row r="332" spans="1:2" x14ac:dyDescent="0.25">
      <c r="A332" s="39" t="s">
        <v>191</v>
      </c>
      <c r="B332" s="40" t="s">
        <v>595</v>
      </c>
    </row>
    <row r="333" spans="1:2" x14ac:dyDescent="0.25">
      <c r="A333" s="39" t="s">
        <v>186</v>
      </c>
      <c r="B333" s="40" t="s">
        <v>590</v>
      </c>
    </row>
    <row r="334" spans="1:2" x14ac:dyDescent="0.25">
      <c r="A334" s="39" t="s">
        <v>181</v>
      </c>
      <c r="B334" s="40" t="s">
        <v>585</v>
      </c>
    </row>
    <row r="335" spans="1:2" x14ac:dyDescent="0.25">
      <c r="A335" s="39" t="s">
        <v>176</v>
      </c>
      <c r="B335" s="40" t="s">
        <v>580</v>
      </c>
    </row>
    <row r="336" spans="1:2" x14ac:dyDescent="0.25">
      <c r="A336" s="41" t="s">
        <v>171</v>
      </c>
      <c r="B336" s="40" t="s">
        <v>575</v>
      </c>
    </row>
    <row r="337" spans="1:2" x14ac:dyDescent="0.25">
      <c r="A337" s="39" t="s">
        <v>166</v>
      </c>
      <c r="B337" s="40" t="s">
        <v>570</v>
      </c>
    </row>
    <row r="338" spans="1:2" x14ac:dyDescent="0.25">
      <c r="A338" s="39" t="s">
        <v>161</v>
      </c>
      <c r="B338" s="40" t="s">
        <v>565</v>
      </c>
    </row>
    <row r="339" spans="1:2" x14ac:dyDescent="0.25">
      <c r="A339" s="39" t="s">
        <v>156</v>
      </c>
      <c r="B339" s="40" t="s">
        <v>560</v>
      </c>
    </row>
    <row r="340" spans="1:2" x14ac:dyDescent="0.25">
      <c r="A340" s="39" t="s">
        <v>151</v>
      </c>
      <c r="B340" s="40" t="s">
        <v>555</v>
      </c>
    </row>
    <row r="341" spans="1:2" x14ac:dyDescent="0.25">
      <c r="A341" s="39" t="s">
        <v>146</v>
      </c>
      <c r="B341" s="40" t="s">
        <v>550</v>
      </c>
    </row>
    <row r="342" spans="1:2" x14ac:dyDescent="0.25">
      <c r="A342" s="39" t="s">
        <v>141</v>
      </c>
      <c r="B342" s="40" t="s">
        <v>545</v>
      </c>
    </row>
    <row r="343" spans="1:2" x14ac:dyDescent="0.25">
      <c r="A343" s="39" t="s">
        <v>136</v>
      </c>
      <c r="B343" s="40" t="s">
        <v>540</v>
      </c>
    </row>
    <row r="344" spans="1:2" x14ac:dyDescent="0.25">
      <c r="A344" s="39" t="s">
        <v>131</v>
      </c>
      <c r="B344" s="40" t="s">
        <v>535</v>
      </c>
    </row>
    <row r="345" spans="1:2" x14ac:dyDescent="0.25">
      <c r="A345" s="39" t="s">
        <v>125</v>
      </c>
      <c r="B345" s="40" t="s">
        <v>529</v>
      </c>
    </row>
    <row r="346" spans="1:2" x14ac:dyDescent="0.25">
      <c r="A346" s="39" t="s">
        <v>120</v>
      </c>
      <c r="B346" s="40" t="s">
        <v>524</v>
      </c>
    </row>
    <row r="347" spans="1:2" x14ac:dyDescent="0.25">
      <c r="A347" s="39" t="s">
        <v>115</v>
      </c>
      <c r="B347" s="40" t="s">
        <v>519</v>
      </c>
    </row>
    <row r="348" spans="1:2" x14ac:dyDescent="0.25">
      <c r="A348" s="39" t="s">
        <v>111</v>
      </c>
      <c r="B348" s="40" t="s">
        <v>515</v>
      </c>
    </row>
    <row r="349" spans="1:2" x14ac:dyDescent="0.25">
      <c r="A349" s="39" t="s">
        <v>106</v>
      </c>
      <c r="B349" s="40" t="s">
        <v>510</v>
      </c>
    </row>
    <row r="350" spans="1:2" x14ac:dyDescent="0.25">
      <c r="A350" s="39" t="s">
        <v>102</v>
      </c>
      <c r="B350" s="40" t="s">
        <v>506</v>
      </c>
    </row>
    <row r="351" spans="1:2" x14ac:dyDescent="0.25">
      <c r="A351" s="39" t="s">
        <v>97</v>
      </c>
      <c r="B351" s="40" t="s">
        <v>501</v>
      </c>
    </row>
    <row r="352" spans="1:2" x14ac:dyDescent="0.25">
      <c r="A352" s="39" t="s">
        <v>94</v>
      </c>
      <c r="B352" s="40" t="s">
        <v>498</v>
      </c>
    </row>
    <row r="353" spans="1:2" x14ac:dyDescent="0.25">
      <c r="A353" s="39" t="s">
        <v>90</v>
      </c>
      <c r="B353" s="40" t="s">
        <v>494</v>
      </c>
    </row>
    <row r="354" spans="1:2" x14ac:dyDescent="0.25">
      <c r="A354" s="39" t="s">
        <v>85</v>
      </c>
      <c r="B354" s="40" t="s">
        <v>489</v>
      </c>
    </row>
    <row r="355" spans="1:2" x14ac:dyDescent="0.25">
      <c r="A355" s="39" t="s">
        <v>81</v>
      </c>
      <c r="B355" s="40" t="s">
        <v>485</v>
      </c>
    </row>
    <row r="356" spans="1:2" x14ac:dyDescent="0.25">
      <c r="A356" s="39" t="s">
        <v>76</v>
      </c>
      <c r="B356" s="40" t="s">
        <v>480</v>
      </c>
    </row>
    <row r="357" spans="1:2" x14ac:dyDescent="0.25">
      <c r="A357" s="39" t="s">
        <v>236</v>
      </c>
      <c r="B357" s="40" t="s">
        <v>640</v>
      </c>
    </row>
    <row r="358" spans="1:2" x14ac:dyDescent="0.25">
      <c r="A358" s="39" t="s">
        <v>270</v>
      </c>
      <c r="B358" s="40" t="s">
        <v>674</v>
      </c>
    </row>
    <row r="359" spans="1:2" x14ac:dyDescent="0.25">
      <c r="A359" s="39" t="s">
        <v>264</v>
      </c>
      <c r="B359" s="40" t="s">
        <v>668</v>
      </c>
    </row>
    <row r="360" spans="1:2" x14ac:dyDescent="0.25">
      <c r="A360" s="39" t="s">
        <v>263</v>
      </c>
      <c r="B360" s="40" t="s">
        <v>667</v>
      </c>
    </row>
    <row r="361" spans="1:2" x14ac:dyDescent="0.25">
      <c r="A361" s="39" t="s">
        <v>250</v>
      </c>
      <c r="B361" s="40" t="s">
        <v>654</v>
      </c>
    </row>
    <row r="362" spans="1:2" x14ac:dyDescent="0.25">
      <c r="A362" s="39" t="s">
        <v>247</v>
      </c>
      <c r="B362" s="40" t="s">
        <v>651</v>
      </c>
    </row>
    <row r="363" spans="1:2" x14ac:dyDescent="0.25">
      <c r="A363" s="39" t="s">
        <v>244</v>
      </c>
      <c r="B363" s="40" t="s">
        <v>648</v>
      </c>
    </row>
    <row r="364" spans="1:2" x14ac:dyDescent="0.25">
      <c r="A364" s="39" t="s">
        <v>274</v>
      </c>
      <c r="B364" s="40" t="s">
        <v>677</v>
      </c>
    </row>
    <row r="365" spans="1:2" x14ac:dyDescent="0.25">
      <c r="A365" s="39" t="s">
        <v>306</v>
      </c>
      <c r="B365" s="40" t="s">
        <v>709</v>
      </c>
    </row>
    <row r="366" spans="1:2" x14ac:dyDescent="0.25">
      <c r="A366" s="39" t="s">
        <v>305</v>
      </c>
      <c r="B366" s="40" t="s">
        <v>708</v>
      </c>
    </row>
    <row r="367" spans="1:2" x14ac:dyDescent="0.25">
      <c r="A367" s="39" t="s">
        <v>304</v>
      </c>
      <c r="B367" s="40" t="s">
        <v>707</v>
      </c>
    </row>
    <row r="368" spans="1:2" x14ac:dyDescent="0.25">
      <c r="A368" s="39" t="s">
        <v>303</v>
      </c>
      <c r="B368" s="40" t="s">
        <v>706</v>
      </c>
    </row>
    <row r="369" spans="1:2" x14ac:dyDescent="0.25">
      <c r="A369" s="39" t="s">
        <v>302</v>
      </c>
      <c r="B369" s="40" t="s">
        <v>705</v>
      </c>
    </row>
    <row r="370" spans="1:2" x14ac:dyDescent="0.25">
      <c r="A370" s="39" t="s">
        <v>300</v>
      </c>
      <c r="B370" s="40" t="s">
        <v>703</v>
      </c>
    </row>
    <row r="371" spans="1:2" x14ac:dyDescent="0.25">
      <c r="A371" s="39" t="s">
        <v>298</v>
      </c>
      <c r="B371" s="40" t="s">
        <v>701</v>
      </c>
    </row>
    <row r="372" spans="1:2" x14ac:dyDescent="0.25">
      <c r="A372" s="39" t="s">
        <v>321</v>
      </c>
      <c r="B372" s="40" t="s">
        <v>724</v>
      </c>
    </row>
    <row r="373" spans="1:2" x14ac:dyDescent="0.25">
      <c r="A373" s="39" t="s">
        <v>320</v>
      </c>
      <c r="B373" s="40" t="s">
        <v>723</v>
      </c>
    </row>
    <row r="374" spans="1:2" x14ac:dyDescent="0.25">
      <c r="A374" s="39" t="s">
        <v>319</v>
      </c>
      <c r="B374" s="40" t="s">
        <v>722</v>
      </c>
    </row>
    <row r="375" spans="1:2" x14ac:dyDescent="0.25">
      <c r="A375" s="39" t="s">
        <v>318</v>
      </c>
      <c r="B375" s="40" t="s">
        <v>721</v>
      </c>
    </row>
    <row r="376" spans="1:2" x14ac:dyDescent="0.25">
      <c r="A376" s="39" t="s">
        <v>316</v>
      </c>
      <c r="B376" s="40" t="s">
        <v>719</v>
      </c>
    </row>
    <row r="377" spans="1:2" x14ac:dyDescent="0.25">
      <c r="A377" s="39" t="s">
        <v>315</v>
      </c>
      <c r="B377" s="40" t="s">
        <v>718</v>
      </c>
    </row>
    <row r="378" spans="1:2" x14ac:dyDescent="0.25">
      <c r="A378" s="39" t="s">
        <v>416</v>
      </c>
      <c r="B378" s="40" t="s">
        <v>817</v>
      </c>
    </row>
    <row r="379" spans="1:2" x14ac:dyDescent="0.25">
      <c r="A379" s="39" t="s">
        <v>435</v>
      </c>
      <c r="B379" s="40" t="s">
        <v>836</v>
      </c>
    </row>
    <row r="380" spans="1:2" x14ac:dyDescent="0.25">
      <c r="A380" s="39" t="s">
        <v>439</v>
      </c>
      <c r="B380" s="40" t="s">
        <v>840</v>
      </c>
    </row>
    <row r="381" spans="1:2" x14ac:dyDescent="0.25">
      <c r="A381" s="39" t="s">
        <v>440</v>
      </c>
      <c r="B381" s="40" t="s">
        <v>841</v>
      </c>
    </row>
    <row r="382" spans="1:2" x14ac:dyDescent="0.25">
      <c r="A382" s="39" t="s">
        <v>436</v>
      </c>
      <c r="B382" s="40" t="s">
        <v>837</v>
      </c>
    </row>
    <row r="383" spans="1:2" x14ac:dyDescent="0.25">
      <c r="A383" s="39" t="s">
        <v>441</v>
      </c>
      <c r="B383" s="40" t="s">
        <v>842</v>
      </c>
    </row>
    <row r="384" spans="1:2" x14ac:dyDescent="0.25">
      <c r="A384" s="39" t="s">
        <v>442</v>
      </c>
      <c r="B384" s="40" t="s">
        <v>843</v>
      </c>
    </row>
    <row r="385" spans="1:2" x14ac:dyDescent="0.25">
      <c r="A385" s="39" t="s">
        <v>428</v>
      </c>
      <c r="B385" s="40" t="s">
        <v>829</v>
      </c>
    </row>
    <row r="386" spans="1:2" x14ac:dyDescent="0.25">
      <c r="A386" s="39" t="s">
        <v>438</v>
      </c>
      <c r="B386" s="40" t="s">
        <v>839</v>
      </c>
    </row>
    <row r="387" spans="1:2" x14ac:dyDescent="0.25">
      <c r="A387" s="39" t="s">
        <v>437</v>
      </c>
      <c r="B387" s="40" t="s">
        <v>838</v>
      </c>
    </row>
    <row r="388" spans="1:2" x14ac:dyDescent="0.25">
      <c r="A388" s="39" t="s">
        <v>434</v>
      </c>
      <c r="B388" s="40" t="s">
        <v>835</v>
      </c>
    </row>
    <row r="389" spans="1:2" x14ac:dyDescent="0.25">
      <c r="A389" s="39" t="s">
        <v>433</v>
      </c>
      <c r="B389" s="40" t="s">
        <v>834</v>
      </c>
    </row>
    <row r="390" spans="1:2" x14ac:dyDescent="0.25">
      <c r="A390" s="39" t="s">
        <v>432</v>
      </c>
      <c r="B390" s="40" t="s">
        <v>833</v>
      </c>
    </row>
    <row r="391" spans="1:2" x14ac:dyDescent="0.25">
      <c r="A391" s="39" t="s">
        <v>431</v>
      </c>
      <c r="B391" s="40" t="s">
        <v>832</v>
      </c>
    </row>
    <row r="392" spans="1:2" x14ac:dyDescent="0.25">
      <c r="A392" s="39" t="s">
        <v>418</v>
      </c>
      <c r="B392" s="40" t="s">
        <v>819</v>
      </c>
    </row>
    <row r="393" spans="1:2" x14ac:dyDescent="0.25">
      <c r="A393" s="39" t="s">
        <v>430</v>
      </c>
      <c r="B393" s="40" t="s">
        <v>831</v>
      </c>
    </row>
    <row r="394" spans="1:2" x14ac:dyDescent="0.25">
      <c r="A394" s="39" t="s">
        <v>429</v>
      </c>
      <c r="B394" s="40" t="s">
        <v>830</v>
      </c>
    </row>
    <row r="395" spans="1:2" x14ac:dyDescent="0.25">
      <c r="A395" s="39" t="s">
        <v>427</v>
      </c>
      <c r="B395" s="40" t="s">
        <v>828</v>
      </c>
    </row>
    <row r="396" spans="1:2" x14ac:dyDescent="0.25">
      <c r="A396" s="41" t="s">
        <v>426</v>
      </c>
      <c r="B396" s="40" t="s">
        <v>827</v>
      </c>
    </row>
    <row r="397" spans="1:2" x14ac:dyDescent="0.25">
      <c r="A397" s="39" t="s">
        <v>425</v>
      </c>
      <c r="B397" s="40" t="s">
        <v>826</v>
      </c>
    </row>
    <row r="398" spans="1:2" x14ac:dyDescent="0.25">
      <c r="A398" s="39" t="s">
        <v>424</v>
      </c>
      <c r="B398" s="40" t="s">
        <v>825</v>
      </c>
    </row>
    <row r="399" spans="1:2" x14ac:dyDescent="0.25">
      <c r="A399" s="39" t="s">
        <v>423</v>
      </c>
      <c r="B399" s="40" t="s">
        <v>824</v>
      </c>
    </row>
    <row r="400" spans="1:2" x14ac:dyDescent="0.25">
      <c r="A400" s="39" t="s">
        <v>422</v>
      </c>
      <c r="B400" s="40" t="s">
        <v>823</v>
      </c>
    </row>
    <row r="401" spans="1:2" x14ac:dyDescent="0.25">
      <c r="A401" s="41" t="s">
        <v>421</v>
      </c>
      <c r="B401" s="40" t="s">
        <v>822</v>
      </c>
    </row>
    <row r="402" spans="1:2" x14ac:dyDescent="0.25">
      <c r="A402" s="39" t="s">
        <v>420</v>
      </c>
      <c r="B402" s="40" t="s">
        <v>821</v>
      </c>
    </row>
    <row r="403" spans="1:2" x14ac:dyDescent="0.25">
      <c r="A403" s="39" t="s">
        <v>417</v>
      </c>
      <c r="B403" s="40" t="s">
        <v>818</v>
      </c>
    </row>
    <row r="404" spans="1:2" x14ac:dyDescent="0.25">
      <c r="A404" s="39" t="s">
        <v>419</v>
      </c>
      <c r="B404" s="40" t="s">
        <v>820</v>
      </c>
    </row>
    <row r="405" spans="1:2" x14ac:dyDescent="0.25">
      <c r="A405" s="39" t="s">
        <v>228</v>
      </c>
      <c r="B405" s="40" t="s">
        <v>632</v>
      </c>
    </row>
    <row r="406" spans="1:2" x14ac:dyDescent="0.25">
      <c r="A406" s="39" t="s">
        <v>225</v>
      </c>
      <c r="B406" s="40" t="s">
        <v>629</v>
      </c>
    </row>
    <row r="407" spans="1:2" x14ac:dyDescent="0.25">
      <c r="A407" s="39" t="s">
        <v>220</v>
      </c>
      <c r="B407" s="40" t="s">
        <v>624</v>
      </c>
    </row>
    <row r="408" spans="1:2" x14ac:dyDescent="0.25">
      <c r="A408" s="39" t="s">
        <v>215</v>
      </c>
      <c r="B408" s="40" t="s">
        <v>619</v>
      </c>
    </row>
    <row r="409" spans="1:2" x14ac:dyDescent="0.25">
      <c r="A409" s="46" t="s">
        <v>210</v>
      </c>
      <c r="B409" s="43" t="s">
        <v>614</v>
      </c>
    </row>
    <row r="410" spans="1:2" x14ac:dyDescent="0.25">
      <c r="A410" s="39" t="s">
        <v>70</v>
      </c>
      <c r="B410" s="40" t="s">
        <v>474</v>
      </c>
    </row>
    <row r="411" spans="1:2" x14ac:dyDescent="0.25">
      <c r="A411" s="39" t="s">
        <v>71</v>
      </c>
      <c r="B411" s="40" t="s">
        <v>475</v>
      </c>
    </row>
    <row r="412" spans="1:2" x14ac:dyDescent="0.25">
      <c r="A412" s="39" t="s">
        <v>72</v>
      </c>
      <c r="B412" s="40" t="s">
        <v>476</v>
      </c>
    </row>
    <row r="413" spans="1:2" x14ac:dyDescent="0.25">
      <c r="A413" s="39" t="s">
        <v>73</v>
      </c>
      <c r="B413" s="40" t="s">
        <v>477</v>
      </c>
    </row>
    <row r="414" spans="1:2" x14ac:dyDescent="0.25">
      <c r="A414" s="42" t="s">
        <v>74</v>
      </c>
      <c r="B414" s="43" t="s">
        <v>478</v>
      </c>
    </row>
    <row r="415" spans="1:2" x14ac:dyDescent="0.25">
      <c r="A415" s="39" t="s">
        <v>890</v>
      </c>
      <c r="B415" s="40" t="s">
        <v>895</v>
      </c>
    </row>
    <row r="416" spans="1:2" x14ac:dyDescent="0.25">
      <c r="A416" s="39" t="s">
        <v>891</v>
      </c>
      <c r="B416" s="40" t="s">
        <v>896</v>
      </c>
    </row>
    <row r="417" spans="1:2" x14ac:dyDescent="0.25">
      <c r="A417" s="39" t="s">
        <v>892</v>
      </c>
      <c r="B417" s="40" t="s">
        <v>897</v>
      </c>
    </row>
    <row r="418" spans="1:2" x14ac:dyDescent="0.25">
      <c r="A418" s="39" t="s">
        <v>893</v>
      </c>
      <c r="B418" s="40" t="s">
        <v>886</v>
      </c>
    </row>
    <row r="419" spans="1:2" x14ac:dyDescent="0.25">
      <c r="A419" s="42" t="s">
        <v>894</v>
      </c>
      <c r="B419" s="43" t="s">
        <v>898</v>
      </c>
    </row>
    <row r="420" spans="1:2" x14ac:dyDescent="0.25">
      <c r="A420" s="39" t="s">
        <v>899</v>
      </c>
      <c r="B420" s="40" t="s">
        <v>904</v>
      </c>
    </row>
    <row r="421" spans="1:2" x14ac:dyDescent="0.25">
      <c r="A421" s="39" t="s">
        <v>900</v>
      </c>
      <c r="B421" s="40" t="s">
        <v>905</v>
      </c>
    </row>
    <row r="422" spans="1:2" x14ac:dyDescent="0.25">
      <c r="A422" s="39" t="s">
        <v>901</v>
      </c>
      <c r="B422" s="40" t="s">
        <v>906</v>
      </c>
    </row>
    <row r="423" spans="1:2" x14ac:dyDescent="0.25">
      <c r="A423" s="39" t="s">
        <v>902</v>
      </c>
      <c r="B423" s="40" t="s">
        <v>907</v>
      </c>
    </row>
    <row r="424" spans="1:2" x14ac:dyDescent="0.25">
      <c r="A424" s="42" t="s">
        <v>903</v>
      </c>
      <c r="B424" s="43" t="s">
        <v>908</v>
      </c>
    </row>
    <row r="425" spans="1:2" x14ac:dyDescent="0.25">
      <c r="A425" s="39" t="s">
        <v>909</v>
      </c>
      <c r="B425" s="40" t="s">
        <v>914</v>
      </c>
    </row>
    <row r="426" spans="1:2" x14ac:dyDescent="0.25">
      <c r="A426" s="39" t="s">
        <v>910</v>
      </c>
      <c r="B426" s="40" t="s">
        <v>915</v>
      </c>
    </row>
    <row r="427" spans="1:2" x14ac:dyDescent="0.25">
      <c r="A427" s="39" t="s">
        <v>911</v>
      </c>
      <c r="B427" s="40" t="s">
        <v>916</v>
      </c>
    </row>
    <row r="428" spans="1:2" x14ac:dyDescent="0.25">
      <c r="A428" s="39" t="s">
        <v>912</v>
      </c>
      <c r="B428" s="40" t="s">
        <v>917</v>
      </c>
    </row>
    <row r="429" spans="1:2" x14ac:dyDescent="0.25">
      <c r="A429" s="42" t="s">
        <v>913</v>
      </c>
      <c r="B429" s="43" t="s">
        <v>918</v>
      </c>
    </row>
    <row r="430" spans="1:2" x14ac:dyDescent="0.25">
      <c r="A430" s="41" t="s">
        <v>919</v>
      </c>
      <c r="B430" s="40" t="s">
        <v>924</v>
      </c>
    </row>
    <row r="431" spans="1:2" x14ac:dyDescent="0.25">
      <c r="A431" s="39" t="s">
        <v>920</v>
      </c>
      <c r="B431" s="40" t="s">
        <v>925</v>
      </c>
    </row>
    <row r="432" spans="1:2" x14ac:dyDescent="0.25">
      <c r="A432" s="39" t="s">
        <v>921</v>
      </c>
      <c r="B432" s="40" t="s">
        <v>926</v>
      </c>
    </row>
    <row r="433" spans="1:2" x14ac:dyDescent="0.25">
      <c r="A433" s="39" t="s">
        <v>922</v>
      </c>
      <c r="B433" s="40" t="s">
        <v>927</v>
      </c>
    </row>
    <row r="434" spans="1:2" x14ac:dyDescent="0.25">
      <c r="A434" s="42" t="s">
        <v>923</v>
      </c>
      <c r="B434" s="43" t="s">
        <v>928</v>
      </c>
    </row>
    <row r="435" spans="1:2" x14ac:dyDescent="0.25">
      <c r="A435" s="39" t="s">
        <v>929</v>
      </c>
      <c r="B435" s="40" t="s">
        <v>934</v>
      </c>
    </row>
    <row r="436" spans="1:2" x14ac:dyDescent="0.25">
      <c r="A436" s="39" t="s">
        <v>930</v>
      </c>
      <c r="B436" s="40" t="s">
        <v>935</v>
      </c>
    </row>
    <row r="437" spans="1:2" x14ac:dyDescent="0.25">
      <c r="A437" s="39" t="s">
        <v>931</v>
      </c>
      <c r="B437" s="40" t="s">
        <v>936</v>
      </c>
    </row>
    <row r="438" spans="1:2" x14ac:dyDescent="0.25">
      <c r="A438" s="39" t="s">
        <v>932</v>
      </c>
      <c r="B438" s="40" t="s">
        <v>937</v>
      </c>
    </row>
    <row r="439" spans="1:2" x14ac:dyDescent="0.25">
      <c r="A439" s="42" t="s">
        <v>933</v>
      </c>
      <c r="B439" s="43" t="s">
        <v>938</v>
      </c>
    </row>
    <row r="440" spans="1:2" x14ac:dyDescent="0.25">
      <c r="A440" s="39" t="s">
        <v>939</v>
      </c>
      <c r="B440" s="40" t="s">
        <v>942</v>
      </c>
    </row>
    <row r="441" spans="1:2" x14ac:dyDescent="0.25">
      <c r="A441" s="39" t="s">
        <v>940</v>
      </c>
      <c r="B441" s="40" t="s">
        <v>943</v>
      </c>
    </row>
    <row r="442" spans="1:2" x14ac:dyDescent="0.25">
      <c r="A442" s="42" t="s">
        <v>941</v>
      </c>
      <c r="B442" s="43" t="s">
        <v>944</v>
      </c>
    </row>
    <row r="443" spans="1:2" x14ac:dyDescent="0.25">
      <c r="A443" s="39" t="s">
        <v>945</v>
      </c>
      <c r="B443" s="40" t="s">
        <v>950</v>
      </c>
    </row>
    <row r="444" spans="1:2" x14ac:dyDescent="0.25">
      <c r="A444" s="39" t="s">
        <v>946</v>
      </c>
      <c r="B444" s="40" t="s">
        <v>951</v>
      </c>
    </row>
    <row r="445" spans="1:2" x14ac:dyDescent="0.25">
      <c r="A445" s="39" t="s">
        <v>947</v>
      </c>
      <c r="B445" s="40" t="s">
        <v>952</v>
      </c>
    </row>
    <row r="446" spans="1:2" x14ac:dyDescent="0.25">
      <c r="A446" s="39" t="s">
        <v>948</v>
      </c>
      <c r="B446" s="40" t="s">
        <v>953</v>
      </c>
    </row>
    <row r="447" spans="1:2" x14ac:dyDescent="0.25">
      <c r="A447" s="46" t="s">
        <v>949</v>
      </c>
      <c r="B447" s="43" t="s">
        <v>954</v>
      </c>
    </row>
    <row r="448" spans="1:2" x14ac:dyDescent="0.25">
      <c r="A448" s="39" t="s">
        <v>955</v>
      </c>
      <c r="B448" s="40" t="s">
        <v>960</v>
      </c>
    </row>
    <row r="449" spans="1:2" x14ac:dyDescent="0.25">
      <c r="A449" s="39" t="s">
        <v>956</v>
      </c>
      <c r="B449" s="40" t="s">
        <v>961</v>
      </c>
    </row>
    <row r="450" spans="1:2" x14ac:dyDescent="0.25">
      <c r="A450" s="39" t="s">
        <v>957</v>
      </c>
      <c r="B450" s="40" t="s">
        <v>962</v>
      </c>
    </row>
    <row r="451" spans="1:2" x14ac:dyDescent="0.25">
      <c r="A451" s="39" t="s">
        <v>958</v>
      </c>
      <c r="B451" s="40" t="s">
        <v>963</v>
      </c>
    </row>
    <row r="452" spans="1:2" x14ac:dyDescent="0.25">
      <c r="A452" s="42" t="s">
        <v>959</v>
      </c>
      <c r="B452" s="43" t="s">
        <v>964</v>
      </c>
    </row>
    <row r="453" spans="1:2" x14ac:dyDescent="0.25">
      <c r="A453" s="42" t="s">
        <v>965</v>
      </c>
      <c r="B453" s="43" t="s">
        <v>966</v>
      </c>
    </row>
    <row r="454" spans="1:2" x14ac:dyDescent="0.25">
      <c r="A454" s="39" t="s">
        <v>986</v>
      </c>
      <c r="B454" s="40" t="s">
        <v>1014</v>
      </c>
    </row>
    <row r="455" spans="1:2" x14ac:dyDescent="0.25">
      <c r="A455" s="39" t="s">
        <v>987</v>
      </c>
      <c r="B455" s="40" t="s">
        <v>1015</v>
      </c>
    </row>
    <row r="456" spans="1:2" x14ac:dyDescent="0.25">
      <c r="A456" s="39" t="s">
        <v>988</v>
      </c>
      <c r="B456" s="40" t="s">
        <v>1016</v>
      </c>
    </row>
    <row r="457" spans="1:2" x14ac:dyDescent="0.25">
      <c r="A457" s="39" t="s">
        <v>989</v>
      </c>
      <c r="B457" s="40" t="s">
        <v>1017</v>
      </c>
    </row>
    <row r="458" spans="1:2" x14ac:dyDescent="0.25">
      <c r="A458" s="39" t="s">
        <v>990</v>
      </c>
      <c r="B458" s="40" t="s">
        <v>1018</v>
      </c>
    </row>
    <row r="459" spans="1:2" x14ac:dyDescent="0.25">
      <c r="A459" s="39" t="s">
        <v>991</v>
      </c>
      <c r="B459" s="40" t="s">
        <v>1019</v>
      </c>
    </row>
    <row r="460" spans="1:2" x14ac:dyDescent="0.25">
      <c r="A460" s="39" t="s">
        <v>992</v>
      </c>
      <c r="B460" s="40" t="s">
        <v>1020</v>
      </c>
    </row>
    <row r="461" spans="1:2" x14ac:dyDescent="0.25">
      <c r="A461" s="39" t="s">
        <v>993</v>
      </c>
      <c r="B461" s="40" t="s">
        <v>1021</v>
      </c>
    </row>
    <row r="462" spans="1:2" x14ac:dyDescent="0.25">
      <c r="A462" s="39" t="s">
        <v>994</v>
      </c>
      <c r="B462" s="40" t="s">
        <v>1022</v>
      </c>
    </row>
    <row r="463" spans="1:2" x14ac:dyDescent="0.25">
      <c r="A463" s="39" t="s">
        <v>995</v>
      </c>
      <c r="B463" s="40" t="s">
        <v>1023</v>
      </c>
    </row>
    <row r="464" spans="1:2" x14ac:dyDescent="0.25">
      <c r="A464" s="39" t="s">
        <v>996</v>
      </c>
      <c r="B464" s="40" t="s">
        <v>1024</v>
      </c>
    </row>
    <row r="465" spans="1:2" x14ac:dyDescent="0.25">
      <c r="A465" s="39" t="s">
        <v>997</v>
      </c>
      <c r="B465" s="40" t="s">
        <v>1025</v>
      </c>
    </row>
    <row r="466" spans="1:2" x14ac:dyDescent="0.25">
      <c r="A466" s="39" t="s">
        <v>998</v>
      </c>
      <c r="B466" s="40" t="s">
        <v>1026</v>
      </c>
    </row>
    <row r="467" spans="1:2" x14ac:dyDescent="0.25">
      <c r="A467" s="39" t="s">
        <v>999</v>
      </c>
      <c r="B467" s="40" t="s">
        <v>1027</v>
      </c>
    </row>
    <row r="468" spans="1:2" x14ac:dyDescent="0.25">
      <c r="A468" s="39" t="s">
        <v>1000</v>
      </c>
      <c r="B468" s="40" t="s">
        <v>1028</v>
      </c>
    </row>
    <row r="469" spans="1:2" x14ac:dyDescent="0.25">
      <c r="A469" s="39" t="s">
        <v>1001</v>
      </c>
      <c r="B469" s="40" t="s">
        <v>1029</v>
      </c>
    </row>
    <row r="470" spans="1:2" x14ac:dyDescent="0.25">
      <c r="A470" s="39" t="s">
        <v>1002</v>
      </c>
      <c r="B470" s="40" t="s">
        <v>1030</v>
      </c>
    </row>
    <row r="471" spans="1:2" x14ac:dyDescent="0.25">
      <c r="A471" s="39" t="s">
        <v>1003</v>
      </c>
      <c r="B471" s="40" t="s">
        <v>1031</v>
      </c>
    </row>
    <row r="472" spans="1:2" x14ac:dyDescent="0.25">
      <c r="A472" s="39" t="s">
        <v>1004</v>
      </c>
      <c r="B472" s="40" t="s">
        <v>1032</v>
      </c>
    </row>
    <row r="473" spans="1:2" x14ac:dyDescent="0.25">
      <c r="A473" s="39" t="s">
        <v>1005</v>
      </c>
      <c r="B473" s="40" t="s">
        <v>1033</v>
      </c>
    </row>
    <row r="474" spans="1:2" x14ac:dyDescent="0.25">
      <c r="A474" s="39" t="s">
        <v>1006</v>
      </c>
      <c r="B474" s="40" t="s">
        <v>1034</v>
      </c>
    </row>
    <row r="475" spans="1:2" x14ac:dyDescent="0.25">
      <c r="A475" s="39" t="s">
        <v>1007</v>
      </c>
      <c r="B475" s="40" t="s">
        <v>1035</v>
      </c>
    </row>
    <row r="476" spans="1:2" x14ac:dyDescent="0.25">
      <c r="A476" s="39" t="s">
        <v>1008</v>
      </c>
      <c r="B476" s="40" t="s">
        <v>1036</v>
      </c>
    </row>
    <row r="477" spans="1:2" x14ac:dyDescent="0.25">
      <c r="A477" s="39" t="s">
        <v>1009</v>
      </c>
      <c r="B477" s="40" t="s">
        <v>1037</v>
      </c>
    </row>
    <row r="478" spans="1:2" x14ac:dyDescent="0.25">
      <c r="A478" s="39" t="s">
        <v>1010</v>
      </c>
      <c r="B478" s="40" t="s">
        <v>1038</v>
      </c>
    </row>
    <row r="479" spans="1:2" x14ac:dyDescent="0.25">
      <c r="A479" s="39" t="s">
        <v>1011</v>
      </c>
      <c r="B479" s="40" t="s">
        <v>1039</v>
      </c>
    </row>
    <row r="480" spans="1:2" x14ac:dyDescent="0.25">
      <c r="A480" s="39" t="s">
        <v>1012</v>
      </c>
      <c r="B480" s="40" t="s">
        <v>1040</v>
      </c>
    </row>
    <row r="481" spans="1:2" x14ac:dyDescent="0.25">
      <c r="A481" s="42" t="s">
        <v>1013</v>
      </c>
      <c r="B481" s="43" t="s">
        <v>1041</v>
      </c>
    </row>
    <row r="482" spans="1:2" x14ac:dyDescent="0.25">
      <c r="A482" s="42" t="s">
        <v>1042</v>
      </c>
      <c r="B482" s="43" t="s">
        <v>1043</v>
      </c>
    </row>
    <row r="483" spans="1:2" x14ac:dyDescent="0.25">
      <c r="A483" s="39" t="s">
        <v>1044</v>
      </c>
      <c r="B483" s="40" t="s">
        <v>1171</v>
      </c>
    </row>
    <row r="484" spans="1:2" x14ac:dyDescent="0.25">
      <c r="A484" s="39" t="s">
        <v>1045</v>
      </c>
      <c r="B484" s="40" t="s">
        <v>1172</v>
      </c>
    </row>
    <row r="485" spans="1:2" x14ac:dyDescent="0.25">
      <c r="A485" s="39" t="s">
        <v>1046</v>
      </c>
      <c r="B485" s="40" t="s">
        <v>1173</v>
      </c>
    </row>
    <row r="486" spans="1:2" x14ac:dyDescent="0.25">
      <c r="A486" s="39" t="s">
        <v>1047</v>
      </c>
      <c r="B486" s="40" t="s">
        <v>1174</v>
      </c>
    </row>
    <row r="487" spans="1:2" x14ac:dyDescent="0.25">
      <c r="A487" s="39" t="s">
        <v>1048</v>
      </c>
      <c r="B487" s="40" t="s">
        <v>1175</v>
      </c>
    </row>
    <row r="488" spans="1:2" x14ac:dyDescent="0.25">
      <c r="A488" s="39" t="s">
        <v>1049</v>
      </c>
      <c r="B488" s="40" t="s">
        <v>1176</v>
      </c>
    </row>
    <row r="489" spans="1:2" x14ac:dyDescent="0.25">
      <c r="A489" s="39" t="s">
        <v>1050</v>
      </c>
      <c r="B489" s="40" t="s">
        <v>1177</v>
      </c>
    </row>
    <row r="490" spans="1:2" x14ac:dyDescent="0.25">
      <c r="A490" s="39" t="s">
        <v>1051</v>
      </c>
      <c r="B490" s="40" t="s">
        <v>1178</v>
      </c>
    </row>
    <row r="491" spans="1:2" x14ac:dyDescent="0.25">
      <c r="A491" s="39" t="s">
        <v>1052</v>
      </c>
      <c r="B491" s="40" t="s">
        <v>1179</v>
      </c>
    </row>
    <row r="492" spans="1:2" x14ac:dyDescent="0.25">
      <c r="A492" s="39" t="s">
        <v>1053</v>
      </c>
      <c r="B492" s="40" t="s">
        <v>1180</v>
      </c>
    </row>
    <row r="493" spans="1:2" x14ac:dyDescent="0.25">
      <c r="A493" s="39" t="s">
        <v>1054</v>
      </c>
      <c r="B493" s="40" t="s">
        <v>1181</v>
      </c>
    </row>
    <row r="494" spans="1:2" x14ac:dyDescent="0.25">
      <c r="A494" s="39" t="s">
        <v>1055</v>
      </c>
      <c r="B494" s="40" t="s">
        <v>1182</v>
      </c>
    </row>
    <row r="495" spans="1:2" x14ac:dyDescent="0.25">
      <c r="A495" s="39" t="s">
        <v>1056</v>
      </c>
      <c r="B495" s="40" t="s">
        <v>1183</v>
      </c>
    </row>
    <row r="496" spans="1:2" x14ac:dyDescent="0.25">
      <c r="A496" s="39" t="s">
        <v>1057</v>
      </c>
      <c r="B496" s="40" t="s">
        <v>1184</v>
      </c>
    </row>
    <row r="497" spans="1:2" x14ac:dyDescent="0.25">
      <c r="A497" s="39" t="s">
        <v>1058</v>
      </c>
      <c r="B497" s="40" t="s">
        <v>1185</v>
      </c>
    </row>
    <row r="498" spans="1:2" x14ac:dyDescent="0.25">
      <c r="A498" s="39" t="s">
        <v>1059</v>
      </c>
      <c r="B498" s="40" t="s">
        <v>1185</v>
      </c>
    </row>
    <row r="499" spans="1:2" x14ac:dyDescent="0.25">
      <c r="A499" s="39" t="s">
        <v>1060</v>
      </c>
      <c r="B499" s="40" t="s">
        <v>1186</v>
      </c>
    </row>
    <row r="500" spans="1:2" x14ac:dyDescent="0.25">
      <c r="A500" s="39" t="s">
        <v>1061</v>
      </c>
      <c r="B500" s="40" t="s">
        <v>1187</v>
      </c>
    </row>
    <row r="501" spans="1:2" x14ac:dyDescent="0.25">
      <c r="A501" s="39" t="s">
        <v>1062</v>
      </c>
      <c r="B501" s="40" t="s">
        <v>1188</v>
      </c>
    </row>
    <row r="502" spans="1:2" x14ac:dyDescent="0.25">
      <c r="A502" s="39" t="s">
        <v>1063</v>
      </c>
      <c r="B502" s="40" t="s">
        <v>1189</v>
      </c>
    </row>
    <row r="503" spans="1:2" x14ac:dyDescent="0.25">
      <c r="A503" s="39" t="s">
        <v>1064</v>
      </c>
      <c r="B503" s="40" t="s">
        <v>1190</v>
      </c>
    </row>
    <row r="504" spans="1:2" x14ac:dyDescent="0.25">
      <c r="A504" s="39" t="s">
        <v>1065</v>
      </c>
      <c r="B504" s="40" t="s">
        <v>1191</v>
      </c>
    </row>
    <row r="505" spans="1:2" x14ac:dyDescent="0.25">
      <c r="A505" s="39" t="s">
        <v>1066</v>
      </c>
      <c r="B505" s="40" t="s">
        <v>1192</v>
      </c>
    </row>
    <row r="506" spans="1:2" x14ac:dyDescent="0.25">
      <c r="A506" s="39" t="s">
        <v>1067</v>
      </c>
      <c r="B506" s="40" t="s">
        <v>1193</v>
      </c>
    </row>
    <row r="507" spans="1:2" x14ac:dyDescent="0.25">
      <c r="A507" s="39" t="s">
        <v>1068</v>
      </c>
      <c r="B507" s="40" t="s">
        <v>1194</v>
      </c>
    </row>
    <row r="508" spans="1:2" x14ac:dyDescent="0.25">
      <c r="A508" s="39" t="s">
        <v>1069</v>
      </c>
      <c r="B508" s="40" t="s">
        <v>1195</v>
      </c>
    </row>
    <row r="509" spans="1:2" x14ac:dyDescent="0.25">
      <c r="A509" s="39" t="s">
        <v>1070</v>
      </c>
      <c r="B509" s="40" t="s">
        <v>1196</v>
      </c>
    </row>
    <row r="510" spans="1:2" x14ac:dyDescent="0.25">
      <c r="A510" s="39" t="s">
        <v>1071</v>
      </c>
      <c r="B510" s="40" t="s">
        <v>1197</v>
      </c>
    </row>
    <row r="511" spans="1:2" x14ac:dyDescent="0.25">
      <c r="A511" s="39" t="s">
        <v>1072</v>
      </c>
      <c r="B511" s="40" t="s">
        <v>1198</v>
      </c>
    </row>
    <row r="512" spans="1:2" x14ac:dyDescent="0.25">
      <c r="A512" s="39" t="s">
        <v>1073</v>
      </c>
      <c r="B512" s="40" t="s">
        <v>1199</v>
      </c>
    </row>
    <row r="513" spans="1:2" x14ac:dyDescent="0.25">
      <c r="A513" s="39" t="s">
        <v>1074</v>
      </c>
      <c r="B513" s="40" t="s">
        <v>1200</v>
      </c>
    </row>
    <row r="514" spans="1:2" x14ac:dyDescent="0.25">
      <c r="A514" s="39" t="s">
        <v>1075</v>
      </c>
      <c r="B514" s="40" t="s">
        <v>1201</v>
      </c>
    </row>
    <row r="515" spans="1:2" x14ac:dyDescent="0.25">
      <c r="A515" s="39" t="s">
        <v>1076</v>
      </c>
      <c r="B515" s="40" t="s">
        <v>1202</v>
      </c>
    </row>
    <row r="516" spans="1:2" x14ac:dyDescent="0.25">
      <c r="A516" s="39" t="s">
        <v>1077</v>
      </c>
      <c r="B516" s="40" t="s">
        <v>1203</v>
      </c>
    </row>
    <row r="517" spans="1:2" x14ac:dyDescent="0.25">
      <c r="A517" s="39" t="s">
        <v>1078</v>
      </c>
      <c r="B517" s="40" t="s">
        <v>1204</v>
      </c>
    </row>
    <row r="518" spans="1:2" x14ac:dyDescent="0.25">
      <c r="A518" s="39" t="s">
        <v>1079</v>
      </c>
      <c r="B518" s="40" t="s">
        <v>1205</v>
      </c>
    </row>
    <row r="519" spans="1:2" x14ac:dyDescent="0.25">
      <c r="A519" s="39" t="s">
        <v>1080</v>
      </c>
      <c r="B519" s="40" t="s">
        <v>1206</v>
      </c>
    </row>
    <row r="520" spans="1:2" x14ac:dyDescent="0.25">
      <c r="A520" s="39" t="s">
        <v>1081</v>
      </c>
      <c r="B520" s="40" t="s">
        <v>1207</v>
      </c>
    </row>
    <row r="521" spans="1:2" x14ac:dyDescent="0.25">
      <c r="A521" s="39" t="s">
        <v>1082</v>
      </c>
      <c r="B521" s="40" t="s">
        <v>1208</v>
      </c>
    </row>
    <row r="522" spans="1:2" x14ac:dyDescent="0.25">
      <c r="A522" s="39" t="s">
        <v>1083</v>
      </c>
      <c r="B522" s="40" t="s">
        <v>1209</v>
      </c>
    </row>
    <row r="523" spans="1:2" x14ac:dyDescent="0.25">
      <c r="A523" s="39" t="s">
        <v>1084</v>
      </c>
      <c r="B523" s="40" t="s">
        <v>1210</v>
      </c>
    </row>
    <row r="524" spans="1:2" x14ac:dyDescent="0.25">
      <c r="A524" s="39" t="s">
        <v>1085</v>
      </c>
      <c r="B524" s="40" t="s">
        <v>1211</v>
      </c>
    </row>
    <row r="525" spans="1:2" x14ac:dyDescent="0.25">
      <c r="A525" s="39" t="s">
        <v>1086</v>
      </c>
      <c r="B525" s="40" t="s">
        <v>1212</v>
      </c>
    </row>
    <row r="526" spans="1:2" x14ac:dyDescent="0.25">
      <c r="A526" s="39" t="s">
        <v>1087</v>
      </c>
      <c r="B526" s="40" t="s">
        <v>1213</v>
      </c>
    </row>
    <row r="527" spans="1:2" x14ac:dyDescent="0.25">
      <c r="A527" s="39" t="s">
        <v>1088</v>
      </c>
      <c r="B527" s="40" t="s">
        <v>1214</v>
      </c>
    </row>
    <row r="528" spans="1:2" x14ac:dyDescent="0.25">
      <c r="A528" s="39" t="s">
        <v>1089</v>
      </c>
      <c r="B528" s="40" t="s">
        <v>1215</v>
      </c>
    </row>
    <row r="529" spans="1:2" x14ac:dyDescent="0.25">
      <c r="A529" s="39" t="s">
        <v>1090</v>
      </c>
      <c r="B529" s="40" t="s">
        <v>1216</v>
      </c>
    </row>
    <row r="530" spans="1:2" x14ac:dyDescent="0.25">
      <c r="A530" s="39" t="s">
        <v>1091</v>
      </c>
      <c r="B530" s="40" t="s">
        <v>1217</v>
      </c>
    </row>
    <row r="531" spans="1:2" x14ac:dyDescent="0.25">
      <c r="A531" s="39" t="s">
        <v>1092</v>
      </c>
      <c r="B531" s="40" t="s">
        <v>1218</v>
      </c>
    </row>
    <row r="532" spans="1:2" x14ac:dyDescent="0.25">
      <c r="A532" s="39" t="s">
        <v>1093</v>
      </c>
      <c r="B532" s="40" t="s">
        <v>1219</v>
      </c>
    </row>
    <row r="533" spans="1:2" x14ac:dyDescent="0.25">
      <c r="A533" s="39" t="s">
        <v>1094</v>
      </c>
      <c r="B533" s="40" t="s">
        <v>1220</v>
      </c>
    </row>
    <row r="534" spans="1:2" x14ac:dyDescent="0.25">
      <c r="A534" s="39" t="s">
        <v>1095</v>
      </c>
      <c r="B534" s="40" t="s">
        <v>1221</v>
      </c>
    </row>
    <row r="535" spans="1:2" x14ac:dyDescent="0.25">
      <c r="A535" s="39" t="s">
        <v>1096</v>
      </c>
      <c r="B535" s="40" t="s">
        <v>1222</v>
      </c>
    </row>
    <row r="536" spans="1:2" x14ac:dyDescent="0.25">
      <c r="A536" s="39" t="s">
        <v>1097</v>
      </c>
      <c r="B536" s="40" t="s">
        <v>1223</v>
      </c>
    </row>
    <row r="537" spans="1:2" x14ac:dyDescent="0.25">
      <c r="A537" s="39" t="s">
        <v>1098</v>
      </c>
      <c r="B537" s="40" t="s">
        <v>1224</v>
      </c>
    </row>
    <row r="538" spans="1:2" x14ac:dyDescent="0.25">
      <c r="A538" s="39" t="s">
        <v>1099</v>
      </c>
      <c r="B538" s="40" t="s">
        <v>1225</v>
      </c>
    </row>
    <row r="539" spans="1:2" x14ac:dyDescent="0.25">
      <c r="A539" s="39" t="s">
        <v>1100</v>
      </c>
      <c r="B539" s="40" t="s">
        <v>1226</v>
      </c>
    </row>
    <row r="540" spans="1:2" x14ac:dyDescent="0.25">
      <c r="A540" s="39" t="s">
        <v>1101</v>
      </c>
      <c r="B540" s="40" t="s">
        <v>1227</v>
      </c>
    </row>
    <row r="541" spans="1:2" x14ac:dyDescent="0.25">
      <c r="A541" s="39" t="s">
        <v>1102</v>
      </c>
      <c r="B541" s="40" t="s">
        <v>1228</v>
      </c>
    </row>
    <row r="542" spans="1:2" x14ac:dyDescent="0.25">
      <c r="A542" s="39" t="s">
        <v>1103</v>
      </c>
      <c r="B542" s="40" t="s">
        <v>1229</v>
      </c>
    </row>
    <row r="543" spans="1:2" x14ac:dyDescent="0.25">
      <c r="A543" s="39" t="s">
        <v>1104</v>
      </c>
      <c r="B543" s="40" t="s">
        <v>1230</v>
      </c>
    </row>
    <row r="544" spans="1:2" x14ac:dyDescent="0.25">
      <c r="A544" s="39" t="s">
        <v>1105</v>
      </c>
      <c r="B544" s="40" t="s">
        <v>1231</v>
      </c>
    </row>
    <row r="545" spans="1:2" x14ac:dyDescent="0.25">
      <c r="A545" s="39" t="s">
        <v>1106</v>
      </c>
      <c r="B545" s="40" t="s">
        <v>1232</v>
      </c>
    </row>
    <row r="546" spans="1:2" x14ac:dyDescent="0.25">
      <c r="A546" s="39" t="s">
        <v>1107</v>
      </c>
      <c r="B546" s="40" t="s">
        <v>1233</v>
      </c>
    </row>
    <row r="547" spans="1:2" x14ac:dyDescent="0.25">
      <c r="A547" s="39" t="s">
        <v>1108</v>
      </c>
      <c r="B547" s="40" t="s">
        <v>1234</v>
      </c>
    </row>
    <row r="548" spans="1:2" x14ac:dyDescent="0.25">
      <c r="A548" s="39" t="s">
        <v>1109</v>
      </c>
      <c r="B548" s="40" t="s">
        <v>1235</v>
      </c>
    </row>
    <row r="549" spans="1:2" x14ac:dyDescent="0.25">
      <c r="A549" s="39" t="s">
        <v>1110</v>
      </c>
      <c r="B549" s="40" t="s">
        <v>1236</v>
      </c>
    </row>
    <row r="550" spans="1:2" x14ac:dyDescent="0.25">
      <c r="A550" s="39" t="s">
        <v>1111</v>
      </c>
      <c r="B550" s="40" t="s">
        <v>1237</v>
      </c>
    </row>
    <row r="551" spans="1:2" x14ac:dyDescent="0.25">
      <c r="A551" s="39" t="s">
        <v>1112</v>
      </c>
      <c r="B551" s="40" t="s">
        <v>1238</v>
      </c>
    </row>
    <row r="552" spans="1:2" x14ac:dyDescent="0.25">
      <c r="A552" s="39" t="s">
        <v>1113</v>
      </c>
      <c r="B552" s="40" t="s">
        <v>1239</v>
      </c>
    </row>
    <row r="553" spans="1:2" x14ac:dyDescent="0.25">
      <c r="A553" s="39" t="s">
        <v>1114</v>
      </c>
      <c r="B553" s="40" t="s">
        <v>1240</v>
      </c>
    </row>
    <row r="554" spans="1:2" x14ac:dyDescent="0.25">
      <c r="A554" s="39" t="s">
        <v>1115</v>
      </c>
      <c r="B554" s="40" t="s">
        <v>1241</v>
      </c>
    </row>
    <row r="555" spans="1:2" x14ac:dyDescent="0.25">
      <c r="A555" s="39" t="s">
        <v>1116</v>
      </c>
      <c r="B555" s="40" t="s">
        <v>1241</v>
      </c>
    </row>
    <row r="556" spans="1:2" x14ac:dyDescent="0.25">
      <c r="A556" s="39" t="s">
        <v>1117</v>
      </c>
      <c r="B556" s="40" t="s">
        <v>1242</v>
      </c>
    </row>
    <row r="557" spans="1:2" x14ac:dyDescent="0.25">
      <c r="A557" s="39" t="s">
        <v>1118</v>
      </c>
      <c r="B557" s="40" t="s">
        <v>1243</v>
      </c>
    </row>
    <row r="558" spans="1:2" x14ac:dyDescent="0.25">
      <c r="A558" s="39" t="s">
        <v>1119</v>
      </c>
      <c r="B558" s="40" t="s">
        <v>1244</v>
      </c>
    </row>
    <row r="559" spans="1:2" x14ac:dyDescent="0.25">
      <c r="A559" s="39" t="s">
        <v>1120</v>
      </c>
      <c r="B559" s="40" t="s">
        <v>1245</v>
      </c>
    </row>
    <row r="560" spans="1:2" x14ac:dyDescent="0.25">
      <c r="A560" s="39" t="s">
        <v>1121</v>
      </c>
      <c r="B560" s="40" t="s">
        <v>1246</v>
      </c>
    </row>
    <row r="561" spans="1:2" x14ac:dyDescent="0.25">
      <c r="A561" s="39" t="s">
        <v>1122</v>
      </c>
      <c r="B561" s="40" t="s">
        <v>1247</v>
      </c>
    </row>
    <row r="562" spans="1:2" x14ac:dyDescent="0.25">
      <c r="A562" s="39" t="s">
        <v>1123</v>
      </c>
      <c r="B562" s="40" t="s">
        <v>1248</v>
      </c>
    </row>
    <row r="563" spans="1:2" x14ac:dyDescent="0.25">
      <c r="A563" s="39" t="s">
        <v>1124</v>
      </c>
      <c r="B563" s="40" t="s">
        <v>1249</v>
      </c>
    </row>
    <row r="564" spans="1:2" x14ac:dyDescent="0.25">
      <c r="A564" s="39" t="s">
        <v>1125</v>
      </c>
      <c r="B564" s="40" t="s">
        <v>1250</v>
      </c>
    </row>
    <row r="565" spans="1:2" x14ac:dyDescent="0.25">
      <c r="A565" s="39" t="s">
        <v>1126</v>
      </c>
      <c r="B565" s="40" t="s">
        <v>1251</v>
      </c>
    </row>
    <row r="566" spans="1:2" x14ac:dyDescent="0.25">
      <c r="A566" s="39" t="s">
        <v>1127</v>
      </c>
      <c r="B566" s="40" t="s">
        <v>1252</v>
      </c>
    </row>
    <row r="567" spans="1:2" x14ac:dyDescent="0.25">
      <c r="A567" s="39" t="s">
        <v>1128</v>
      </c>
      <c r="B567" s="40" t="s">
        <v>1253</v>
      </c>
    </row>
    <row r="568" spans="1:2" x14ac:dyDescent="0.25">
      <c r="A568" s="39" t="s">
        <v>1129</v>
      </c>
      <c r="B568" s="40" t="s">
        <v>1254</v>
      </c>
    </row>
    <row r="569" spans="1:2" x14ac:dyDescent="0.25">
      <c r="A569" s="39" t="s">
        <v>1130</v>
      </c>
      <c r="B569" s="40" t="s">
        <v>1255</v>
      </c>
    </row>
    <row r="570" spans="1:2" x14ac:dyDescent="0.25">
      <c r="A570" s="39" t="s">
        <v>1131</v>
      </c>
      <c r="B570" s="40" t="s">
        <v>1256</v>
      </c>
    </row>
    <row r="571" spans="1:2" x14ac:dyDescent="0.25">
      <c r="A571" s="39" t="s">
        <v>1132</v>
      </c>
      <c r="B571" s="40" t="s">
        <v>1257</v>
      </c>
    </row>
    <row r="572" spans="1:2" x14ac:dyDescent="0.25">
      <c r="A572" s="39" t="s">
        <v>1133</v>
      </c>
      <c r="B572" s="40" t="s">
        <v>1258</v>
      </c>
    </row>
    <row r="573" spans="1:2" x14ac:dyDescent="0.25">
      <c r="A573" s="39" t="s">
        <v>1134</v>
      </c>
      <c r="B573" s="40" t="s">
        <v>1259</v>
      </c>
    </row>
    <row r="574" spans="1:2" x14ac:dyDescent="0.25">
      <c r="A574" s="39" t="s">
        <v>1135</v>
      </c>
      <c r="B574" s="40" t="s">
        <v>1260</v>
      </c>
    </row>
    <row r="575" spans="1:2" x14ac:dyDescent="0.25">
      <c r="A575" s="39" t="s">
        <v>1136</v>
      </c>
      <c r="B575" s="40" t="s">
        <v>1261</v>
      </c>
    </row>
    <row r="576" spans="1:2" x14ac:dyDescent="0.25">
      <c r="A576" s="39" t="s">
        <v>1137</v>
      </c>
      <c r="B576" s="40" t="s">
        <v>1262</v>
      </c>
    </row>
    <row r="577" spans="1:2" x14ac:dyDescent="0.25">
      <c r="A577" s="39" t="s">
        <v>1138</v>
      </c>
      <c r="B577" s="40" t="s">
        <v>1263</v>
      </c>
    </row>
    <row r="578" spans="1:2" x14ac:dyDescent="0.25">
      <c r="A578" s="39" t="s">
        <v>1139</v>
      </c>
      <c r="B578" s="40" t="s">
        <v>1264</v>
      </c>
    </row>
    <row r="579" spans="1:2" x14ac:dyDescent="0.25">
      <c r="A579" s="39" t="s">
        <v>1140</v>
      </c>
      <c r="B579" s="40" t="s">
        <v>1265</v>
      </c>
    </row>
    <row r="580" spans="1:2" x14ac:dyDescent="0.25">
      <c r="A580" s="39" t="s">
        <v>1141</v>
      </c>
      <c r="B580" s="40" t="s">
        <v>1266</v>
      </c>
    </row>
    <row r="581" spans="1:2" x14ac:dyDescent="0.25">
      <c r="A581" s="39" t="s">
        <v>1142</v>
      </c>
      <c r="B581" s="40" t="s">
        <v>1267</v>
      </c>
    </row>
    <row r="582" spans="1:2" x14ac:dyDescent="0.25">
      <c r="A582" s="39" t="s">
        <v>1143</v>
      </c>
      <c r="B582" s="40" t="s">
        <v>1268</v>
      </c>
    </row>
    <row r="583" spans="1:2" x14ac:dyDescent="0.25">
      <c r="A583" s="39" t="s">
        <v>1144</v>
      </c>
      <c r="B583" s="40" t="s">
        <v>1269</v>
      </c>
    </row>
    <row r="584" spans="1:2" x14ac:dyDescent="0.25">
      <c r="A584" s="39" t="s">
        <v>1145</v>
      </c>
      <c r="B584" s="40" t="s">
        <v>1270</v>
      </c>
    </row>
    <row r="585" spans="1:2" x14ac:dyDescent="0.25">
      <c r="A585" s="39" t="s">
        <v>1146</v>
      </c>
      <c r="B585" s="40" t="s">
        <v>1271</v>
      </c>
    </row>
    <row r="586" spans="1:2" x14ac:dyDescent="0.25">
      <c r="A586" s="39" t="s">
        <v>1147</v>
      </c>
      <c r="B586" s="40" t="s">
        <v>1272</v>
      </c>
    </row>
    <row r="587" spans="1:2" x14ac:dyDescent="0.25">
      <c r="A587" s="39" t="s">
        <v>1148</v>
      </c>
      <c r="B587" s="40" t="s">
        <v>1273</v>
      </c>
    </row>
    <row r="588" spans="1:2" x14ac:dyDescent="0.25">
      <c r="A588" s="39" t="s">
        <v>1149</v>
      </c>
      <c r="B588" s="40" t="s">
        <v>1274</v>
      </c>
    </row>
    <row r="589" spans="1:2" x14ac:dyDescent="0.25">
      <c r="A589" s="39" t="s">
        <v>1150</v>
      </c>
      <c r="B589" s="40" t="s">
        <v>1275</v>
      </c>
    </row>
    <row r="590" spans="1:2" x14ac:dyDescent="0.25">
      <c r="A590" s="39" t="s">
        <v>1151</v>
      </c>
      <c r="B590" s="40" t="s">
        <v>1276</v>
      </c>
    </row>
    <row r="591" spans="1:2" x14ac:dyDescent="0.25">
      <c r="A591" s="39" t="s">
        <v>1152</v>
      </c>
      <c r="B591" s="40" t="s">
        <v>1277</v>
      </c>
    </row>
    <row r="592" spans="1:2" x14ac:dyDescent="0.25">
      <c r="A592" s="39" t="s">
        <v>1153</v>
      </c>
      <c r="B592" s="40" t="s">
        <v>1278</v>
      </c>
    </row>
    <row r="593" spans="1:2" x14ac:dyDescent="0.25">
      <c r="A593" s="39" t="s">
        <v>1154</v>
      </c>
      <c r="B593" s="40" t="s">
        <v>1279</v>
      </c>
    </row>
    <row r="594" spans="1:2" x14ac:dyDescent="0.25">
      <c r="A594" s="39" t="s">
        <v>1155</v>
      </c>
      <c r="B594" s="40" t="s">
        <v>1280</v>
      </c>
    </row>
    <row r="595" spans="1:2" x14ac:dyDescent="0.25">
      <c r="A595" s="39" t="s">
        <v>1156</v>
      </c>
      <c r="B595" s="40" t="s">
        <v>1281</v>
      </c>
    </row>
    <row r="596" spans="1:2" x14ac:dyDescent="0.25">
      <c r="A596" s="39" t="s">
        <v>1157</v>
      </c>
      <c r="B596" s="40" t="s">
        <v>1282</v>
      </c>
    </row>
    <row r="597" spans="1:2" x14ac:dyDescent="0.25">
      <c r="A597" s="39" t="s">
        <v>1158</v>
      </c>
      <c r="B597" s="40" t="s">
        <v>1283</v>
      </c>
    </row>
    <row r="598" spans="1:2" x14ac:dyDescent="0.25">
      <c r="A598" s="39" t="s">
        <v>1159</v>
      </c>
      <c r="B598" s="40" t="s">
        <v>1284</v>
      </c>
    </row>
    <row r="599" spans="1:2" x14ac:dyDescent="0.25">
      <c r="A599" s="39" t="s">
        <v>1160</v>
      </c>
      <c r="B599" s="40" t="s">
        <v>1285</v>
      </c>
    </row>
    <row r="600" spans="1:2" x14ac:dyDescent="0.25">
      <c r="A600" s="39" t="s">
        <v>1161</v>
      </c>
      <c r="B600" s="40" t="s">
        <v>1286</v>
      </c>
    </row>
    <row r="601" spans="1:2" x14ac:dyDescent="0.25">
      <c r="A601" s="39" t="s">
        <v>1162</v>
      </c>
      <c r="B601" s="40" t="s">
        <v>1287</v>
      </c>
    </row>
    <row r="602" spans="1:2" x14ac:dyDescent="0.25">
      <c r="A602" s="39" t="s">
        <v>1163</v>
      </c>
      <c r="B602" s="40" t="s">
        <v>1288</v>
      </c>
    </row>
    <row r="603" spans="1:2" x14ac:dyDescent="0.25">
      <c r="A603" s="39" t="s">
        <v>1164</v>
      </c>
      <c r="B603" s="40" t="s">
        <v>1289</v>
      </c>
    </row>
    <row r="604" spans="1:2" x14ac:dyDescent="0.25">
      <c r="A604" s="39" t="s">
        <v>1165</v>
      </c>
      <c r="B604" s="40" t="s">
        <v>1290</v>
      </c>
    </row>
    <row r="605" spans="1:2" x14ac:dyDescent="0.25">
      <c r="A605" s="39" t="s">
        <v>1166</v>
      </c>
      <c r="B605" s="40" t="s">
        <v>1291</v>
      </c>
    </row>
    <row r="606" spans="1:2" x14ac:dyDescent="0.25">
      <c r="A606" s="39" t="s">
        <v>1167</v>
      </c>
      <c r="B606" s="40" t="s">
        <v>1292</v>
      </c>
    </row>
    <row r="607" spans="1:2" x14ac:dyDescent="0.25">
      <c r="A607" s="39" t="s">
        <v>1168</v>
      </c>
      <c r="B607" s="40" t="s">
        <v>1293</v>
      </c>
    </row>
    <row r="608" spans="1:2" x14ac:dyDescent="0.25">
      <c r="A608" s="39" t="s">
        <v>1169</v>
      </c>
      <c r="B608" s="40" t="s">
        <v>1294</v>
      </c>
    </row>
    <row r="609" spans="1:2" x14ac:dyDescent="0.25">
      <c r="A609" s="42" t="s">
        <v>1170</v>
      </c>
      <c r="B609" s="43" t="s">
        <v>1295</v>
      </c>
    </row>
    <row r="610" spans="1:2" x14ac:dyDescent="0.25">
      <c r="A610" s="39" t="s">
        <v>1296</v>
      </c>
      <c r="B610" s="40" t="s">
        <v>1375</v>
      </c>
    </row>
    <row r="611" spans="1:2" x14ac:dyDescent="0.25">
      <c r="A611" s="39" t="s">
        <v>1297</v>
      </c>
      <c r="B611" s="40" t="s">
        <v>1376</v>
      </c>
    </row>
    <row r="612" spans="1:2" x14ac:dyDescent="0.25">
      <c r="A612" s="39" t="s">
        <v>1298</v>
      </c>
      <c r="B612" s="40" t="s">
        <v>1377</v>
      </c>
    </row>
    <row r="613" spans="1:2" x14ac:dyDescent="0.25">
      <c r="A613" s="39" t="s">
        <v>1299</v>
      </c>
      <c r="B613" s="40" t="s">
        <v>1378</v>
      </c>
    </row>
    <row r="614" spans="1:2" x14ac:dyDescent="0.25">
      <c r="A614" s="39" t="s">
        <v>1300</v>
      </c>
      <c r="B614" s="40" t="s">
        <v>1379</v>
      </c>
    </row>
    <row r="615" spans="1:2" x14ac:dyDescent="0.25">
      <c r="A615" s="39" t="s">
        <v>1301</v>
      </c>
      <c r="B615" s="40" t="s">
        <v>1380</v>
      </c>
    </row>
    <row r="616" spans="1:2" x14ac:dyDescent="0.25">
      <c r="A616" s="39" t="s">
        <v>1302</v>
      </c>
      <c r="B616" s="40" t="s">
        <v>1381</v>
      </c>
    </row>
    <row r="617" spans="1:2" x14ac:dyDescent="0.25">
      <c r="A617" s="39" t="s">
        <v>1303</v>
      </c>
      <c r="B617" s="40" t="s">
        <v>1382</v>
      </c>
    </row>
    <row r="618" spans="1:2" x14ac:dyDescent="0.25">
      <c r="A618" s="39" t="s">
        <v>1304</v>
      </c>
      <c r="B618" s="40" t="s">
        <v>1383</v>
      </c>
    </row>
    <row r="619" spans="1:2" x14ac:dyDescent="0.25">
      <c r="A619" s="39" t="s">
        <v>1305</v>
      </c>
      <c r="B619" s="40" t="s">
        <v>1384</v>
      </c>
    </row>
    <row r="620" spans="1:2" x14ac:dyDescent="0.25">
      <c r="A620" s="39" t="s">
        <v>1306</v>
      </c>
      <c r="B620" s="40" t="s">
        <v>1385</v>
      </c>
    </row>
    <row r="621" spans="1:2" x14ac:dyDescent="0.25">
      <c r="A621" s="39" t="s">
        <v>1307</v>
      </c>
      <c r="B621" s="40" t="s">
        <v>1386</v>
      </c>
    </row>
    <row r="622" spans="1:2" x14ac:dyDescent="0.25">
      <c r="A622" s="39" t="s">
        <v>1308</v>
      </c>
      <c r="B622" s="40" t="s">
        <v>1387</v>
      </c>
    </row>
    <row r="623" spans="1:2" x14ac:dyDescent="0.25">
      <c r="A623" s="39" t="s">
        <v>1309</v>
      </c>
      <c r="B623" s="40" t="s">
        <v>1388</v>
      </c>
    </row>
    <row r="624" spans="1:2" x14ac:dyDescent="0.25">
      <c r="A624" s="39" t="s">
        <v>1310</v>
      </c>
      <c r="B624" s="40" t="s">
        <v>1389</v>
      </c>
    </row>
    <row r="625" spans="1:2" x14ac:dyDescent="0.25">
      <c r="A625" s="39" t="s">
        <v>1311</v>
      </c>
      <c r="B625" s="40" t="s">
        <v>1390</v>
      </c>
    </row>
    <row r="626" spans="1:2" x14ac:dyDescent="0.25">
      <c r="A626" s="39" t="s">
        <v>1312</v>
      </c>
      <c r="B626" s="40" t="s">
        <v>1391</v>
      </c>
    </row>
    <row r="627" spans="1:2" x14ac:dyDescent="0.25">
      <c r="A627" s="39" t="s">
        <v>1313</v>
      </c>
      <c r="B627" s="40" t="s">
        <v>1392</v>
      </c>
    </row>
    <row r="628" spans="1:2" x14ac:dyDescent="0.25">
      <c r="A628" s="39" t="s">
        <v>1314</v>
      </c>
      <c r="B628" s="40" t="s">
        <v>1393</v>
      </c>
    </row>
    <row r="629" spans="1:2" x14ac:dyDescent="0.25">
      <c r="A629" s="39" t="s">
        <v>1315</v>
      </c>
      <c r="B629" s="40" t="s">
        <v>1394</v>
      </c>
    </row>
    <row r="630" spans="1:2" x14ac:dyDescent="0.25">
      <c r="A630" s="39" t="s">
        <v>1316</v>
      </c>
      <c r="B630" s="40" t="s">
        <v>1395</v>
      </c>
    </row>
    <row r="631" spans="1:2" x14ac:dyDescent="0.25">
      <c r="A631" s="39" t="s">
        <v>1317</v>
      </c>
      <c r="B631" s="40" t="s">
        <v>1395</v>
      </c>
    </row>
    <row r="632" spans="1:2" x14ac:dyDescent="0.25">
      <c r="A632" s="39" t="s">
        <v>1318</v>
      </c>
      <c r="B632" s="40" t="s">
        <v>1396</v>
      </c>
    </row>
    <row r="633" spans="1:2" x14ac:dyDescent="0.25">
      <c r="A633" s="39" t="s">
        <v>1319</v>
      </c>
      <c r="B633" s="40" t="s">
        <v>1397</v>
      </c>
    </row>
    <row r="634" spans="1:2" x14ac:dyDescent="0.25">
      <c r="A634" s="39" t="s">
        <v>1320</v>
      </c>
      <c r="B634" s="40" t="s">
        <v>1398</v>
      </c>
    </row>
    <row r="635" spans="1:2" x14ac:dyDescent="0.25">
      <c r="A635" s="39" t="s">
        <v>1321</v>
      </c>
      <c r="B635" s="40" t="s">
        <v>1399</v>
      </c>
    </row>
    <row r="636" spans="1:2" x14ac:dyDescent="0.25">
      <c r="A636" s="39" t="s">
        <v>1322</v>
      </c>
      <c r="B636" s="40" t="s">
        <v>1400</v>
      </c>
    </row>
    <row r="637" spans="1:2" x14ac:dyDescent="0.25">
      <c r="A637" s="39" t="s">
        <v>1323</v>
      </c>
      <c r="B637" s="40" t="s">
        <v>1401</v>
      </c>
    </row>
    <row r="638" spans="1:2" x14ac:dyDescent="0.25">
      <c r="A638" s="39" t="s">
        <v>1324</v>
      </c>
      <c r="B638" s="40" t="s">
        <v>1402</v>
      </c>
    </row>
    <row r="639" spans="1:2" x14ac:dyDescent="0.25">
      <c r="A639" s="39" t="s">
        <v>1325</v>
      </c>
      <c r="B639" s="40" t="s">
        <v>1403</v>
      </c>
    </row>
    <row r="640" spans="1:2" x14ac:dyDescent="0.25">
      <c r="A640" s="39" t="s">
        <v>1326</v>
      </c>
      <c r="B640" s="40" t="s">
        <v>1404</v>
      </c>
    </row>
    <row r="641" spans="1:2" x14ac:dyDescent="0.25">
      <c r="A641" s="39" t="s">
        <v>1327</v>
      </c>
      <c r="B641" s="40" t="s">
        <v>1405</v>
      </c>
    </row>
    <row r="642" spans="1:2" x14ac:dyDescent="0.25">
      <c r="A642" s="39" t="s">
        <v>1328</v>
      </c>
      <c r="B642" s="40" t="s">
        <v>1406</v>
      </c>
    </row>
    <row r="643" spans="1:2" x14ac:dyDescent="0.25">
      <c r="A643" s="39" t="s">
        <v>1329</v>
      </c>
      <c r="B643" s="40" t="s">
        <v>1407</v>
      </c>
    </row>
    <row r="644" spans="1:2" x14ac:dyDescent="0.25">
      <c r="A644" s="39" t="s">
        <v>1330</v>
      </c>
      <c r="B644" s="40" t="s">
        <v>1408</v>
      </c>
    </row>
    <row r="645" spans="1:2" x14ac:dyDescent="0.25">
      <c r="A645" s="39" t="s">
        <v>1331</v>
      </c>
      <c r="B645" s="40" t="s">
        <v>1409</v>
      </c>
    </row>
    <row r="646" spans="1:2" x14ac:dyDescent="0.25">
      <c r="A646" s="39" t="s">
        <v>1332</v>
      </c>
      <c r="B646" s="40" t="s">
        <v>1410</v>
      </c>
    </row>
    <row r="647" spans="1:2" x14ac:dyDescent="0.25">
      <c r="A647" s="39" t="s">
        <v>1333</v>
      </c>
      <c r="B647" s="40" t="s">
        <v>1411</v>
      </c>
    </row>
    <row r="648" spans="1:2" x14ac:dyDescent="0.25">
      <c r="A648" s="39" t="s">
        <v>1334</v>
      </c>
      <c r="B648" s="40" t="s">
        <v>1412</v>
      </c>
    </row>
    <row r="649" spans="1:2" x14ac:dyDescent="0.25">
      <c r="A649" s="39" t="s">
        <v>1335</v>
      </c>
      <c r="B649" s="40" t="s">
        <v>1413</v>
      </c>
    </row>
    <row r="650" spans="1:2" x14ac:dyDescent="0.25">
      <c r="A650" s="39" t="s">
        <v>1336</v>
      </c>
      <c r="B650" s="40" t="s">
        <v>1414</v>
      </c>
    </row>
    <row r="651" spans="1:2" x14ac:dyDescent="0.25">
      <c r="A651" s="39" t="s">
        <v>1337</v>
      </c>
      <c r="B651" s="40" t="s">
        <v>1415</v>
      </c>
    </row>
    <row r="652" spans="1:2" x14ac:dyDescent="0.25">
      <c r="A652" s="39" t="s">
        <v>1338</v>
      </c>
      <c r="B652" s="40" t="s">
        <v>1416</v>
      </c>
    </row>
    <row r="653" spans="1:2" x14ac:dyDescent="0.25">
      <c r="A653" s="39" t="s">
        <v>1339</v>
      </c>
      <c r="B653" s="40" t="s">
        <v>1417</v>
      </c>
    </row>
    <row r="654" spans="1:2" x14ac:dyDescent="0.25">
      <c r="A654" s="39" t="s">
        <v>1340</v>
      </c>
      <c r="B654" s="40" t="s">
        <v>1418</v>
      </c>
    </row>
    <row r="655" spans="1:2" x14ac:dyDescent="0.25">
      <c r="A655" s="39" t="s">
        <v>1341</v>
      </c>
      <c r="B655" s="40" t="s">
        <v>1419</v>
      </c>
    </row>
    <row r="656" spans="1:2" x14ac:dyDescent="0.25">
      <c r="A656" s="39" t="s">
        <v>1342</v>
      </c>
      <c r="B656" s="40" t="s">
        <v>1420</v>
      </c>
    </row>
    <row r="657" spans="1:2" x14ac:dyDescent="0.25">
      <c r="A657" s="39" t="s">
        <v>1343</v>
      </c>
      <c r="B657" s="40" t="s">
        <v>1421</v>
      </c>
    </row>
    <row r="658" spans="1:2" x14ac:dyDescent="0.25">
      <c r="A658" s="39" t="s">
        <v>1344</v>
      </c>
      <c r="B658" s="40" t="s">
        <v>1422</v>
      </c>
    </row>
    <row r="659" spans="1:2" x14ac:dyDescent="0.25">
      <c r="A659" s="39" t="s">
        <v>1345</v>
      </c>
      <c r="B659" s="40" t="s">
        <v>1423</v>
      </c>
    </row>
    <row r="660" spans="1:2" x14ac:dyDescent="0.25">
      <c r="A660" s="39" t="s">
        <v>1346</v>
      </c>
      <c r="B660" s="40" t="s">
        <v>1424</v>
      </c>
    </row>
    <row r="661" spans="1:2" x14ac:dyDescent="0.25">
      <c r="A661" s="39" t="s">
        <v>1347</v>
      </c>
      <c r="B661" s="40" t="s">
        <v>1425</v>
      </c>
    </row>
    <row r="662" spans="1:2" x14ac:dyDescent="0.25">
      <c r="A662" s="39" t="s">
        <v>1348</v>
      </c>
      <c r="B662" s="40" t="s">
        <v>1426</v>
      </c>
    </row>
    <row r="663" spans="1:2" x14ac:dyDescent="0.25">
      <c r="A663" s="39" t="s">
        <v>1349</v>
      </c>
      <c r="B663" s="40" t="s">
        <v>1427</v>
      </c>
    </row>
    <row r="664" spans="1:2" x14ac:dyDescent="0.25">
      <c r="A664" s="39" t="s">
        <v>1350</v>
      </c>
      <c r="B664" s="40" t="s">
        <v>1427</v>
      </c>
    </row>
    <row r="665" spans="1:2" x14ac:dyDescent="0.25">
      <c r="A665" s="39" t="s">
        <v>1351</v>
      </c>
      <c r="B665" s="40" t="s">
        <v>1428</v>
      </c>
    </row>
    <row r="666" spans="1:2" x14ac:dyDescent="0.25">
      <c r="A666" s="39" t="s">
        <v>1352</v>
      </c>
      <c r="B666" s="40" t="s">
        <v>1429</v>
      </c>
    </row>
    <row r="667" spans="1:2" x14ac:dyDescent="0.25">
      <c r="A667" s="39" t="s">
        <v>1353</v>
      </c>
      <c r="B667" s="40" t="s">
        <v>1430</v>
      </c>
    </row>
    <row r="668" spans="1:2" x14ac:dyDescent="0.25">
      <c r="A668" s="39" t="s">
        <v>1354</v>
      </c>
      <c r="B668" s="40" t="s">
        <v>1431</v>
      </c>
    </row>
    <row r="669" spans="1:2" x14ac:dyDescent="0.25">
      <c r="A669" s="39" t="s">
        <v>1355</v>
      </c>
      <c r="B669" s="40" t="s">
        <v>1432</v>
      </c>
    </row>
    <row r="670" spans="1:2" x14ac:dyDescent="0.25">
      <c r="A670" s="39" t="s">
        <v>1356</v>
      </c>
      <c r="B670" s="40" t="s">
        <v>1433</v>
      </c>
    </row>
    <row r="671" spans="1:2" x14ac:dyDescent="0.25">
      <c r="A671" s="39" t="s">
        <v>1357</v>
      </c>
      <c r="B671" s="40" t="s">
        <v>1434</v>
      </c>
    </row>
    <row r="672" spans="1:2" x14ac:dyDescent="0.25">
      <c r="A672" s="39" t="s">
        <v>1358</v>
      </c>
      <c r="B672" s="40" t="s">
        <v>1435</v>
      </c>
    </row>
    <row r="673" spans="1:2" x14ac:dyDescent="0.25">
      <c r="A673" s="39" t="s">
        <v>1359</v>
      </c>
      <c r="B673" s="40" t="s">
        <v>1436</v>
      </c>
    </row>
    <row r="674" spans="1:2" x14ac:dyDescent="0.25">
      <c r="A674" s="39" t="s">
        <v>1360</v>
      </c>
      <c r="B674" s="40" t="s">
        <v>1437</v>
      </c>
    </row>
    <row r="675" spans="1:2" x14ac:dyDescent="0.25">
      <c r="A675" s="39" t="s">
        <v>1361</v>
      </c>
      <c r="B675" s="40" t="s">
        <v>1438</v>
      </c>
    </row>
    <row r="676" spans="1:2" x14ac:dyDescent="0.25">
      <c r="A676" s="39" t="s">
        <v>1362</v>
      </c>
      <c r="B676" s="40" t="s">
        <v>1439</v>
      </c>
    </row>
    <row r="677" spans="1:2" x14ac:dyDescent="0.25">
      <c r="A677" s="39" t="s">
        <v>1363</v>
      </c>
      <c r="B677" s="40" t="s">
        <v>1440</v>
      </c>
    </row>
    <row r="678" spans="1:2" x14ac:dyDescent="0.25">
      <c r="A678" s="39" t="s">
        <v>1364</v>
      </c>
      <c r="B678" s="40" t="s">
        <v>1441</v>
      </c>
    </row>
    <row r="679" spans="1:2" x14ac:dyDescent="0.25">
      <c r="A679" s="39" t="s">
        <v>1365</v>
      </c>
      <c r="B679" s="40" t="s">
        <v>1442</v>
      </c>
    </row>
    <row r="680" spans="1:2" x14ac:dyDescent="0.25">
      <c r="A680" s="39" t="s">
        <v>1366</v>
      </c>
      <c r="B680" s="40" t="s">
        <v>1443</v>
      </c>
    </row>
    <row r="681" spans="1:2" x14ac:dyDescent="0.25">
      <c r="A681" s="39" t="s">
        <v>1367</v>
      </c>
      <c r="B681" s="40" t="s">
        <v>1444</v>
      </c>
    </row>
    <row r="682" spans="1:2" x14ac:dyDescent="0.25">
      <c r="A682" s="39" t="s">
        <v>1368</v>
      </c>
      <c r="B682" s="40" t="s">
        <v>1445</v>
      </c>
    </row>
    <row r="683" spans="1:2" x14ac:dyDescent="0.25">
      <c r="A683" s="39" t="s">
        <v>1369</v>
      </c>
      <c r="B683" s="40" t="s">
        <v>1446</v>
      </c>
    </row>
    <row r="684" spans="1:2" x14ac:dyDescent="0.25">
      <c r="A684" s="39" t="s">
        <v>1370</v>
      </c>
      <c r="B684" s="40" t="s">
        <v>1447</v>
      </c>
    </row>
    <row r="685" spans="1:2" x14ac:dyDescent="0.25">
      <c r="A685" s="39" t="s">
        <v>1371</v>
      </c>
      <c r="B685" s="40" t="s">
        <v>1448</v>
      </c>
    </row>
    <row r="686" spans="1:2" x14ac:dyDescent="0.25">
      <c r="A686" s="39" t="s">
        <v>1372</v>
      </c>
      <c r="B686" s="40" t="s">
        <v>1449</v>
      </c>
    </row>
    <row r="687" spans="1:2" x14ac:dyDescent="0.25">
      <c r="A687" s="39" t="s">
        <v>1373</v>
      </c>
      <c r="B687" s="40" t="s">
        <v>1450</v>
      </c>
    </row>
    <row r="688" spans="1:2" x14ac:dyDescent="0.25">
      <c r="A688" s="42" t="s">
        <v>1374</v>
      </c>
      <c r="B688" s="43" t="s">
        <v>1451</v>
      </c>
    </row>
    <row r="689" spans="1:2" x14ac:dyDescent="0.25">
      <c r="A689" s="39" t="s">
        <v>1454</v>
      </c>
      <c r="B689" s="40" t="s">
        <v>1584</v>
      </c>
    </row>
    <row r="690" spans="1:2" x14ac:dyDescent="0.25">
      <c r="A690" s="39" t="s">
        <v>1455</v>
      </c>
      <c r="B690" s="40" t="s">
        <v>1585</v>
      </c>
    </row>
    <row r="691" spans="1:2" x14ac:dyDescent="0.25">
      <c r="A691" s="39" t="s">
        <v>1456</v>
      </c>
      <c r="B691" s="40" t="s">
        <v>1586</v>
      </c>
    </row>
    <row r="692" spans="1:2" x14ac:dyDescent="0.25">
      <c r="A692" s="39" t="s">
        <v>1457</v>
      </c>
      <c r="B692" s="40" t="s">
        <v>1587</v>
      </c>
    </row>
    <row r="693" spans="1:2" x14ac:dyDescent="0.25">
      <c r="A693" s="39" t="s">
        <v>1458</v>
      </c>
      <c r="B693" s="40" t="s">
        <v>1588</v>
      </c>
    </row>
    <row r="694" spans="1:2" x14ac:dyDescent="0.25">
      <c r="A694" s="39" t="s">
        <v>1459</v>
      </c>
      <c r="B694" s="40" t="s">
        <v>1589</v>
      </c>
    </row>
    <row r="695" spans="1:2" x14ac:dyDescent="0.25">
      <c r="A695" s="39" t="s">
        <v>1460</v>
      </c>
      <c r="B695" s="40" t="s">
        <v>1590</v>
      </c>
    </row>
    <row r="696" spans="1:2" x14ac:dyDescent="0.25">
      <c r="A696" s="39" t="s">
        <v>1461</v>
      </c>
      <c r="B696" s="40" t="s">
        <v>1591</v>
      </c>
    </row>
    <row r="697" spans="1:2" x14ac:dyDescent="0.25">
      <c r="A697" s="39" t="s">
        <v>1462</v>
      </c>
      <c r="B697" s="40" t="s">
        <v>1592</v>
      </c>
    </row>
    <row r="698" spans="1:2" x14ac:dyDescent="0.25">
      <c r="A698" s="39" t="s">
        <v>1463</v>
      </c>
      <c r="B698" s="40" t="s">
        <v>1593</v>
      </c>
    </row>
    <row r="699" spans="1:2" x14ac:dyDescent="0.25">
      <c r="A699" s="39" t="s">
        <v>1464</v>
      </c>
      <c r="B699" s="40" t="s">
        <v>1594</v>
      </c>
    </row>
    <row r="700" spans="1:2" x14ac:dyDescent="0.25">
      <c r="A700" s="39" t="s">
        <v>1465</v>
      </c>
      <c r="B700" s="40" t="s">
        <v>1595</v>
      </c>
    </row>
    <row r="701" spans="1:2" x14ac:dyDescent="0.25">
      <c r="A701" s="39" t="s">
        <v>1466</v>
      </c>
      <c r="B701" s="40" t="s">
        <v>1596</v>
      </c>
    </row>
    <row r="702" spans="1:2" x14ac:dyDescent="0.25">
      <c r="A702" s="39" t="s">
        <v>1467</v>
      </c>
      <c r="B702" s="40" t="s">
        <v>1597</v>
      </c>
    </row>
    <row r="703" spans="1:2" x14ac:dyDescent="0.25">
      <c r="A703" s="39" t="s">
        <v>1468</v>
      </c>
      <c r="B703" s="40" t="s">
        <v>1598</v>
      </c>
    </row>
    <row r="704" spans="1:2" x14ac:dyDescent="0.25">
      <c r="A704" s="39" t="s">
        <v>1469</v>
      </c>
      <c r="B704" s="40" t="s">
        <v>1599</v>
      </c>
    </row>
    <row r="705" spans="1:2" x14ac:dyDescent="0.25">
      <c r="A705" s="39" t="s">
        <v>1470</v>
      </c>
      <c r="B705" s="40" t="s">
        <v>1600</v>
      </c>
    </row>
    <row r="706" spans="1:2" x14ac:dyDescent="0.25">
      <c r="A706" s="39" t="s">
        <v>1471</v>
      </c>
      <c r="B706" s="40" t="s">
        <v>1601</v>
      </c>
    </row>
    <row r="707" spans="1:2" x14ac:dyDescent="0.25">
      <c r="A707" s="39" t="s">
        <v>1472</v>
      </c>
      <c r="B707" s="40" t="s">
        <v>1602</v>
      </c>
    </row>
    <row r="708" spans="1:2" x14ac:dyDescent="0.25">
      <c r="A708" s="39" t="s">
        <v>1473</v>
      </c>
      <c r="B708" s="40" t="s">
        <v>1603</v>
      </c>
    </row>
    <row r="709" spans="1:2" x14ac:dyDescent="0.25">
      <c r="A709" s="39" t="s">
        <v>1474</v>
      </c>
      <c r="B709" s="40" t="s">
        <v>1604</v>
      </c>
    </row>
    <row r="710" spans="1:2" x14ac:dyDescent="0.25">
      <c r="A710" s="39" t="s">
        <v>1475</v>
      </c>
      <c r="B710" s="40" t="s">
        <v>1605</v>
      </c>
    </row>
    <row r="711" spans="1:2" x14ac:dyDescent="0.25">
      <c r="A711" s="39" t="s">
        <v>1476</v>
      </c>
      <c r="B711" s="40" t="s">
        <v>1606</v>
      </c>
    </row>
    <row r="712" spans="1:2" x14ac:dyDescent="0.25">
      <c r="A712" s="39" t="s">
        <v>1477</v>
      </c>
      <c r="B712" s="40" t="s">
        <v>1607</v>
      </c>
    </row>
    <row r="713" spans="1:2" x14ac:dyDescent="0.25">
      <c r="A713" s="39" t="s">
        <v>1478</v>
      </c>
      <c r="B713" s="40" t="s">
        <v>1608</v>
      </c>
    </row>
    <row r="714" spans="1:2" x14ac:dyDescent="0.25">
      <c r="A714" s="39" t="s">
        <v>1479</v>
      </c>
      <c r="B714" s="40" t="s">
        <v>1609</v>
      </c>
    </row>
    <row r="715" spans="1:2" x14ac:dyDescent="0.25">
      <c r="A715" s="39" t="s">
        <v>1480</v>
      </c>
      <c r="B715" s="40" t="s">
        <v>1610</v>
      </c>
    </row>
    <row r="716" spans="1:2" x14ac:dyDescent="0.25">
      <c r="A716" s="39" t="s">
        <v>1481</v>
      </c>
      <c r="B716" s="40" t="s">
        <v>1611</v>
      </c>
    </row>
    <row r="717" spans="1:2" x14ac:dyDescent="0.25">
      <c r="A717" s="39" t="s">
        <v>1482</v>
      </c>
      <c r="B717" s="40" t="s">
        <v>1612</v>
      </c>
    </row>
    <row r="718" spans="1:2" x14ac:dyDescent="0.25">
      <c r="A718" s="39" t="s">
        <v>1483</v>
      </c>
      <c r="B718" s="40" t="s">
        <v>1613</v>
      </c>
    </row>
    <row r="719" spans="1:2" x14ac:dyDescent="0.25">
      <c r="A719" s="39" t="s">
        <v>1484</v>
      </c>
      <c r="B719" s="40" t="s">
        <v>1614</v>
      </c>
    </row>
    <row r="720" spans="1:2" x14ac:dyDescent="0.25">
      <c r="A720" s="39" t="s">
        <v>1485</v>
      </c>
      <c r="B720" s="40" t="s">
        <v>1615</v>
      </c>
    </row>
    <row r="721" spans="1:2" x14ac:dyDescent="0.25">
      <c r="A721" s="39" t="s">
        <v>1486</v>
      </c>
      <c r="B721" s="40" t="s">
        <v>1616</v>
      </c>
    </row>
    <row r="722" spans="1:2" x14ac:dyDescent="0.25">
      <c r="A722" s="39" t="s">
        <v>1487</v>
      </c>
      <c r="B722" s="40" t="s">
        <v>1617</v>
      </c>
    </row>
    <row r="723" spans="1:2" x14ac:dyDescent="0.25">
      <c r="A723" s="39" t="s">
        <v>1488</v>
      </c>
      <c r="B723" s="40" t="s">
        <v>1618</v>
      </c>
    </row>
    <row r="724" spans="1:2" x14ac:dyDescent="0.25">
      <c r="A724" s="39" t="s">
        <v>1489</v>
      </c>
      <c r="B724" s="40" t="s">
        <v>1619</v>
      </c>
    </row>
    <row r="725" spans="1:2" x14ac:dyDescent="0.25">
      <c r="A725" s="39" t="s">
        <v>1490</v>
      </c>
      <c r="B725" s="40" t="s">
        <v>1620</v>
      </c>
    </row>
    <row r="726" spans="1:2" x14ac:dyDescent="0.25">
      <c r="A726" s="39" t="s">
        <v>1491</v>
      </c>
      <c r="B726" s="40" t="s">
        <v>1621</v>
      </c>
    </row>
    <row r="727" spans="1:2" x14ac:dyDescent="0.25">
      <c r="A727" s="39" t="s">
        <v>1492</v>
      </c>
      <c r="B727" s="40" t="s">
        <v>1622</v>
      </c>
    </row>
    <row r="728" spans="1:2" x14ac:dyDescent="0.25">
      <c r="A728" s="39" t="s">
        <v>1493</v>
      </c>
      <c r="B728" s="40" t="s">
        <v>1623</v>
      </c>
    </row>
    <row r="729" spans="1:2" x14ac:dyDescent="0.25">
      <c r="A729" s="39" t="s">
        <v>1494</v>
      </c>
      <c r="B729" s="40" t="s">
        <v>1624</v>
      </c>
    </row>
    <row r="730" spans="1:2" x14ac:dyDescent="0.25">
      <c r="A730" s="39" t="s">
        <v>1495</v>
      </c>
      <c r="B730" s="40" t="s">
        <v>1625</v>
      </c>
    </row>
    <row r="731" spans="1:2" x14ac:dyDescent="0.25">
      <c r="A731" s="39" t="s">
        <v>1496</v>
      </c>
      <c r="B731" s="40" t="s">
        <v>1626</v>
      </c>
    </row>
    <row r="732" spans="1:2" x14ac:dyDescent="0.25">
      <c r="A732" s="39" t="s">
        <v>1497</v>
      </c>
      <c r="B732" s="40" t="s">
        <v>1627</v>
      </c>
    </row>
    <row r="733" spans="1:2" x14ac:dyDescent="0.25">
      <c r="A733" s="39" t="s">
        <v>1498</v>
      </c>
      <c r="B733" s="40" t="s">
        <v>1628</v>
      </c>
    </row>
    <row r="734" spans="1:2" x14ac:dyDescent="0.25">
      <c r="A734" s="39" t="s">
        <v>1499</v>
      </c>
      <c r="B734" s="40" t="s">
        <v>1629</v>
      </c>
    </row>
    <row r="735" spans="1:2" x14ac:dyDescent="0.25">
      <c r="A735" s="39" t="s">
        <v>1500</v>
      </c>
      <c r="B735" s="40" t="s">
        <v>1630</v>
      </c>
    </row>
    <row r="736" spans="1:2" x14ac:dyDescent="0.25">
      <c r="A736" s="39" t="s">
        <v>1501</v>
      </c>
      <c r="B736" s="40" t="s">
        <v>1631</v>
      </c>
    </row>
    <row r="737" spans="1:2" x14ac:dyDescent="0.25">
      <c r="A737" s="39" t="s">
        <v>1502</v>
      </c>
      <c r="B737" s="40" t="s">
        <v>1632</v>
      </c>
    </row>
    <row r="738" spans="1:2" x14ac:dyDescent="0.25">
      <c r="A738" s="39" t="s">
        <v>1503</v>
      </c>
      <c r="B738" s="40" t="s">
        <v>1633</v>
      </c>
    </row>
    <row r="739" spans="1:2" x14ac:dyDescent="0.25">
      <c r="A739" s="39" t="s">
        <v>1504</v>
      </c>
      <c r="B739" s="40" t="s">
        <v>1634</v>
      </c>
    </row>
    <row r="740" spans="1:2" x14ac:dyDescent="0.25">
      <c r="A740" s="39" t="s">
        <v>1505</v>
      </c>
      <c r="B740" s="40" t="s">
        <v>1635</v>
      </c>
    </row>
    <row r="741" spans="1:2" x14ac:dyDescent="0.25">
      <c r="A741" s="39" t="s">
        <v>1506</v>
      </c>
      <c r="B741" s="40" t="s">
        <v>1636</v>
      </c>
    </row>
    <row r="742" spans="1:2" x14ac:dyDescent="0.25">
      <c r="A742" s="39" t="s">
        <v>1507</v>
      </c>
      <c r="B742" s="40" t="s">
        <v>1637</v>
      </c>
    </row>
    <row r="743" spans="1:2" x14ac:dyDescent="0.25">
      <c r="A743" s="39" t="s">
        <v>1508</v>
      </c>
      <c r="B743" s="40" t="s">
        <v>1638</v>
      </c>
    </row>
    <row r="744" spans="1:2" x14ac:dyDescent="0.25">
      <c r="A744" s="39" t="s">
        <v>1509</v>
      </c>
      <c r="B744" s="40" t="s">
        <v>1639</v>
      </c>
    </row>
    <row r="745" spans="1:2" x14ac:dyDescent="0.25">
      <c r="A745" s="39" t="s">
        <v>1510</v>
      </c>
      <c r="B745" s="40" t="s">
        <v>1640</v>
      </c>
    </row>
    <row r="746" spans="1:2" x14ac:dyDescent="0.25">
      <c r="A746" s="39" t="s">
        <v>1511</v>
      </c>
      <c r="B746" s="40" t="s">
        <v>1641</v>
      </c>
    </row>
    <row r="747" spans="1:2" x14ac:dyDescent="0.25">
      <c r="A747" s="39" t="s">
        <v>1512</v>
      </c>
      <c r="B747" s="40" t="s">
        <v>1642</v>
      </c>
    </row>
    <row r="748" spans="1:2" x14ac:dyDescent="0.25">
      <c r="A748" s="39" t="s">
        <v>1513</v>
      </c>
      <c r="B748" s="40" t="s">
        <v>1643</v>
      </c>
    </row>
    <row r="749" spans="1:2" x14ac:dyDescent="0.25">
      <c r="A749" s="39" t="s">
        <v>1514</v>
      </c>
      <c r="B749" s="40" t="s">
        <v>1644</v>
      </c>
    </row>
    <row r="750" spans="1:2" x14ac:dyDescent="0.25">
      <c r="A750" s="39" t="s">
        <v>1515</v>
      </c>
      <c r="B750" s="40" t="s">
        <v>1645</v>
      </c>
    </row>
    <row r="751" spans="1:2" x14ac:dyDescent="0.25">
      <c r="A751" s="39" t="s">
        <v>1516</v>
      </c>
      <c r="B751" s="40" t="s">
        <v>1646</v>
      </c>
    </row>
    <row r="752" spans="1:2" x14ac:dyDescent="0.25">
      <c r="A752" s="39" t="s">
        <v>1517</v>
      </c>
      <c r="B752" s="40" t="s">
        <v>1647</v>
      </c>
    </row>
    <row r="753" spans="1:2" x14ac:dyDescent="0.25">
      <c r="A753" s="39" t="s">
        <v>1518</v>
      </c>
      <c r="B753" s="40" t="s">
        <v>1648</v>
      </c>
    </row>
    <row r="754" spans="1:2" x14ac:dyDescent="0.25">
      <c r="A754" s="39" t="s">
        <v>1519</v>
      </c>
      <c r="B754" s="40" t="s">
        <v>1649</v>
      </c>
    </row>
    <row r="755" spans="1:2" x14ac:dyDescent="0.25">
      <c r="A755" s="39" t="s">
        <v>1520</v>
      </c>
      <c r="B755" s="40" t="s">
        <v>1650</v>
      </c>
    </row>
    <row r="756" spans="1:2" x14ac:dyDescent="0.25">
      <c r="A756" s="39" t="s">
        <v>1521</v>
      </c>
      <c r="B756" s="40" t="s">
        <v>1651</v>
      </c>
    </row>
    <row r="757" spans="1:2" x14ac:dyDescent="0.25">
      <c r="A757" s="39" t="s">
        <v>1522</v>
      </c>
      <c r="B757" s="40" t="s">
        <v>1652</v>
      </c>
    </row>
    <row r="758" spans="1:2" x14ac:dyDescent="0.25">
      <c r="A758" s="39" t="s">
        <v>1523</v>
      </c>
      <c r="B758" s="40" t="s">
        <v>1653</v>
      </c>
    </row>
    <row r="759" spans="1:2" x14ac:dyDescent="0.25">
      <c r="A759" s="39" t="s">
        <v>1524</v>
      </c>
      <c r="B759" s="40" t="s">
        <v>1654</v>
      </c>
    </row>
    <row r="760" spans="1:2" x14ac:dyDescent="0.25">
      <c r="A760" s="39" t="s">
        <v>1525</v>
      </c>
      <c r="B760" s="40" t="s">
        <v>1655</v>
      </c>
    </row>
    <row r="761" spans="1:2" x14ac:dyDescent="0.25">
      <c r="A761" s="39" t="s">
        <v>1526</v>
      </c>
      <c r="B761" s="40" t="s">
        <v>1656</v>
      </c>
    </row>
    <row r="762" spans="1:2" x14ac:dyDescent="0.25">
      <c r="A762" s="39" t="s">
        <v>1527</v>
      </c>
      <c r="B762" s="40" t="s">
        <v>1657</v>
      </c>
    </row>
    <row r="763" spans="1:2" x14ac:dyDescent="0.25">
      <c r="A763" s="39" t="s">
        <v>1528</v>
      </c>
      <c r="B763" s="40" t="s">
        <v>1658</v>
      </c>
    </row>
    <row r="764" spans="1:2" x14ac:dyDescent="0.25">
      <c r="A764" s="39" t="s">
        <v>1529</v>
      </c>
      <c r="B764" s="40" t="s">
        <v>1659</v>
      </c>
    </row>
    <row r="765" spans="1:2" x14ac:dyDescent="0.25">
      <c r="A765" s="39" t="s">
        <v>1530</v>
      </c>
      <c r="B765" s="40" t="s">
        <v>1660</v>
      </c>
    </row>
    <row r="766" spans="1:2" x14ac:dyDescent="0.25">
      <c r="A766" s="39" t="s">
        <v>1531</v>
      </c>
      <c r="B766" s="40" t="s">
        <v>1661</v>
      </c>
    </row>
    <row r="767" spans="1:2" x14ac:dyDescent="0.25">
      <c r="A767" s="39" t="s">
        <v>1532</v>
      </c>
      <c r="B767" s="40" t="s">
        <v>1662</v>
      </c>
    </row>
    <row r="768" spans="1:2" x14ac:dyDescent="0.25">
      <c r="A768" s="39" t="s">
        <v>1533</v>
      </c>
      <c r="B768" s="40" t="s">
        <v>1663</v>
      </c>
    </row>
    <row r="769" spans="1:2" x14ac:dyDescent="0.25">
      <c r="A769" s="39" t="s">
        <v>1534</v>
      </c>
      <c r="B769" s="40" t="s">
        <v>1664</v>
      </c>
    </row>
    <row r="770" spans="1:2" x14ac:dyDescent="0.25">
      <c r="A770" s="39" t="s">
        <v>1535</v>
      </c>
      <c r="B770" s="40" t="s">
        <v>1665</v>
      </c>
    </row>
    <row r="771" spans="1:2" x14ac:dyDescent="0.25">
      <c r="A771" s="39" t="s">
        <v>1536</v>
      </c>
      <c r="B771" s="40" t="s">
        <v>1666</v>
      </c>
    </row>
    <row r="772" spans="1:2" x14ac:dyDescent="0.25">
      <c r="A772" s="39" t="s">
        <v>1537</v>
      </c>
      <c r="B772" s="40" t="s">
        <v>1667</v>
      </c>
    </row>
    <row r="773" spans="1:2" x14ac:dyDescent="0.25">
      <c r="A773" s="39" t="s">
        <v>1538</v>
      </c>
      <c r="B773" s="40" t="s">
        <v>1668</v>
      </c>
    </row>
    <row r="774" spans="1:2" x14ac:dyDescent="0.25">
      <c r="A774" s="39" t="s">
        <v>1539</v>
      </c>
      <c r="B774" s="40" t="s">
        <v>1669</v>
      </c>
    </row>
    <row r="775" spans="1:2" x14ac:dyDescent="0.25">
      <c r="A775" s="39" t="s">
        <v>1540</v>
      </c>
      <c r="B775" s="40" t="s">
        <v>1670</v>
      </c>
    </row>
    <row r="776" spans="1:2" x14ac:dyDescent="0.25">
      <c r="A776" s="39" t="s">
        <v>1541</v>
      </c>
      <c r="B776" s="40" t="s">
        <v>1671</v>
      </c>
    </row>
    <row r="777" spans="1:2" x14ac:dyDescent="0.25">
      <c r="A777" s="39" t="s">
        <v>1542</v>
      </c>
      <c r="B777" s="40" t="s">
        <v>1672</v>
      </c>
    </row>
    <row r="778" spans="1:2" x14ac:dyDescent="0.25">
      <c r="A778" s="39" t="s">
        <v>1543</v>
      </c>
      <c r="B778" s="40" t="s">
        <v>1673</v>
      </c>
    </row>
    <row r="779" spans="1:2" x14ac:dyDescent="0.25">
      <c r="A779" s="39" t="s">
        <v>1544</v>
      </c>
      <c r="B779" s="40" t="s">
        <v>1674</v>
      </c>
    </row>
    <row r="780" spans="1:2" x14ac:dyDescent="0.25">
      <c r="A780" s="39" t="s">
        <v>1545</v>
      </c>
      <c r="B780" s="40" t="s">
        <v>1675</v>
      </c>
    </row>
    <row r="781" spans="1:2" x14ac:dyDescent="0.25">
      <c r="A781" s="39" t="s">
        <v>1546</v>
      </c>
      <c r="B781" s="40" t="s">
        <v>1676</v>
      </c>
    </row>
    <row r="782" spans="1:2" x14ac:dyDescent="0.25">
      <c r="A782" s="39" t="s">
        <v>1547</v>
      </c>
      <c r="B782" s="40" t="s">
        <v>1677</v>
      </c>
    </row>
    <row r="783" spans="1:2" x14ac:dyDescent="0.25">
      <c r="A783" s="39" t="s">
        <v>1548</v>
      </c>
      <c r="B783" s="40" t="s">
        <v>1678</v>
      </c>
    </row>
    <row r="784" spans="1:2" x14ac:dyDescent="0.25">
      <c r="A784" s="39" t="s">
        <v>1549</v>
      </c>
      <c r="B784" s="40" t="s">
        <v>1679</v>
      </c>
    </row>
    <row r="785" spans="1:2" x14ac:dyDescent="0.25">
      <c r="A785" s="39" t="s">
        <v>1550</v>
      </c>
      <c r="B785" s="40" t="s">
        <v>1680</v>
      </c>
    </row>
    <row r="786" spans="1:2" x14ac:dyDescent="0.25">
      <c r="A786" s="39" t="s">
        <v>1551</v>
      </c>
      <c r="B786" s="40" t="s">
        <v>1681</v>
      </c>
    </row>
    <row r="787" spans="1:2" x14ac:dyDescent="0.25">
      <c r="A787" s="39" t="s">
        <v>1552</v>
      </c>
      <c r="B787" s="40" t="s">
        <v>1682</v>
      </c>
    </row>
    <row r="788" spans="1:2" x14ac:dyDescent="0.25">
      <c r="A788" s="39" t="s">
        <v>1553</v>
      </c>
      <c r="B788" s="40" t="s">
        <v>1683</v>
      </c>
    </row>
    <row r="789" spans="1:2" x14ac:dyDescent="0.25">
      <c r="A789" s="39" t="s">
        <v>1554</v>
      </c>
      <c r="B789" s="40" t="s">
        <v>1684</v>
      </c>
    </row>
    <row r="790" spans="1:2" x14ac:dyDescent="0.25">
      <c r="A790" s="39" t="s">
        <v>1555</v>
      </c>
      <c r="B790" s="40" t="s">
        <v>1685</v>
      </c>
    </row>
    <row r="791" spans="1:2" x14ac:dyDescent="0.25">
      <c r="A791" s="39" t="s">
        <v>1556</v>
      </c>
      <c r="B791" s="40" t="s">
        <v>1686</v>
      </c>
    </row>
    <row r="792" spans="1:2" x14ac:dyDescent="0.25">
      <c r="A792" s="39" t="s">
        <v>1557</v>
      </c>
      <c r="B792" s="40" t="s">
        <v>1687</v>
      </c>
    </row>
    <row r="793" spans="1:2" x14ac:dyDescent="0.25">
      <c r="A793" s="39" t="s">
        <v>1558</v>
      </c>
      <c r="B793" s="40" t="s">
        <v>1688</v>
      </c>
    </row>
    <row r="794" spans="1:2" x14ac:dyDescent="0.25">
      <c r="A794" s="39" t="s">
        <v>1559</v>
      </c>
      <c r="B794" s="40" t="s">
        <v>1689</v>
      </c>
    </row>
    <row r="795" spans="1:2" x14ac:dyDescent="0.25">
      <c r="A795" s="39" t="s">
        <v>1560</v>
      </c>
      <c r="B795" s="40" t="s">
        <v>1690</v>
      </c>
    </row>
    <row r="796" spans="1:2" x14ac:dyDescent="0.25">
      <c r="A796" s="39" t="s">
        <v>1561</v>
      </c>
      <c r="B796" s="40" t="s">
        <v>1691</v>
      </c>
    </row>
    <row r="797" spans="1:2" x14ac:dyDescent="0.25">
      <c r="A797" s="39" t="s">
        <v>1562</v>
      </c>
      <c r="B797" s="40" t="s">
        <v>1692</v>
      </c>
    </row>
    <row r="798" spans="1:2" x14ac:dyDescent="0.25">
      <c r="A798" s="39" t="s">
        <v>1563</v>
      </c>
      <c r="B798" s="40" t="s">
        <v>1693</v>
      </c>
    </row>
    <row r="799" spans="1:2" x14ac:dyDescent="0.25">
      <c r="A799" s="39" t="s">
        <v>1564</v>
      </c>
      <c r="B799" s="40" t="s">
        <v>1694</v>
      </c>
    </row>
    <row r="800" spans="1:2" x14ac:dyDescent="0.25">
      <c r="A800" s="39" t="s">
        <v>1565</v>
      </c>
      <c r="B800" s="40" t="s">
        <v>1695</v>
      </c>
    </row>
    <row r="801" spans="1:2" x14ac:dyDescent="0.25">
      <c r="A801" s="39" t="s">
        <v>1566</v>
      </c>
      <c r="B801" s="40" t="s">
        <v>1696</v>
      </c>
    </row>
    <row r="802" spans="1:2" x14ac:dyDescent="0.25">
      <c r="A802" s="39" t="s">
        <v>1567</v>
      </c>
      <c r="B802" s="40" t="s">
        <v>1697</v>
      </c>
    </row>
    <row r="803" spans="1:2" x14ac:dyDescent="0.25">
      <c r="A803" s="39" t="s">
        <v>1568</v>
      </c>
      <c r="B803" s="40" t="s">
        <v>1698</v>
      </c>
    </row>
    <row r="804" spans="1:2" x14ac:dyDescent="0.25">
      <c r="A804" s="39" t="s">
        <v>1569</v>
      </c>
      <c r="B804" s="40" t="s">
        <v>1699</v>
      </c>
    </row>
    <row r="805" spans="1:2" x14ac:dyDescent="0.25">
      <c r="A805" s="39" t="s">
        <v>1570</v>
      </c>
      <c r="B805" s="40" t="s">
        <v>1700</v>
      </c>
    </row>
    <row r="806" spans="1:2" x14ac:dyDescent="0.25">
      <c r="A806" s="39" t="s">
        <v>1571</v>
      </c>
      <c r="B806" s="40" t="s">
        <v>1701</v>
      </c>
    </row>
    <row r="807" spans="1:2" x14ac:dyDescent="0.25">
      <c r="A807" s="39" t="s">
        <v>1572</v>
      </c>
      <c r="B807" s="40" t="s">
        <v>1702</v>
      </c>
    </row>
    <row r="808" spans="1:2" x14ac:dyDescent="0.25">
      <c r="A808" s="39" t="s">
        <v>1573</v>
      </c>
      <c r="B808" s="40" t="s">
        <v>1703</v>
      </c>
    </row>
    <row r="809" spans="1:2" x14ac:dyDescent="0.25">
      <c r="A809" s="39" t="s">
        <v>1574</v>
      </c>
      <c r="B809" s="40" t="s">
        <v>1704</v>
      </c>
    </row>
    <row r="810" spans="1:2" x14ac:dyDescent="0.25">
      <c r="A810" s="39" t="s">
        <v>1575</v>
      </c>
      <c r="B810" s="40" t="s">
        <v>1705</v>
      </c>
    </row>
    <row r="811" spans="1:2" x14ac:dyDescent="0.25">
      <c r="A811" s="39" t="s">
        <v>1576</v>
      </c>
      <c r="B811" s="40" t="s">
        <v>1706</v>
      </c>
    </row>
    <row r="812" spans="1:2" x14ac:dyDescent="0.25">
      <c r="A812" s="39" t="s">
        <v>1577</v>
      </c>
      <c r="B812" s="40" t="s">
        <v>1707</v>
      </c>
    </row>
    <row r="813" spans="1:2" x14ac:dyDescent="0.25">
      <c r="A813" s="39" t="s">
        <v>1578</v>
      </c>
      <c r="B813" s="40" t="s">
        <v>1708</v>
      </c>
    </row>
    <row r="814" spans="1:2" x14ac:dyDescent="0.25">
      <c r="A814" s="39" t="s">
        <v>1579</v>
      </c>
      <c r="B814" s="40" t="s">
        <v>1709</v>
      </c>
    </row>
    <row r="815" spans="1:2" x14ac:dyDescent="0.25">
      <c r="A815" s="39" t="s">
        <v>1580</v>
      </c>
      <c r="B815" s="40" t="s">
        <v>1710</v>
      </c>
    </row>
    <row r="816" spans="1:2" x14ac:dyDescent="0.25">
      <c r="A816" s="39" t="s">
        <v>1581</v>
      </c>
      <c r="B816" s="40" t="s">
        <v>1711</v>
      </c>
    </row>
    <row r="817" spans="1:2" x14ac:dyDescent="0.25">
      <c r="A817" s="39" t="s">
        <v>1582</v>
      </c>
      <c r="B817" s="40" t="s">
        <v>1712</v>
      </c>
    </row>
    <row r="818" spans="1:2" x14ac:dyDescent="0.25">
      <c r="A818" s="42" t="s">
        <v>1583</v>
      </c>
      <c r="B818" s="43" t="s">
        <v>1713</v>
      </c>
    </row>
    <row r="819" spans="1:2" x14ac:dyDescent="0.25">
      <c r="A819" s="39" t="s">
        <v>1714</v>
      </c>
      <c r="B819" s="40" t="s">
        <v>1719</v>
      </c>
    </row>
    <row r="820" spans="1:2" x14ac:dyDescent="0.25">
      <c r="A820" s="39" t="s">
        <v>1715</v>
      </c>
      <c r="B820" s="40" t="s">
        <v>1720</v>
      </c>
    </row>
    <row r="821" spans="1:2" x14ac:dyDescent="0.25">
      <c r="A821" s="39" t="s">
        <v>1716</v>
      </c>
      <c r="B821" s="40" t="s">
        <v>1721</v>
      </c>
    </row>
    <row r="822" spans="1:2" x14ac:dyDescent="0.25">
      <c r="A822" s="39" t="s">
        <v>1717</v>
      </c>
      <c r="B822" s="40" t="s">
        <v>1722</v>
      </c>
    </row>
    <row r="823" spans="1:2" x14ac:dyDescent="0.25">
      <c r="A823" s="42" t="s">
        <v>1718</v>
      </c>
      <c r="B823" s="43" t="s">
        <v>1723</v>
      </c>
    </row>
    <row r="824" spans="1:2" x14ac:dyDescent="0.25">
      <c r="A824" s="39" t="s">
        <v>1726</v>
      </c>
      <c r="B824" s="40" t="s">
        <v>1732</v>
      </c>
    </row>
    <row r="825" spans="1:2" x14ac:dyDescent="0.25">
      <c r="A825" s="39" t="s">
        <v>1727</v>
      </c>
      <c r="B825" s="40" t="s">
        <v>1733</v>
      </c>
    </row>
    <row r="826" spans="1:2" x14ac:dyDescent="0.25">
      <c r="A826" s="39" t="s">
        <v>1728</v>
      </c>
      <c r="B826" s="40" t="s">
        <v>1734</v>
      </c>
    </row>
    <row r="827" spans="1:2" x14ac:dyDescent="0.25">
      <c r="A827" s="39" t="s">
        <v>1729</v>
      </c>
      <c r="B827" s="40" t="s">
        <v>1735</v>
      </c>
    </row>
    <row r="828" spans="1:2" x14ac:dyDescent="0.25">
      <c r="A828" s="39" t="s">
        <v>1730</v>
      </c>
      <c r="B828" s="40" t="s">
        <v>1736</v>
      </c>
    </row>
    <row r="829" spans="1:2" x14ac:dyDescent="0.25">
      <c r="A829" s="42" t="s">
        <v>1731</v>
      </c>
      <c r="B829" s="43" t="s">
        <v>1737</v>
      </c>
    </row>
    <row r="830" spans="1:2" x14ac:dyDescent="0.25">
      <c r="A830" s="39" t="s">
        <v>2390</v>
      </c>
      <c r="B830" s="40" t="s">
        <v>2420</v>
      </c>
    </row>
    <row r="831" spans="1:2" x14ac:dyDescent="0.25">
      <c r="A831" s="39" t="s">
        <v>2391</v>
      </c>
      <c r="B831" s="40" t="s">
        <v>2421</v>
      </c>
    </row>
    <row r="832" spans="1:2" x14ac:dyDescent="0.25">
      <c r="A832" s="39" t="s">
        <v>2392</v>
      </c>
      <c r="B832" s="40" t="s">
        <v>2422</v>
      </c>
    </row>
    <row r="833" spans="1:2" x14ac:dyDescent="0.25">
      <c r="A833" s="39" t="s">
        <v>2393</v>
      </c>
      <c r="B833" s="40" t="s">
        <v>2423</v>
      </c>
    </row>
    <row r="834" spans="1:2" x14ac:dyDescent="0.25">
      <c r="A834" s="39" t="s">
        <v>2394</v>
      </c>
      <c r="B834" s="40" t="s">
        <v>2424</v>
      </c>
    </row>
    <row r="835" spans="1:2" x14ac:dyDescent="0.25">
      <c r="A835" s="39" t="s">
        <v>2395</v>
      </c>
      <c r="B835" s="40" t="s">
        <v>2425</v>
      </c>
    </row>
    <row r="836" spans="1:2" x14ac:dyDescent="0.25">
      <c r="A836" s="39" t="s">
        <v>2396</v>
      </c>
      <c r="B836" s="40" t="s">
        <v>2426</v>
      </c>
    </row>
    <row r="837" spans="1:2" x14ac:dyDescent="0.25">
      <c r="A837" s="39" t="s">
        <v>2397</v>
      </c>
      <c r="B837" s="40" t="s">
        <v>2427</v>
      </c>
    </row>
    <row r="838" spans="1:2" x14ac:dyDescent="0.25">
      <c r="A838" s="39" t="s">
        <v>2398</v>
      </c>
      <c r="B838" s="40" t="s">
        <v>2428</v>
      </c>
    </row>
    <row r="839" spans="1:2" x14ac:dyDescent="0.25">
      <c r="A839" s="39" t="s">
        <v>2399</v>
      </c>
      <c r="B839" s="40" t="s">
        <v>2429</v>
      </c>
    </row>
    <row r="840" spans="1:2" x14ac:dyDescent="0.25">
      <c r="A840" s="39" t="s">
        <v>2400</v>
      </c>
      <c r="B840" s="40" t="s">
        <v>2430</v>
      </c>
    </row>
    <row r="841" spans="1:2" x14ac:dyDescent="0.25">
      <c r="A841" s="39" t="s">
        <v>2401</v>
      </c>
      <c r="B841" s="40" t="s">
        <v>2431</v>
      </c>
    </row>
    <row r="842" spans="1:2" x14ac:dyDescent="0.25">
      <c r="A842" s="41" t="s">
        <v>2402</v>
      </c>
      <c r="B842" s="40" t="s">
        <v>2432</v>
      </c>
    </row>
    <row r="843" spans="1:2" x14ac:dyDescent="0.25">
      <c r="A843" s="39" t="s">
        <v>2403</v>
      </c>
      <c r="B843" s="40" t="s">
        <v>2433</v>
      </c>
    </row>
    <row r="844" spans="1:2" x14ac:dyDescent="0.25">
      <c r="A844" s="39" t="s">
        <v>2404</v>
      </c>
      <c r="B844" s="40" t="s">
        <v>2434</v>
      </c>
    </row>
    <row r="845" spans="1:2" x14ac:dyDescent="0.25">
      <c r="A845" s="39" t="s">
        <v>2405</v>
      </c>
      <c r="B845" s="40" t="s">
        <v>2435</v>
      </c>
    </row>
    <row r="846" spans="1:2" x14ac:dyDescent="0.25">
      <c r="A846" s="39" t="s">
        <v>2406</v>
      </c>
      <c r="B846" s="40" t="s">
        <v>2436</v>
      </c>
    </row>
    <row r="847" spans="1:2" x14ac:dyDescent="0.25">
      <c r="A847" s="39" t="s">
        <v>2407</v>
      </c>
      <c r="B847" s="40" t="s">
        <v>2437</v>
      </c>
    </row>
    <row r="848" spans="1:2" x14ac:dyDescent="0.25">
      <c r="A848" s="39" t="s">
        <v>2408</v>
      </c>
      <c r="B848" s="40" t="s">
        <v>2438</v>
      </c>
    </row>
    <row r="849" spans="1:2" x14ac:dyDescent="0.25">
      <c r="A849" s="39" t="s">
        <v>2409</v>
      </c>
      <c r="B849" s="40" t="s">
        <v>2439</v>
      </c>
    </row>
    <row r="850" spans="1:2" x14ac:dyDescent="0.25">
      <c r="A850" s="39" t="s">
        <v>2410</v>
      </c>
      <c r="B850" s="40" t="s">
        <v>2440</v>
      </c>
    </row>
    <row r="851" spans="1:2" x14ac:dyDescent="0.25">
      <c r="A851" s="39" t="s">
        <v>2411</v>
      </c>
      <c r="B851" s="40" t="s">
        <v>2441</v>
      </c>
    </row>
    <row r="852" spans="1:2" x14ac:dyDescent="0.25">
      <c r="A852" s="39" t="s">
        <v>2412</v>
      </c>
      <c r="B852" s="40" t="s">
        <v>2442</v>
      </c>
    </row>
    <row r="853" spans="1:2" x14ac:dyDescent="0.25">
      <c r="A853" s="39" t="s">
        <v>2413</v>
      </c>
      <c r="B853" s="40" t="s">
        <v>2443</v>
      </c>
    </row>
    <row r="854" spans="1:2" x14ac:dyDescent="0.25">
      <c r="A854" s="39" t="s">
        <v>2414</v>
      </c>
      <c r="B854" s="40" t="s">
        <v>2444</v>
      </c>
    </row>
    <row r="855" spans="1:2" x14ac:dyDescent="0.25">
      <c r="A855" s="39" t="s">
        <v>2415</v>
      </c>
      <c r="B855" s="40" t="s">
        <v>2445</v>
      </c>
    </row>
    <row r="856" spans="1:2" x14ac:dyDescent="0.25">
      <c r="A856" s="39" t="s">
        <v>2416</v>
      </c>
      <c r="B856" s="40" t="s">
        <v>2446</v>
      </c>
    </row>
    <row r="857" spans="1:2" x14ac:dyDescent="0.25">
      <c r="A857" s="39" t="s">
        <v>2417</v>
      </c>
      <c r="B857" s="40" t="s">
        <v>2447</v>
      </c>
    </row>
    <row r="858" spans="1:2" x14ac:dyDescent="0.25">
      <c r="A858" s="39" t="s">
        <v>2418</v>
      </c>
      <c r="B858" s="40" t="s">
        <v>2448</v>
      </c>
    </row>
    <row r="859" spans="1:2" x14ac:dyDescent="0.25">
      <c r="A859" s="42" t="s">
        <v>2419</v>
      </c>
      <c r="B859" s="43" t="s">
        <v>2449</v>
      </c>
    </row>
    <row r="860" spans="1:2" x14ac:dyDescent="0.25">
      <c r="A860" s="39" t="s">
        <v>4413</v>
      </c>
      <c r="B860" s="40" t="s">
        <v>4442</v>
      </c>
    </row>
    <row r="861" spans="1:2" x14ac:dyDescent="0.25">
      <c r="A861" s="39" t="s">
        <v>4414</v>
      </c>
      <c r="B861" s="40" t="s">
        <v>4443</v>
      </c>
    </row>
    <row r="862" spans="1:2" x14ac:dyDescent="0.25">
      <c r="A862" s="39" t="s">
        <v>4415</v>
      </c>
      <c r="B862" s="40" t="s">
        <v>4444</v>
      </c>
    </row>
    <row r="863" spans="1:2" x14ac:dyDescent="0.25">
      <c r="A863" s="39" t="s">
        <v>4416</v>
      </c>
      <c r="B863" s="40" t="s">
        <v>4445</v>
      </c>
    </row>
    <row r="864" spans="1:2" x14ac:dyDescent="0.25">
      <c r="A864" s="39" t="s">
        <v>4417</v>
      </c>
      <c r="B864" s="40" t="s">
        <v>4446</v>
      </c>
    </row>
    <row r="865" spans="1:2" x14ac:dyDescent="0.25">
      <c r="A865" s="39" t="s">
        <v>4418</v>
      </c>
      <c r="B865" s="40" t="s">
        <v>4447</v>
      </c>
    </row>
    <row r="866" spans="1:2" x14ac:dyDescent="0.25">
      <c r="A866" s="39" t="s">
        <v>4419</v>
      </c>
      <c r="B866" s="40" t="s">
        <v>4448</v>
      </c>
    </row>
    <row r="867" spans="1:2" x14ac:dyDescent="0.25">
      <c r="A867" s="39" t="s">
        <v>4420</v>
      </c>
      <c r="B867" s="40" t="s">
        <v>4449</v>
      </c>
    </row>
    <row r="868" spans="1:2" x14ac:dyDescent="0.25">
      <c r="A868" s="39" t="s">
        <v>4421</v>
      </c>
      <c r="B868" s="40" t="s">
        <v>4450</v>
      </c>
    </row>
    <row r="869" spans="1:2" x14ac:dyDescent="0.25">
      <c r="A869" s="39" t="s">
        <v>4422</v>
      </c>
      <c r="B869" s="40" t="s">
        <v>4451</v>
      </c>
    </row>
    <row r="870" spans="1:2" x14ac:dyDescent="0.25">
      <c r="A870" s="39" t="s">
        <v>4423</v>
      </c>
      <c r="B870" s="40" t="s">
        <v>4452</v>
      </c>
    </row>
    <row r="871" spans="1:2" x14ac:dyDescent="0.25">
      <c r="A871" s="39" t="s">
        <v>4424</v>
      </c>
      <c r="B871" s="40" t="s">
        <v>4453</v>
      </c>
    </row>
    <row r="872" spans="1:2" x14ac:dyDescent="0.25">
      <c r="A872" s="39" t="s">
        <v>4425</v>
      </c>
      <c r="B872" s="40" t="s">
        <v>4454</v>
      </c>
    </row>
    <row r="873" spans="1:2" x14ac:dyDescent="0.25">
      <c r="A873" s="39" t="s">
        <v>4426</v>
      </c>
      <c r="B873" s="40" t="s">
        <v>4455</v>
      </c>
    </row>
    <row r="874" spans="1:2" x14ac:dyDescent="0.25">
      <c r="A874" s="39" t="s">
        <v>4427</v>
      </c>
      <c r="B874" s="40" t="s">
        <v>4456</v>
      </c>
    </row>
    <row r="875" spans="1:2" x14ac:dyDescent="0.25">
      <c r="A875" s="39" t="s">
        <v>4428</v>
      </c>
      <c r="B875" s="40" t="s">
        <v>4457</v>
      </c>
    </row>
    <row r="876" spans="1:2" x14ac:dyDescent="0.25">
      <c r="A876" s="39" t="s">
        <v>4429</v>
      </c>
      <c r="B876" s="40" t="s">
        <v>4458</v>
      </c>
    </row>
    <row r="877" spans="1:2" x14ac:dyDescent="0.25">
      <c r="A877" s="39" t="s">
        <v>4430</v>
      </c>
      <c r="B877" s="40" t="s">
        <v>4459</v>
      </c>
    </row>
    <row r="878" spans="1:2" x14ac:dyDescent="0.25">
      <c r="A878" s="39" t="s">
        <v>4431</v>
      </c>
      <c r="B878" s="40" t="s">
        <v>4460</v>
      </c>
    </row>
    <row r="879" spans="1:2" x14ac:dyDescent="0.25">
      <c r="A879" s="39" t="s">
        <v>4432</v>
      </c>
      <c r="B879" s="40" t="s">
        <v>4461</v>
      </c>
    </row>
    <row r="880" spans="1:2" x14ac:dyDescent="0.25">
      <c r="A880" s="39" t="s">
        <v>4433</v>
      </c>
      <c r="B880" s="40" t="s">
        <v>4462</v>
      </c>
    </row>
    <row r="881" spans="1:2" x14ac:dyDescent="0.25">
      <c r="A881" s="39" t="s">
        <v>4434</v>
      </c>
      <c r="B881" s="40" t="s">
        <v>4463</v>
      </c>
    </row>
    <row r="882" spans="1:2" x14ac:dyDescent="0.25">
      <c r="A882" s="39" t="s">
        <v>4435</v>
      </c>
      <c r="B882" s="40" t="s">
        <v>4464</v>
      </c>
    </row>
    <row r="883" spans="1:2" x14ac:dyDescent="0.25">
      <c r="A883" s="39" t="s">
        <v>4436</v>
      </c>
      <c r="B883" s="40" t="s">
        <v>4465</v>
      </c>
    </row>
    <row r="884" spans="1:2" x14ac:dyDescent="0.25">
      <c r="A884" s="39" t="s">
        <v>4437</v>
      </c>
      <c r="B884" s="40" t="s">
        <v>4466</v>
      </c>
    </row>
    <row r="885" spans="1:2" x14ac:dyDescent="0.25">
      <c r="A885" s="39" t="s">
        <v>4438</v>
      </c>
      <c r="B885" s="40" t="s">
        <v>4467</v>
      </c>
    </row>
    <row r="886" spans="1:2" x14ac:dyDescent="0.25">
      <c r="A886" s="39" t="s">
        <v>4439</v>
      </c>
      <c r="B886" s="40" t="s">
        <v>4468</v>
      </c>
    </row>
    <row r="887" spans="1:2" x14ac:dyDescent="0.25">
      <c r="A887" s="39" t="s">
        <v>4440</v>
      </c>
      <c r="B887" s="40" t="s">
        <v>4469</v>
      </c>
    </row>
    <row r="888" spans="1:2" x14ac:dyDescent="0.25">
      <c r="A888" s="42" t="s">
        <v>4441</v>
      </c>
      <c r="B888" s="43" t="s">
        <v>4470</v>
      </c>
    </row>
    <row r="889" spans="1:2" x14ac:dyDescent="0.25">
      <c r="A889" s="39" t="s">
        <v>4482</v>
      </c>
      <c r="B889" s="40" t="s">
        <v>4551</v>
      </c>
    </row>
    <row r="890" spans="1:2" x14ac:dyDescent="0.25">
      <c r="A890" s="39" t="s">
        <v>4483</v>
      </c>
      <c r="B890" s="40" t="s">
        <v>4552</v>
      </c>
    </row>
    <row r="891" spans="1:2" x14ac:dyDescent="0.25">
      <c r="A891" s="39" t="s">
        <v>4484</v>
      </c>
      <c r="B891" s="40" t="s">
        <v>4553</v>
      </c>
    </row>
    <row r="892" spans="1:2" x14ac:dyDescent="0.25">
      <c r="A892" s="39" t="s">
        <v>4485</v>
      </c>
      <c r="B892" s="40" t="s">
        <v>4554</v>
      </c>
    </row>
    <row r="893" spans="1:2" x14ac:dyDescent="0.25">
      <c r="A893" s="39" t="s">
        <v>4486</v>
      </c>
      <c r="B893" s="40" t="s">
        <v>4555</v>
      </c>
    </row>
    <row r="894" spans="1:2" x14ac:dyDescent="0.25">
      <c r="A894" s="41" t="s">
        <v>4487</v>
      </c>
      <c r="B894" s="40" t="s">
        <v>4556</v>
      </c>
    </row>
    <row r="895" spans="1:2" x14ac:dyDescent="0.25">
      <c r="A895" s="39" t="s">
        <v>4488</v>
      </c>
      <c r="B895" s="40" t="s">
        <v>4557</v>
      </c>
    </row>
    <row r="896" spans="1:2" x14ac:dyDescent="0.25">
      <c r="A896" s="39" t="s">
        <v>4489</v>
      </c>
      <c r="B896" s="40" t="s">
        <v>4558</v>
      </c>
    </row>
    <row r="897" spans="1:2" x14ac:dyDescent="0.25">
      <c r="A897" s="39" t="s">
        <v>4490</v>
      </c>
      <c r="B897" s="40" t="s">
        <v>4559</v>
      </c>
    </row>
    <row r="898" spans="1:2" x14ac:dyDescent="0.25">
      <c r="A898" s="39" t="s">
        <v>4491</v>
      </c>
      <c r="B898" s="40" t="s">
        <v>4560</v>
      </c>
    </row>
    <row r="899" spans="1:2" x14ac:dyDescent="0.25">
      <c r="A899" s="39" t="s">
        <v>4492</v>
      </c>
      <c r="B899" s="40" t="s">
        <v>4561</v>
      </c>
    </row>
    <row r="900" spans="1:2" x14ac:dyDescent="0.25">
      <c r="A900" s="39" t="s">
        <v>4493</v>
      </c>
      <c r="B900" s="40" t="s">
        <v>4562</v>
      </c>
    </row>
    <row r="901" spans="1:2" x14ac:dyDescent="0.25">
      <c r="A901" s="39" t="s">
        <v>4494</v>
      </c>
      <c r="B901" s="40" t="s">
        <v>4563</v>
      </c>
    </row>
    <row r="902" spans="1:2" x14ac:dyDescent="0.25">
      <c r="A902" s="39" t="s">
        <v>4495</v>
      </c>
      <c r="B902" s="40" t="s">
        <v>4564</v>
      </c>
    </row>
    <row r="903" spans="1:2" x14ac:dyDescent="0.25">
      <c r="A903" s="39" t="s">
        <v>4496</v>
      </c>
      <c r="B903" s="40" t="s">
        <v>4565</v>
      </c>
    </row>
    <row r="904" spans="1:2" x14ac:dyDescent="0.25">
      <c r="A904" s="39" t="s">
        <v>4497</v>
      </c>
      <c r="B904" s="40" t="s">
        <v>4566</v>
      </c>
    </row>
    <row r="905" spans="1:2" x14ac:dyDescent="0.25">
      <c r="A905" s="39" t="s">
        <v>4498</v>
      </c>
      <c r="B905" s="40" t="s">
        <v>4567</v>
      </c>
    </row>
    <row r="906" spans="1:2" x14ac:dyDescent="0.25">
      <c r="A906" s="39" t="s">
        <v>4499</v>
      </c>
      <c r="B906" s="40" t="s">
        <v>4568</v>
      </c>
    </row>
    <row r="907" spans="1:2" x14ac:dyDescent="0.25">
      <c r="A907" s="39" t="s">
        <v>4500</v>
      </c>
      <c r="B907" s="40" t="s">
        <v>4569</v>
      </c>
    </row>
    <row r="908" spans="1:2" x14ac:dyDescent="0.25">
      <c r="A908" s="39" t="s">
        <v>4501</v>
      </c>
      <c r="B908" s="40" t="s">
        <v>4570</v>
      </c>
    </row>
    <row r="909" spans="1:2" x14ac:dyDescent="0.25">
      <c r="A909" s="39" t="s">
        <v>4502</v>
      </c>
      <c r="B909" s="40" t="s">
        <v>4571</v>
      </c>
    </row>
    <row r="910" spans="1:2" x14ac:dyDescent="0.25">
      <c r="A910" s="39" t="s">
        <v>4503</v>
      </c>
      <c r="B910" s="40" t="s">
        <v>4572</v>
      </c>
    </row>
    <row r="911" spans="1:2" x14ac:dyDescent="0.25">
      <c r="A911" s="39" t="s">
        <v>4504</v>
      </c>
      <c r="B911" s="40" t="s">
        <v>4573</v>
      </c>
    </row>
    <row r="912" spans="1:2" x14ac:dyDescent="0.25">
      <c r="A912" s="39" t="s">
        <v>4505</v>
      </c>
      <c r="B912" s="40" t="s">
        <v>4574</v>
      </c>
    </row>
    <row r="913" spans="1:2" x14ac:dyDescent="0.25">
      <c r="A913" s="39" t="s">
        <v>4506</v>
      </c>
      <c r="B913" s="40" t="s">
        <v>4575</v>
      </c>
    </row>
    <row r="914" spans="1:2" x14ac:dyDescent="0.25">
      <c r="A914" s="39" t="s">
        <v>4507</v>
      </c>
      <c r="B914" s="40" t="s">
        <v>4576</v>
      </c>
    </row>
    <row r="915" spans="1:2" x14ac:dyDescent="0.25">
      <c r="A915" s="39" t="s">
        <v>4508</v>
      </c>
      <c r="B915" s="40" t="s">
        <v>4577</v>
      </c>
    </row>
    <row r="916" spans="1:2" x14ac:dyDescent="0.25">
      <c r="A916" s="39" t="s">
        <v>4509</v>
      </c>
      <c r="B916" s="40" t="s">
        <v>4578</v>
      </c>
    </row>
    <row r="917" spans="1:2" x14ac:dyDescent="0.25">
      <c r="A917" s="39" t="s">
        <v>4510</v>
      </c>
      <c r="B917" s="40" t="s">
        <v>4579</v>
      </c>
    </row>
    <row r="918" spans="1:2" x14ac:dyDescent="0.25">
      <c r="A918" s="39" t="s">
        <v>4511</v>
      </c>
      <c r="B918" s="40" t="s">
        <v>4580</v>
      </c>
    </row>
    <row r="919" spans="1:2" x14ac:dyDescent="0.25">
      <c r="A919" s="39" t="s">
        <v>4512</v>
      </c>
      <c r="B919" s="40" t="s">
        <v>4581</v>
      </c>
    </row>
    <row r="920" spans="1:2" x14ac:dyDescent="0.25">
      <c r="A920" s="39" t="s">
        <v>4513</v>
      </c>
      <c r="B920" s="40" t="s">
        <v>4582</v>
      </c>
    </row>
    <row r="921" spans="1:2" x14ac:dyDescent="0.25">
      <c r="A921" s="39" t="s">
        <v>4514</v>
      </c>
      <c r="B921" s="40" t="s">
        <v>4583</v>
      </c>
    </row>
    <row r="922" spans="1:2" x14ac:dyDescent="0.25">
      <c r="A922" s="39" t="s">
        <v>4515</v>
      </c>
      <c r="B922" s="40" t="s">
        <v>4584</v>
      </c>
    </row>
    <row r="923" spans="1:2" x14ac:dyDescent="0.25">
      <c r="A923" s="39" t="s">
        <v>4516</v>
      </c>
      <c r="B923" s="40" t="s">
        <v>4585</v>
      </c>
    </row>
    <row r="924" spans="1:2" x14ac:dyDescent="0.25">
      <c r="A924" s="39" t="s">
        <v>4517</v>
      </c>
      <c r="B924" s="40" t="s">
        <v>4586</v>
      </c>
    </row>
    <row r="925" spans="1:2" x14ac:dyDescent="0.25">
      <c r="A925" s="39" t="s">
        <v>4518</v>
      </c>
      <c r="B925" s="40" t="s">
        <v>4587</v>
      </c>
    </row>
    <row r="926" spans="1:2" x14ac:dyDescent="0.25">
      <c r="A926" s="39" t="s">
        <v>4519</v>
      </c>
      <c r="B926" s="40" t="s">
        <v>4588</v>
      </c>
    </row>
    <row r="927" spans="1:2" x14ac:dyDescent="0.25">
      <c r="A927" s="39" t="s">
        <v>4520</v>
      </c>
      <c r="B927" s="40" t="s">
        <v>4589</v>
      </c>
    </row>
    <row r="928" spans="1:2" x14ac:dyDescent="0.25">
      <c r="A928" s="39" t="s">
        <v>4521</v>
      </c>
      <c r="B928" s="40" t="s">
        <v>4590</v>
      </c>
    </row>
    <row r="929" spans="1:2" x14ac:dyDescent="0.25">
      <c r="A929" s="39" t="s">
        <v>4522</v>
      </c>
      <c r="B929" s="40" t="s">
        <v>4591</v>
      </c>
    </row>
    <row r="930" spans="1:2" x14ac:dyDescent="0.25">
      <c r="A930" s="39" t="s">
        <v>4523</v>
      </c>
      <c r="B930" s="40" t="s">
        <v>4592</v>
      </c>
    </row>
    <row r="931" spans="1:2" x14ac:dyDescent="0.25">
      <c r="A931" s="39" t="s">
        <v>4524</v>
      </c>
      <c r="B931" s="40" t="s">
        <v>4593</v>
      </c>
    </row>
    <row r="932" spans="1:2" x14ac:dyDescent="0.25">
      <c r="A932" s="39" t="s">
        <v>4525</v>
      </c>
      <c r="B932" s="40" t="s">
        <v>4594</v>
      </c>
    </row>
    <row r="933" spans="1:2" x14ac:dyDescent="0.25">
      <c r="A933" s="39" t="s">
        <v>4526</v>
      </c>
      <c r="B933" s="40" t="s">
        <v>4595</v>
      </c>
    </row>
    <row r="934" spans="1:2" x14ac:dyDescent="0.25">
      <c r="A934" s="39" t="s">
        <v>4527</v>
      </c>
      <c r="B934" s="40" t="s">
        <v>4596</v>
      </c>
    </row>
    <row r="935" spans="1:2" x14ac:dyDescent="0.25">
      <c r="A935" s="39" t="s">
        <v>4528</v>
      </c>
      <c r="B935" s="40" t="s">
        <v>4597</v>
      </c>
    </row>
    <row r="936" spans="1:2" x14ac:dyDescent="0.25">
      <c r="A936" s="39" t="s">
        <v>4529</v>
      </c>
      <c r="B936" s="40" t="s">
        <v>4598</v>
      </c>
    </row>
    <row r="937" spans="1:2" x14ac:dyDescent="0.25">
      <c r="A937" s="39" t="s">
        <v>4530</v>
      </c>
      <c r="B937" s="40" t="s">
        <v>4599</v>
      </c>
    </row>
    <row r="938" spans="1:2" x14ac:dyDescent="0.25">
      <c r="A938" s="39" t="s">
        <v>4531</v>
      </c>
      <c r="B938" s="40" t="s">
        <v>4600</v>
      </c>
    </row>
    <row r="939" spans="1:2" x14ac:dyDescent="0.25">
      <c r="A939" s="39" t="s">
        <v>4532</v>
      </c>
      <c r="B939" s="40" t="s">
        <v>4601</v>
      </c>
    </row>
    <row r="940" spans="1:2" x14ac:dyDescent="0.25">
      <c r="A940" s="39" t="s">
        <v>4533</v>
      </c>
      <c r="B940" s="40" t="s">
        <v>4602</v>
      </c>
    </row>
    <row r="941" spans="1:2" x14ac:dyDescent="0.25">
      <c r="A941" s="39" t="s">
        <v>4534</v>
      </c>
      <c r="B941" s="40" t="s">
        <v>4603</v>
      </c>
    </row>
    <row r="942" spans="1:2" x14ac:dyDescent="0.25">
      <c r="A942" s="39" t="s">
        <v>4535</v>
      </c>
      <c r="B942" s="40" t="s">
        <v>4604</v>
      </c>
    </row>
    <row r="943" spans="1:2" x14ac:dyDescent="0.25">
      <c r="A943" s="39" t="s">
        <v>4536</v>
      </c>
      <c r="B943" s="40" t="s">
        <v>4605</v>
      </c>
    </row>
    <row r="944" spans="1:2" x14ac:dyDescent="0.25">
      <c r="A944" s="39" t="s">
        <v>4537</v>
      </c>
      <c r="B944" s="40" t="s">
        <v>4606</v>
      </c>
    </row>
    <row r="945" spans="1:2" x14ac:dyDescent="0.25">
      <c r="A945" s="39" t="s">
        <v>4538</v>
      </c>
      <c r="B945" s="40" t="s">
        <v>4607</v>
      </c>
    </row>
    <row r="946" spans="1:2" x14ac:dyDescent="0.25">
      <c r="A946" s="39" t="s">
        <v>4539</v>
      </c>
      <c r="B946" s="40" t="s">
        <v>4608</v>
      </c>
    </row>
    <row r="947" spans="1:2" x14ac:dyDescent="0.25">
      <c r="A947" s="39" t="s">
        <v>4540</v>
      </c>
      <c r="B947" s="40" t="s">
        <v>4609</v>
      </c>
    </row>
    <row r="948" spans="1:2" x14ac:dyDescent="0.25">
      <c r="A948" s="39" t="s">
        <v>4541</v>
      </c>
      <c r="B948" s="40" t="s">
        <v>4610</v>
      </c>
    </row>
    <row r="949" spans="1:2" x14ac:dyDescent="0.25">
      <c r="A949" s="39" t="s">
        <v>4542</v>
      </c>
      <c r="B949" s="40" t="s">
        <v>4611</v>
      </c>
    </row>
    <row r="950" spans="1:2" x14ac:dyDescent="0.25">
      <c r="A950" s="39" t="s">
        <v>4543</v>
      </c>
      <c r="B950" s="40" t="s">
        <v>4612</v>
      </c>
    </row>
    <row r="951" spans="1:2" x14ac:dyDescent="0.25">
      <c r="A951" s="39" t="s">
        <v>4544</v>
      </c>
      <c r="B951" s="40" t="s">
        <v>4613</v>
      </c>
    </row>
    <row r="952" spans="1:2" x14ac:dyDescent="0.25">
      <c r="A952" s="39" t="s">
        <v>4545</v>
      </c>
      <c r="B952" s="40" t="s">
        <v>4614</v>
      </c>
    </row>
    <row r="953" spans="1:2" x14ac:dyDescent="0.25">
      <c r="A953" s="39" t="s">
        <v>4546</v>
      </c>
      <c r="B953" s="40" t="s">
        <v>4615</v>
      </c>
    </row>
    <row r="954" spans="1:2" x14ac:dyDescent="0.25">
      <c r="A954" s="39" t="s">
        <v>4547</v>
      </c>
      <c r="B954" s="40" t="s">
        <v>4616</v>
      </c>
    </row>
    <row r="955" spans="1:2" x14ac:dyDescent="0.25">
      <c r="A955" s="39" t="s">
        <v>4548</v>
      </c>
      <c r="B955" s="40" t="s">
        <v>4617</v>
      </c>
    </row>
    <row r="956" spans="1:2" x14ac:dyDescent="0.25">
      <c r="A956" s="39" t="s">
        <v>4549</v>
      </c>
      <c r="B956" s="40" t="s">
        <v>4618</v>
      </c>
    </row>
    <row r="957" spans="1:2" x14ac:dyDescent="0.25">
      <c r="A957" s="42" t="s">
        <v>4550</v>
      </c>
      <c r="B957" s="43" t="s">
        <v>4619</v>
      </c>
    </row>
    <row r="958" spans="1:2" x14ac:dyDescent="0.25">
      <c r="A958" s="39" t="s">
        <v>4699</v>
      </c>
      <c r="B958" s="40" t="s">
        <v>4814</v>
      </c>
    </row>
    <row r="959" spans="1:2" x14ac:dyDescent="0.25">
      <c r="A959" s="39" t="s">
        <v>4700</v>
      </c>
      <c r="B959" s="40" t="s">
        <v>4815</v>
      </c>
    </row>
    <row r="960" spans="1:2" x14ac:dyDescent="0.25">
      <c r="A960" s="39" t="s">
        <v>4701</v>
      </c>
      <c r="B960" s="40" t="s">
        <v>4816</v>
      </c>
    </row>
    <row r="961" spans="1:2" x14ac:dyDescent="0.25">
      <c r="A961" s="39" t="s">
        <v>4702</v>
      </c>
      <c r="B961" s="40" t="s">
        <v>4817</v>
      </c>
    </row>
    <row r="962" spans="1:2" x14ac:dyDescent="0.25">
      <c r="A962" s="39" t="s">
        <v>4703</v>
      </c>
      <c r="B962" s="40" t="s">
        <v>4818</v>
      </c>
    </row>
    <row r="963" spans="1:2" x14ac:dyDescent="0.25">
      <c r="A963" s="39" t="s">
        <v>4704</v>
      </c>
      <c r="B963" s="40" t="s">
        <v>4819</v>
      </c>
    </row>
    <row r="964" spans="1:2" x14ac:dyDescent="0.25">
      <c r="A964" s="39" t="s">
        <v>4705</v>
      </c>
      <c r="B964" s="40" t="s">
        <v>4820</v>
      </c>
    </row>
    <row r="965" spans="1:2" x14ac:dyDescent="0.25">
      <c r="A965" s="39" t="s">
        <v>4706</v>
      </c>
      <c r="B965" s="40" t="s">
        <v>4821</v>
      </c>
    </row>
    <row r="966" spans="1:2" x14ac:dyDescent="0.25">
      <c r="A966" s="39" t="s">
        <v>4707</v>
      </c>
      <c r="B966" s="40" t="s">
        <v>4822</v>
      </c>
    </row>
    <row r="967" spans="1:2" x14ac:dyDescent="0.25">
      <c r="A967" s="39" t="s">
        <v>4708</v>
      </c>
      <c r="B967" s="40" t="s">
        <v>4823</v>
      </c>
    </row>
    <row r="968" spans="1:2" x14ac:dyDescent="0.25">
      <c r="A968" s="39" t="s">
        <v>4709</v>
      </c>
      <c r="B968" s="40" t="s">
        <v>4824</v>
      </c>
    </row>
    <row r="969" spans="1:2" x14ac:dyDescent="0.25">
      <c r="A969" s="39" t="s">
        <v>4710</v>
      </c>
      <c r="B969" s="40" t="s">
        <v>4825</v>
      </c>
    </row>
    <row r="970" spans="1:2" x14ac:dyDescent="0.25">
      <c r="A970" s="39" t="s">
        <v>4711</v>
      </c>
      <c r="B970" s="40" t="s">
        <v>4826</v>
      </c>
    </row>
    <row r="971" spans="1:2" x14ac:dyDescent="0.25">
      <c r="A971" s="39" t="s">
        <v>4712</v>
      </c>
      <c r="B971" s="40" t="s">
        <v>4827</v>
      </c>
    </row>
    <row r="972" spans="1:2" x14ac:dyDescent="0.25">
      <c r="A972" s="39" t="s">
        <v>4713</v>
      </c>
      <c r="B972" s="40" t="s">
        <v>4828</v>
      </c>
    </row>
    <row r="973" spans="1:2" x14ac:dyDescent="0.25">
      <c r="A973" s="39" t="s">
        <v>4714</v>
      </c>
      <c r="B973" s="40" t="s">
        <v>4829</v>
      </c>
    </row>
    <row r="974" spans="1:2" x14ac:dyDescent="0.25">
      <c r="A974" s="39" t="s">
        <v>4715</v>
      </c>
      <c r="B974" s="40" t="s">
        <v>4830</v>
      </c>
    </row>
    <row r="975" spans="1:2" x14ac:dyDescent="0.25">
      <c r="A975" s="39" t="s">
        <v>4716</v>
      </c>
      <c r="B975" s="40" t="s">
        <v>4831</v>
      </c>
    </row>
    <row r="976" spans="1:2" x14ac:dyDescent="0.25">
      <c r="A976" s="39" t="s">
        <v>4717</v>
      </c>
      <c r="B976" s="40" t="s">
        <v>4832</v>
      </c>
    </row>
    <row r="977" spans="1:2" x14ac:dyDescent="0.25">
      <c r="A977" s="39" t="s">
        <v>4718</v>
      </c>
      <c r="B977" s="40" t="s">
        <v>4833</v>
      </c>
    </row>
    <row r="978" spans="1:2" x14ac:dyDescent="0.25">
      <c r="A978" s="39" t="s">
        <v>4719</v>
      </c>
      <c r="B978" s="40" t="s">
        <v>4834</v>
      </c>
    </row>
    <row r="979" spans="1:2" x14ac:dyDescent="0.25">
      <c r="A979" s="39" t="s">
        <v>4720</v>
      </c>
      <c r="B979" s="40" t="s">
        <v>4835</v>
      </c>
    </row>
    <row r="980" spans="1:2" x14ac:dyDescent="0.25">
      <c r="A980" s="39" t="s">
        <v>4721</v>
      </c>
      <c r="B980" s="40" t="s">
        <v>4836</v>
      </c>
    </row>
    <row r="981" spans="1:2" x14ac:dyDescent="0.25">
      <c r="A981" s="39" t="s">
        <v>4722</v>
      </c>
      <c r="B981" s="40" t="s">
        <v>4837</v>
      </c>
    </row>
    <row r="982" spans="1:2" x14ac:dyDescent="0.25">
      <c r="A982" s="39" t="s">
        <v>4723</v>
      </c>
      <c r="B982" s="40" t="s">
        <v>4838</v>
      </c>
    </row>
    <row r="983" spans="1:2" x14ac:dyDescent="0.25">
      <c r="A983" s="39" t="s">
        <v>4724</v>
      </c>
      <c r="B983" s="40" t="s">
        <v>4839</v>
      </c>
    </row>
    <row r="984" spans="1:2" x14ac:dyDescent="0.25">
      <c r="A984" s="39" t="s">
        <v>4725</v>
      </c>
      <c r="B984" s="40" t="s">
        <v>4840</v>
      </c>
    </row>
    <row r="985" spans="1:2" x14ac:dyDescent="0.25">
      <c r="A985" s="39" t="s">
        <v>4726</v>
      </c>
      <c r="B985" s="40" t="s">
        <v>4841</v>
      </c>
    </row>
    <row r="986" spans="1:2" x14ac:dyDescent="0.25">
      <c r="A986" s="39" t="s">
        <v>4727</v>
      </c>
      <c r="B986" s="40" t="s">
        <v>4842</v>
      </c>
    </row>
    <row r="987" spans="1:2" x14ac:dyDescent="0.25">
      <c r="A987" s="39" t="s">
        <v>4728</v>
      </c>
      <c r="B987" s="40" t="s">
        <v>4843</v>
      </c>
    </row>
    <row r="988" spans="1:2" x14ac:dyDescent="0.25">
      <c r="A988" s="39" t="s">
        <v>4729</v>
      </c>
      <c r="B988" s="40" t="s">
        <v>4844</v>
      </c>
    </row>
    <row r="989" spans="1:2" x14ac:dyDescent="0.25">
      <c r="A989" s="39" t="s">
        <v>4730</v>
      </c>
      <c r="B989" s="40" t="s">
        <v>4845</v>
      </c>
    </row>
    <row r="990" spans="1:2" x14ac:dyDescent="0.25">
      <c r="A990" s="39" t="s">
        <v>4731</v>
      </c>
      <c r="B990" s="40" t="s">
        <v>4846</v>
      </c>
    </row>
    <row r="991" spans="1:2" x14ac:dyDescent="0.25">
      <c r="A991" s="39" t="s">
        <v>4732</v>
      </c>
      <c r="B991" s="40" t="s">
        <v>4847</v>
      </c>
    </row>
    <row r="992" spans="1:2" x14ac:dyDescent="0.25">
      <c r="A992" s="39" t="s">
        <v>4733</v>
      </c>
      <c r="B992" s="40" t="s">
        <v>4848</v>
      </c>
    </row>
    <row r="993" spans="1:2" x14ac:dyDescent="0.25">
      <c r="A993" s="39" t="s">
        <v>4734</v>
      </c>
      <c r="B993" s="40" t="s">
        <v>4849</v>
      </c>
    </row>
    <row r="994" spans="1:2" x14ac:dyDescent="0.25">
      <c r="A994" s="39" t="s">
        <v>4735</v>
      </c>
      <c r="B994" s="40" t="s">
        <v>4850</v>
      </c>
    </row>
    <row r="995" spans="1:2" x14ac:dyDescent="0.25">
      <c r="A995" s="39" t="s">
        <v>4736</v>
      </c>
      <c r="B995" s="40" t="s">
        <v>4851</v>
      </c>
    </row>
    <row r="996" spans="1:2" x14ac:dyDescent="0.25">
      <c r="A996" s="41" t="s">
        <v>4737</v>
      </c>
      <c r="B996" s="40" t="s">
        <v>4852</v>
      </c>
    </row>
    <row r="997" spans="1:2" x14ac:dyDescent="0.25">
      <c r="A997" s="41" t="s">
        <v>4738</v>
      </c>
      <c r="B997" s="40" t="s">
        <v>4853</v>
      </c>
    </row>
    <row r="998" spans="1:2" x14ac:dyDescent="0.25">
      <c r="A998" s="39" t="s">
        <v>4739</v>
      </c>
      <c r="B998" s="40" t="s">
        <v>4854</v>
      </c>
    </row>
    <row r="999" spans="1:2" x14ac:dyDescent="0.25">
      <c r="A999" s="39" t="s">
        <v>4740</v>
      </c>
      <c r="B999" s="40" t="s">
        <v>4855</v>
      </c>
    </row>
    <row r="1000" spans="1:2" x14ac:dyDescent="0.25">
      <c r="A1000" s="39" t="s">
        <v>4741</v>
      </c>
      <c r="B1000" s="40" t="s">
        <v>4856</v>
      </c>
    </row>
    <row r="1001" spans="1:2" x14ac:dyDescent="0.25">
      <c r="A1001" s="39" t="s">
        <v>4742</v>
      </c>
      <c r="B1001" s="40" t="s">
        <v>4857</v>
      </c>
    </row>
    <row r="1002" spans="1:2" x14ac:dyDescent="0.25">
      <c r="A1002" s="39" t="s">
        <v>4743</v>
      </c>
      <c r="B1002" s="40" t="s">
        <v>4858</v>
      </c>
    </row>
    <row r="1003" spans="1:2" x14ac:dyDescent="0.25">
      <c r="A1003" s="39" t="s">
        <v>4744</v>
      </c>
      <c r="B1003" s="40" t="s">
        <v>4859</v>
      </c>
    </row>
    <row r="1004" spans="1:2" x14ac:dyDescent="0.25">
      <c r="A1004" s="39" t="s">
        <v>4745</v>
      </c>
      <c r="B1004" s="40" t="s">
        <v>4860</v>
      </c>
    </row>
    <row r="1005" spans="1:2" x14ac:dyDescent="0.25">
      <c r="A1005" s="39" t="s">
        <v>4746</v>
      </c>
      <c r="B1005" s="40" t="s">
        <v>4861</v>
      </c>
    </row>
    <row r="1006" spans="1:2" x14ac:dyDescent="0.25">
      <c r="A1006" s="39" t="s">
        <v>4747</v>
      </c>
      <c r="B1006" s="40" t="s">
        <v>4862</v>
      </c>
    </row>
    <row r="1007" spans="1:2" x14ac:dyDescent="0.25">
      <c r="A1007" s="39" t="s">
        <v>4748</v>
      </c>
      <c r="B1007" s="40" t="s">
        <v>4863</v>
      </c>
    </row>
    <row r="1008" spans="1:2" x14ac:dyDescent="0.25">
      <c r="A1008" s="39" t="s">
        <v>4749</v>
      </c>
      <c r="B1008" s="40" t="s">
        <v>4864</v>
      </c>
    </row>
    <row r="1009" spans="1:2" x14ac:dyDescent="0.25">
      <c r="A1009" s="39" t="s">
        <v>4750</v>
      </c>
      <c r="B1009" s="40" t="s">
        <v>4865</v>
      </c>
    </row>
    <row r="1010" spans="1:2" x14ac:dyDescent="0.25">
      <c r="A1010" s="39" t="s">
        <v>4751</v>
      </c>
      <c r="B1010" s="40" t="s">
        <v>4866</v>
      </c>
    </row>
    <row r="1011" spans="1:2" x14ac:dyDescent="0.25">
      <c r="A1011" s="39" t="s">
        <v>4752</v>
      </c>
      <c r="B1011" s="40" t="s">
        <v>4867</v>
      </c>
    </row>
    <row r="1012" spans="1:2" x14ac:dyDescent="0.25">
      <c r="A1012" s="39" t="s">
        <v>4753</v>
      </c>
      <c r="B1012" s="40" t="s">
        <v>4868</v>
      </c>
    </row>
    <row r="1013" spans="1:2" x14ac:dyDescent="0.25">
      <c r="A1013" s="39" t="s">
        <v>4754</v>
      </c>
      <c r="B1013" s="40" t="s">
        <v>4869</v>
      </c>
    </row>
    <row r="1014" spans="1:2" x14ac:dyDescent="0.25">
      <c r="A1014" s="39" t="s">
        <v>4755</v>
      </c>
      <c r="B1014" s="40" t="s">
        <v>4870</v>
      </c>
    </row>
    <row r="1015" spans="1:2" x14ac:dyDescent="0.25">
      <c r="A1015" s="39" t="s">
        <v>4756</v>
      </c>
      <c r="B1015" s="40" t="s">
        <v>4871</v>
      </c>
    </row>
    <row r="1016" spans="1:2" x14ac:dyDescent="0.25">
      <c r="A1016" s="39" t="s">
        <v>4757</v>
      </c>
      <c r="B1016" s="40" t="s">
        <v>4872</v>
      </c>
    </row>
    <row r="1017" spans="1:2" x14ac:dyDescent="0.25">
      <c r="A1017" s="41" t="s">
        <v>4758</v>
      </c>
      <c r="B1017" s="40" t="s">
        <v>4873</v>
      </c>
    </row>
    <row r="1018" spans="1:2" x14ac:dyDescent="0.25">
      <c r="A1018" s="39" t="s">
        <v>4759</v>
      </c>
      <c r="B1018" s="40" t="s">
        <v>4874</v>
      </c>
    </row>
    <row r="1019" spans="1:2" x14ac:dyDescent="0.25">
      <c r="A1019" s="39" t="s">
        <v>4760</v>
      </c>
      <c r="B1019" s="40" t="s">
        <v>4875</v>
      </c>
    </row>
    <row r="1020" spans="1:2" x14ac:dyDescent="0.25">
      <c r="A1020" s="39" t="s">
        <v>4761</v>
      </c>
      <c r="B1020" s="40" t="s">
        <v>4876</v>
      </c>
    </row>
    <row r="1021" spans="1:2" x14ac:dyDescent="0.25">
      <c r="A1021" s="39" t="s">
        <v>4762</v>
      </c>
      <c r="B1021" s="40" t="s">
        <v>4877</v>
      </c>
    </row>
    <row r="1022" spans="1:2" x14ac:dyDescent="0.25">
      <c r="A1022" s="39" t="s">
        <v>4763</v>
      </c>
      <c r="B1022" s="40" t="s">
        <v>4878</v>
      </c>
    </row>
    <row r="1023" spans="1:2" x14ac:dyDescent="0.25">
      <c r="A1023" s="39" t="s">
        <v>4764</v>
      </c>
      <c r="B1023" s="40" t="s">
        <v>4879</v>
      </c>
    </row>
    <row r="1024" spans="1:2" x14ac:dyDescent="0.25">
      <c r="A1024" s="39" t="s">
        <v>4765</v>
      </c>
      <c r="B1024" s="40" t="s">
        <v>4880</v>
      </c>
    </row>
    <row r="1025" spans="1:2" x14ac:dyDescent="0.25">
      <c r="A1025" s="39" t="s">
        <v>4766</v>
      </c>
      <c r="B1025" s="40" t="s">
        <v>4881</v>
      </c>
    </row>
    <row r="1026" spans="1:2" x14ac:dyDescent="0.25">
      <c r="A1026" s="39" t="s">
        <v>4767</v>
      </c>
      <c r="B1026" s="40" t="s">
        <v>4882</v>
      </c>
    </row>
    <row r="1027" spans="1:2" x14ac:dyDescent="0.25">
      <c r="A1027" s="39" t="s">
        <v>4768</v>
      </c>
      <c r="B1027" s="40" t="s">
        <v>4883</v>
      </c>
    </row>
    <row r="1028" spans="1:2" x14ac:dyDescent="0.25">
      <c r="A1028" s="39" t="s">
        <v>4769</v>
      </c>
      <c r="B1028" s="40" t="s">
        <v>4884</v>
      </c>
    </row>
    <row r="1029" spans="1:2" x14ac:dyDescent="0.25">
      <c r="A1029" s="39" t="s">
        <v>4770</v>
      </c>
      <c r="B1029" s="40" t="s">
        <v>4885</v>
      </c>
    </row>
    <row r="1030" spans="1:2" x14ac:dyDescent="0.25">
      <c r="A1030" s="39" t="s">
        <v>4771</v>
      </c>
      <c r="B1030" s="40" t="s">
        <v>4886</v>
      </c>
    </row>
    <row r="1031" spans="1:2" x14ac:dyDescent="0.25">
      <c r="A1031" s="39" t="s">
        <v>4772</v>
      </c>
      <c r="B1031" s="40" t="s">
        <v>4887</v>
      </c>
    </row>
    <row r="1032" spans="1:2" x14ac:dyDescent="0.25">
      <c r="A1032" s="39" t="s">
        <v>4773</v>
      </c>
      <c r="B1032" s="40" t="s">
        <v>4888</v>
      </c>
    </row>
    <row r="1033" spans="1:2" x14ac:dyDescent="0.25">
      <c r="A1033" s="39" t="s">
        <v>4774</v>
      </c>
      <c r="B1033" s="40" t="s">
        <v>4889</v>
      </c>
    </row>
    <row r="1034" spans="1:2" x14ac:dyDescent="0.25">
      <c r="A1034" s="39" t="s">
        <v>4775</v>
      </c>
      <c r="B1034" s="40" t="s">
        <v>4890</v>
      </c>
    </row>
    <row r="1035" spans="1:2" x14ac:dyDescent="0.25">
      <c r="A1035" s="39" t="s">
        <v>4776</v>
      </c>
      <c r="B1035" s="40" t="s">
        <v>4891</v>
      </c>
    </row>
    <row r="1036" spans="1:2" x14ac:dyDescent="0.25">
      <c r="A1036" s="39" t="s">
        <v>4777</v>
      </c>
      <c r="B1036" s="40" t="s">
        <v>4892</v>
      </c>
    </row>
    <row r="1037" spans="1:2" x14ac:dyDescent="0.25">
      <c r="A1037" s="39" t="s">
        <v>4778</v>
      </c>
      <c r="B1037" s="40" t="s">
        <v>4893</v>
      </c>
    </row>
    <row r="1038" spans="1:2" x14ac:dyDescent="0.25">
      <c r="A1038" s="39" t="s">
        <v>4779</v>
      </c>
      <c r="B1038" s="40" t="s">
        <v>4894</v>
      </c>
    </row>
    <row r="1039" spans="1:2" x14ac:dyDescent="0.25">
      <c r="A1039" s="39" t="s">
        <v>4780</v>
      </c>
      <c r="B1039" s="40" t="s">
        <v>4895</v>
      </c>
    </row>
    <row r="1040" spans="1:2" x14ac:dyDescent="0.25">
      <c r="A1040" s="41" t="s">
        <v>4781</v>
      </c>
      <c r="B1040" s="40" t="s">
        <v>4896</v>
      </c>
    </row>
    <row r="1041" spans="1:2" x14ac:dyDescent="0.25">
      <c r="A1041" s="39" t="s">
        <v>4782</v>
      </c>
      <c r="B1041" s="40" t="s">
        <v>4897</v>
      </c>
    </row>
    <row r="1042" spans="1:2" x14ac:dyDescent="0.25">
      <c r="A1042" s="39" t="s">
        <v>4783</v>
      </c>
      <c r="B1042" s="40" t="s">
        <v>4898</v>
      </c>
    </row>
    <row r="1043" spans="1:2" x14ac:dyDescent="0.25">
      <c r="A1043" s="39" t="s">
        <v>4784</v>
      </c>
      <c r="B1043" s="40" t="s">
        <v>4899</v>
      </c>
    </row>
    <row r="1044" spans="1:2" x14ac:dyDescent="0.25">
      <c r="A1044" s="39" t="s">
        <v>4785</v>
      </c>
      <c r="B1044" s="40" t="s">
        <v>4900</v>
      </c>
    </row>
    <row r="1045" spans="1:2" x14ac:dyDescent="0.25">
      <c r="A1045" s="39" t="s">
        <v>4786</v>
      </c>
      <c r="B1045" s="40" t="s">
        <v>4901</v>
      </c>
    </row>
    <row r="1046" spans="1:2" x14ac:dyDescent="0.25">
      <c r="A1046" s="39" t="s">
        <v>4787</v>
      </c>
      <c r="B1046" s="40" t="s">
        <v>4902</v>
      </c>
    </row>
    <row r="1047" spans="1:2" x14ac:dyDescent="0.25">
      <c r="A1047" s="39" t="s">
        <v>4788</v>
      </c>
      <c r="B1047" s="40" t="s">
        <v>4903</v>
      </c>
    </row>
    <row r="1048" spans="1:2" x14ac:dyDescent="0.25">
      <c r="A1048" s="39" t="s">
        <v>4789</v>
      </c>
      <c r="B1048" s="40" t="s">
        <v>4904</v>
      </c>
    </row>
    <row r="1049" spans="1:2" x14ac:dyDescent="0.25">
      <c r="A1049" s="39" t="s">
        <v>4790</v>
      </c>
      <c r="B1049" s="40" t="s">
        <v>4905</v>
      </c>
    </row>
    <row r="1050" spans="1:2" x14ac:dyDescent="0.25">
      <c r="A1050" s="39" t="s">
        <v>4791</v>
      </c>
      <c r="B1050" s="40" t="s">
        <v>4906</v>
      </c>
    </row>
    <row r="1051" spans="1:2" x14ac:dyDescent="0.25">
      <c r="A1051" s="39" t="s">
        <v>4792</v>
      </c>
      <c r="B1051" s="40" t="s">
        <v>4907</v>
      </c>
    </row>
    <row r="1052" spans="1:2" x14ac:dyDescent="0.25">
      <c r="A1052" s="39" t="s">
        <v>4793</v>
      </c>
      <c r="B1052" s="40" t="s">
        <v>4908</v>
      </c>
    </row>
    <row r="1053" spans="1:2" x14ac:dyDescent="0.25">
      <c r="A1053" s="39" t="s">
        <v>4794</v>
      </c>
      <c r="B1053" s="40" t="s">
        <v>4909</v>
      </c>
    </row>
    <row r="1054" spans="1:2" x14ac:dyDescent="0.25">
      <c r="A1054" s="39" t="s">
        <v>4795</v>
      </c>
      <c r="B1054" s="40" t="s">
        <v>4910</v>
      </c>
    </row>
    <row r="1055" spans="1:2" x14ac:dyDescent="0.25">
      <c r="A1055" s="39" t="s">
        <v>4796</v>
      </c>
      <c r="B1055" s="40" t="s">
        <v>4911</v>
      </c>
    </row>
    <row r="1056" spans="1:2" x14ac:dyDescent="0.25">
      <c r="A1056" s="39" t="s">
        <v>4797</v>
      </c>
      <c r="B1056" s="40" t="s">
        <v>4912</v>
      </c>
    </row>
    <row r="1057" spans="1:2" x14ac:dyDescent="0.25">
      <c r="A1057" s="39" t="s">
        <v>4798</v>
      </c>
      <c r="B1057" s="40" t="s">
        <v>4913</v>
      </c>
    </row>
    <row r="1058" spans="1:2" x14ac:dyDescent="0.25">
      <c r="A1058" s="39" t="s">
        <v>4799</v>
      </c>
      <c r="B1058" s="40" t="s">
        <v>4914</v>
      </c>
    </row>
    <row r="1059" spans="1:2" x14ac:dyDescent="0.25">
      <c r="A1059" s="39" t="s">
        <v>4800</v>
      </c>
      <c r="B1059" s="40" t="s">
        <v>4915</v>
      </c>
    </row>
    <row r="1060" spans="1:2" x14ac:dyDescent="0.25">
      <c r="A1060" s="39" t="s">
        <v>4801</v>
      </c>
      <c r="B1060" s="40" t="s">
        <v>4916</v>
      </c>
    </row>
    <row r="1061" spans="1:2" x14ac:dyDescent="0.25">
      <c r="A1061" s="39" t="s">
        <v>4802</v>
      </c>
      <c r="B1061" s="40" t="s">
        <v>4917</v>
      </c>
    </row>
    <row r="1062" spans="1:2" x14ac:dyDescent="0.25">
      <c r="A1062" s="39" t="s">
        <v>4803</v>
      </c>
      <c r="B1062" s="40" t="s">
        <v>4918</v>
      </c>
    </row>
    <row r="1063" spans="1:2" x14ac:dyDescent="0.25">
      <c r="A1063" s="39" t="s">
        <v>4804</v>
      </c>
      <c r="B1063" s="40" t="s">
        <v>4919</v>
      </c>
    </row>
    <row r="1064" spans="1:2" x14ac:dyDescent="0.25">
      <c r="A1064" s="39" t="s">
        <v>4805</v>
      </c>
      <c r="B1064" s="40" t="s">
        <v>4920</v>
      </c>
    </row>
    <row r="1065" spans="1:2" x14ac:dyDescent="0.25">
      <c r="A1065" s="39" t="s">
        <v>4806</v>
      </c>
      <c r="B1065" s="40" t="s">
        <v>4921</v>
      </c>
    </row>
    <row r="1066" spans="1:2" x14ac:dyDescent="0.25">
      <c r="A1066" s="39" t="s">
        <v>4807</v>
      </c>
      <c r="B1066" s="40" t="s">
        <v>4922</v>
      </c>
    </row>
    <row r="1067" spans="1:2" x14ac:dyDescent="0.25">
      <c r="A1067" s="39" t="s">
        <v>4808</v>
      </c>
      <c r="B1067" s="40" t="s">
        <v>4923</v>
      </c>
    </row>
    <row r="1068" spans="1:2" x14ac:dyDescent="0.25">
      <c r="A1068" s="39" t="s">
        <v>4809</v>
      </c>
      <c r="B1068" s="40" t="s">
        <v>4924</v>
      </c>
    </row>
    <row r="1069" spans="1:2" x14ac:dyDescent="0.25">
      <c r="A1069" s="39" t="s">
        <v>4810</v>
      </c>
      <c r="B1069" s="40" t="s">
        <v>4925</v>
      </c>
    </row>
    <row r="1070" spans="1:2" x14ac:dyDescent="0.25">
      <c r="A1070" s="39" t="s">
        <v>4811</v>
      </c>
      <c r="B1070" s="40" t="s">
        <v>4926</v>
      </c>
    </row>
    <row r="1071" spans="1:2" x14ac:dyDescent="0.25">
      <c r="A1071" s="39" t="s">
        <v>4812</v>
      </c>
      <c r="B1071" s="40" t="s">
        <v>4927</v>
      </c>
    </row>
    <row r="1072" spans="1:2" x14ac:dyDescent="0.25">
      <c r="A1072" s="42" t="s">
        <v>4813</v>
      </c>
      <c r="B1072" s="43" t="s">
        <v>4928</v>
      </c>
    </row>
    <row r="1073" spans="1:2" x14ac:dyDescent="0.25">
      <c r="A1073" s="39" t="s">
        <v>4929</v>
      </c>
      <c r="B1073" s="40" t="s">
        <v>4937</v>
      </c>
    </row>
    <row r="1074" spans="1:2" x14ac:dyDescent="0.25">
      <c r="A1074" s="39" t="s">
        <v>4930</v>
      </c>
      <c r="B1074" s="40" t="s">
        <v>4938</v>
      </c>
    </row>
    <row r="1075" spans="1:2" x14ac:dyDescent="0.25">
      <c r="A1075" s="39" t="s">
        <v>4931</v>
      </c>
      <c r="B1075" s="40" t="s">
        <v>4939</v>
      </c>
    </row>
    <row r="1076" spans="1:2" x14ac:dyDescent="0.25">
      <c r="A1076" s="39" t="s">
        <v>4932</v>
      </c>
      <c r="B1076" s="40" t="s">
        <v>4940</v>
      </c>
    </row>
    <row r="1077" spans="1:2" x14ac:dyDescent="0.25">
      <c r="A1077" s="39" t="s">
        <v>4933</v>
      </c>
      <c r="B1077" s="40" t="s">
        <v>4941</v>
      </c>
    </row>
    <row r="1078" spans="1:2" x14ac:dyDescent="0.25">
      <c r="A1078" s="39" t="s">
        <v>4934</v>
      </c>
      <c r="B1078" s="40" t="s">
        <v>4942</v>
      </c>
    </row>
    <row r="1079" spans="1:2" x14ac:dyDescent="0.25">
      <c r="A1079" s="39" t="s">
        <v>4935</v>
      </c>
      <c r="B1079" s="40" t="s">
        <v>4943</v>
      </c>
    </row>
    <row r="1080" spans="1:2" x14ac:dyDescent="0.25">
      <c r="A1080" s="42" t="s">
        <v>4936</v>
      </c>
      <c r="B1080" s="43" t="s">
        <v>4944</v>
      </c>
    </row>
    <row r="1081" spans="1:2" x14ac:dyDescent="0.25">
      <c r="A1081" s="39" t="s">
        <v>4945</v>
      </c>
      <c r="B1081" s="40" t="s">
        <v>4953</v>
      </c>
    </row>
    <row r="1082" spans="1:2" x14ac:dyDescent="0.25">
      <c r="A1082" s="39" t="s">
        <v>4946</v>
      </c>
      <c r="B1082" s="40" t="s">
        <v>4954</v>
      </c>
    </row>
    <row r="1083" spans="1:2" x14ac:dyDescent="0.25">
      <c r="A1083" s="39" t="s">
        <v>4947</v>
      </c>
      <c r="B1083" s="40" t="s">
        <v>4955</v>
      </c>
    </row>
    <row r="1084" spans="1:2" x14ac:dyDescent="0.25">
      <c r="A1084" s="39" t="s">
        <v>4948</v>
      </c>
      <c r="B1084" s="40" t="s">
        <v>4956</v>
      </c>
    </row>
    <row r="1085" spans="1:2" x14ac:dyDescent="0.25">
      <c r="A1085" s="39" t="s">
        <v>4949</v>
      </c>
      <c r="B1085" s="40" t="s">
        <v>4957</v>
      </c>
    </row>
    <row r="1086" spans="1:2" x14ac:dyDescent="0.25">
      <c r="A1086" s="39" t="s">
        <v>4950</v>
      </c>
      <c r="B1086" s="40" t="s">
        <v>4958</v>
      </c>
    </row>
    <row r="1087" spans="1:2" x14ac:dyDescent="0.25">
      <c r="A1087" s="39" t="s">
        <v>4951</v>
      </c>
      <c r="B1087" s="40" t="s">
        <v>4959</v>
      </c>
    </row>
    <row r="1088" spans="1:2" x14ac:dyDescent="0.25">
      <c r="A1088" s="42" t="s">
        <v>4952</v>
      </c>
      <c r="B1088" s="43" t="s">
        <v>4960</v>
      </c>
    </row>
    <row r="1089" spans="1:2" x14ac:dyDescent="0.25">
      <c r="A1089" s="39" t="s">
        <v>4961</v>
      </c>
      <c r="B1089" s="40" t="s">
        <v>4968</v>
      </c>
    </row>
    <row r="1090" spans="1:2" x14ac:dyDescent="0.25">
      <c r="A1090" s="39" t="s">
        <v>4962</v>
      </c>
      <c r="B1090" s="40" t="s">
        <v>4969</v>
      </c>
    </row>
    <row r="1091" spans="1:2" x14ac:dyDescent="0.25">
      <c r="A1091" s="39" t="s">
        <v>4963</v>
      </c>
      <c r="B1091" s="40" t="s">
        <v>4970</v>
      </c>
    </row>
    <row r="1092" spans="1:2" x14ac:dyDescent="0.25">
      <c r="A1092" s="39" t="s">
        <v>4964</v>
      </c>
      <c r="B1092" s="40" t="s">
        <v>4971</v>
      </c>
    </row>
    <row r="1093" spans="1:2" x14ac:dyDescent="0.25">
      <c r="A1093" s="39" t="s">
        <v>4965</v>
      </c>
      <c r="B1093" s="40" t="s">
        <v>4972</v>
      </c>
    </row>
    <row r="1094" spans="1:2" x14ac:dyDescent="0.25">
      <c r="A1094" s="39" t="s">
        <v>4966</v>
      </c>
      <c r="B1094" s="40" t="s">
        <v>4973</v>
      </c>
    </row>
    <row r="1095" spans="1:2" x14ac:dyDescent="0.25">
      <c r="A1095" s="42" t="s">
        <v>4967</v>
      </c>
      <c r="B1095" s="43" t="s">
        <v>4974</v>
      </c>
    </row>
    <row r="1096" spans="1:2" x14ac:dyDescent="0.25">
      <c r="A1096" s="39" t="s">
        <v>4975</v>
      </c>
      <c r="B1096" s="40" t="s">
        <v>4980</v>
      </c>
    </row>
    <row r="1097" spans="1:2" x14ac:dyDescent="0.25">
      <c r="A1097" s="39" t="s">
        <v>4976</v>
      </c>
      <c r="B1097" s="40" t="s">
        <v>4981</v>
      </c>
    </row>
    <row r="1098" spans="1:2" x14ac:dyDescent="0.25">
      <c r="A1098" s="39" t="s">
        <v>4977</v>
      </c>
      <c r="B1098" s="40" t="s">
        <v>4982</v>
      </c>
    </row>
    <row r="1099" spans="1:2" x14ac:dyDescent="0.25">
      <c r="A1099" s="39" t="s">
        <v>4978</v>
      </c>
      <c r="B1099" s="40" t="s">
        <v>4983</v>
      </c>
    </row>
    <row r="1100" spans="1:2" x14ac:dyDescent="0.25">
      <c r="A1100" s="42" t="s">
        <v>4979</v>
      </c>
      <c r="B1100" s="43" t="s">
        <v>4984</v>
      </c>
    </row>
    <row r="1101" spans="1:2" x14ac:dyDescent="0.25">
      <c r="A1101" s="39" t="s">
        <v>4985</v>
      </c>
      <c r="B1101" s="40" t="s">
        <v>4989</v>
      </c>
    </row>
    <row r="1102" spans="1:2" x14ac:dyDescent="0.25">
      <c r="A1102" s="39" t="s">
        <v>4986</v>
      </c>
      <c r="B1102" s="40" t="s">
        <v>4990</v>
      </c>
    </row>
    <row r="1103" spans="1:2" x14ac:dyDescent="0.25">
      <c r="A1103" s="39" t="s">
        <v>4987</v>
      </c>
      <c r="B1103" s="40" t="s">
        <v>4991</v>
      </c>
    </row>
    <row r="1104" spans="1:2" x14ac:dyDescent="0.25">
      <c r="A1104" s="42" t="s">
        <v>4988</v>
      </c>
      <c r="B1104" s="43" t="s">
        <v>4992</v>
      </c>
    </row>
    <row r="1105" spans="1:2" x14ac:dyDescent="0.25">
      <c r="A1105" s="39" t="s">
        <v>4993</v>
      </c>
      <c r="B1105" s="40" t="s">
        <v>4997</v>
      </c>
    </row>
    <row r="1106" spans="1:2" x14ac:dyDescent="0.25">
      <c r="A1106" s="39" t="s">
        <v>4994</v>
      </c>
      <c r="B1106" s="40" t="s">
        <v>4998</v>
      </c>
    </row>
    <row r="1107" spans="1:2" x14ac:dyDescent="0.25">
      <c r="A1107" s="39" t="s">
        <v>4995</v>
      </c>
      <c r="B1107" s="40" t="s">
        <v>4999</v>
      </c>
    </row>
    <row r="1108" spans="1:2" x14ac:dyDescent="0.25">
      <c r="A1108" s="42" t="s">
        <v>4996</v>
      </c>
      <c r="B1108" s="43" t="s">
        <v>5000</v>
      </c>
    </row>
    <row r="1109" spans="1:2" x14ac:dyDescent="0.25">
      <c r="A1109" s="39" t="s">
        <v>5001</v>
      </c>
      <c r="B1109" s="40" t="s">
        <v>5005</v>
      </c>
    </row>
    <row r="1110" spans="1:2" x14ac:dyDescent="0.25">
      <c r="A1110" s="39" t="s">
        <v>5002</v>
      </c>
      <c r="B1110" s="40" t="s">
        <v>5006</v>
      </c>
    </row>
    <row r="1111" spans="1:2" x14ac:dyDescent="0.25">
      <c r="A1111" s="39" t="s">
        <v>5003</v>
      </c>
      <c r="B1111" s="40" t="s">
        <v>5007</v>
      </c>
    </row>
    <row r="1112" spans="1:2" x14ac:dyDescent="0.25">
      <c r="A1112" s="42" t="s">
        <v>5004</v>
      </c>
      <c r="B1112" s="43" t="s">
        <v>5008</v>
      </c>
    </row>
    <row r="1113" spans="1:2" x14ac:dyDescent="0.25">
      <c r="A1113" s="39" t="s">
        <v>5009</v>
      </c>
      <c r="B1113" s="40" t="s">
        <v>5013</v>
      </c>
    </row>
    <row r="1114" spans="1:2" x14ac:dyDescent="0.25">
      <c r="A1114" s="39" t="s">
        <v>5010</v>
      </c>
      <c r="B1114" s="40" t="s">
        <v>5014</v>
      </c>
    </row>
    <row r="1115" spans="1:2" x14ac:dyDescent="0.25">
      <c r="A1115" s="39" t="s">
        <v>5011</v>
      </c>
      <c r="B1115" s="40" t="s">
        <v>5015</v>
      </c>
    </row>
    <row r="1116" spans="1:2" x14ac:dyDescent="0.25">
      <c r="A1116" s="42" t="s">
        <v>5012</v>
      </c>
      <c r="B1116" s="43" t="s">
        <v>5016</v>
      </c>
    </row>
    <row r="1117" spans="1:2" x14ac:dyDescent="0.25">
      <c r="A1117" s="39" t="s">
        <v>5017</v>
      </c>
      <c r="B1117" s="40" t="s">
        <v>5021</v>
      </c>
    </row>
    <row r="1118" spans="1:2" x14ac:dyDescent="0.25">
      <c r="A1118" s="39" t="s">
        <v>5018</v>
      </c>
      <c r="B1118" s="40" t="s">
        <v>5022</v>
      </c>
    </row>
    <row r="1119" spans="1:2" x14ac:dyDescent="0.25">
      <c r="A1119" s="39" t="s">
        <v>5019</v>
      </c>
      <c r="B1119" s="40" t="s">
        <v>5023</v>
      </c>
    </row>
    <row r="1120" spans="1:2" x14ac:dyDescent="0.25">
      <c r="A1120" s="42" t="s">
        <v>5020</v>
      </c>
      <c r="B1120" s="43" t="s">
        <v>5024</v>
      </c>
    </row>
    <row r="1121" spans="1:2" x14ac:dyDescent="0.25">
      <c r="A1121" s="39" t="s">
        <v>5025</v>
      </c>
      <c r="B1121" s="40" t="s">
        <v>5029</v>
      </c>
    </row>
    <row r="1122" spans="1:2" x14ac:dyDescent="0.25">
      <c r="A1122" s="39" t="s">
        <v>5026</v>
      </c>
      <c r="B1122" s="40" t="s">
        <v>5030</v>
      </c>
    </row>
    <row r="1123" spans="1:2" x14ac:dyDescent="0.25">
      <c r="A1123" s="39" t="s">
        <v>5027</v>
      </c>
      <c r="B1123" s="40" t="s">
        <v>5031</v>
      </c>
    </row>
    <row r="1124" spans="1:2" x14ac:dyDescent="0.25">
      <c r="A1124" s="42" t="s">
        <v>5028</v>
      </c>
      <c r="B1124" s="43" t="s">
        <v>5032</v>
      </c>
    </row>
    <row r="1125" spans="1:2" x14ac:dyDescent="0.25">
      <c r="A1125" s="39" t="s">
        <v>5033</v>
      </c>
      <c r="B1125" s="40" t="s">
        <v>5036</v>
      </c>
    </row>
    <row r="1126" spans="1:2" x14ac:dyDescent="0.25">
      <c r="A1126" s="39" t="s">
        <v>5034</v>
      </c>
      <c r="B1126" s="40" t="s">
        <v>5037</v>
      </c>
    </row>
    <row r="1127" spans="1:2" x14ac:dyDescent="0.25">
      <c r="A1127" s="42" t="s">
        <v>5035</v>
      </c>
      <c r="B1127" s="43" t="s">
        <v>5038</v>
      </c>
    </row>
    <row r="1128" spans="1:2" x14ac:dyDescent="0.25">
      <c r="A1128" s="39" t="s">
        <v>5039</v>
      </c>
      <c r="B1128" s="40" t="s">
        <v>5042</v>
      </c>
    </row>
    <row r="1129" spans="1:2" x14ac:dyDescent="0.25">
      <c r="A1129" s="39" t="s">
        <v>5040</v>
      </c>
      <c r="B1129" s="40" t="s">
        <v>5043</v>
      </c>
    </row>
    <row r="1130" spans="1:2" x14ac:dyDescent="0.25">
      <c r="A1130" s="42" t="s">
        <v>5041</v>
      </c>
      <c r="B1130" s="43" t="s">
        <v>5044</v>
      </c>
    </row>
    <row r="1131" spans="1:2" x14ac:dyDescent="0.25">
      <c r="A1131" s="39" t="s">
        <v>5046</v>
      </c>
      <c r="B1131" s="40" t="s">
        <v>5052</v>
      </c>
    </row>
    <row r="1132" spans="1:2" x14ac:dyDescent="0.25">
      <c r="A1132" s="39" t="s">
        <v>5047</v>
      </c>
      <c r="B1132" s="40" t="s">
        <v>5053</v>
      </c>
    </row>
    <row r="1133" spans="1:2" x14ac:dyDescent="0.25">
      <c r="A1133" s="39" t="s">
        <v>5048</v>
      </c>
      <c r="B1133" s="40" t="s">
        <v>5054</v>
      </c>
    </row>
    <row r="1134" spans="1:2" x14ac:dyDescent="0.25">
      <c r="A1134" s="39" t="s">
        <v>5049</v>
      </c>
      <c r="B1134" s="40" t="s">
        <v>5055</v>
      </c>
    </row>
    <row r="1135" spans="1:2" x14ac:dyDescent="0.25">
      <c r="A1135" s="39" t="s">
        <v>5050</v>
      </c>
      <c r="B1135" s="40" t="s">
        <v>5056</v>
      </c>
    </row>
    <row r="1136" spans="1:2" x14ac:dyDescent="0.25">
      <c r="A1136" s="42" t="s">
        <v>5051</v>
      </c>
      <c r="B1136" s="43" t="s">
        <v>5057</v>
      </c>
    </row>
    <row r="1137" spans="1:2" x14ac:dyDescent="0.25">
      <c r="A1137" s="39" t="s">
        <v>5060</v>
      </c>
      <c r="B1137" s="40" t="s">
        <v>5064</v>
      </c>
    </row>
    <row r="1138" spans="1:2" x14ac:dyDescent="0.25">
      <c r="A1138" s="39" t="s">
        <v>5061</v>
      </c>
      <c r="B1138" s="40" t="s">
        <v>5065</v>
      </c>
    </row>
    <row r="1139" spans="1:2" x14ac:dyDescent="0.25">
      <c r="A1139" s="39" t="s">
        <v>5062</v>
      </c>
      <c r="B1139" s="40" t="s">
        <v>5066</v>
      </c>
    </row>
    <row r="1140" spans="1:2" x14ac:dyDescent="0.25">
      <c r="A1140" s="42" t="s">
        <v>5063</v>
      </c>
      <c r="B1140" s="43" t="s">
        <v>5067</v>
      </c>
    </row>
    <row r="1141" spans="1:2" x14ac:dyDescent="0.25">
      <c r="A1141" s="39" t="s">
        <v>5068</v>
      </c>
      <c r="B1141" s="40" t="s">
        <v>5072</v>
      </c>
    </row>
    <row r="1142" spans="1:2" x14ac:dyDescent="0.25">
      <c r="A1142" s="39" t="s">
        <v>5069</v>
      </c>
      <c r="B1142" s="40" t="s">
        <v>5073</v>
      </c>
    </row>
    <row r="1143" spans="1:2" x14ac:dyDescent="0.25">
      <c r="A1143" s="39" t="s">
        <v>5070</v>
      </c>
      <c r="B1143" s="40" t="s">
        <v>5074</v>
      </c>
    </row>
    <row r="1144" spans="1:2" x14ac:dyDescent="0.25">
      <c r="A1144" s="42" t="s">
        <v>5071</v>
      </c>
      <c r="B1144" s="43" t="s">
        <v>5075</v>
      </c>
    </row>
    <row r="1145" spans="1:2" x14ac:dyDescent="0.25">
      <c r="A1145" s="39" t="s">
        <v>5076</v>
      </c>
      <c r="B1145" s="40" t="s">
        <v>5080</v>
      </c>
    </row>
    <row r="1146" spans="1:2" x14ac:dyDescent="0.25">
      <c r="A1146" s="39" t="s">
        <v>5077</v>
      </c>
      <c r="B1146" s="40" t="s">
        <v>5081</v>
      </c>
    </row>
    <row r="1147" spans="1:2" x14ac:dyDescent="0.25">
      <c r="A1147" s="39" t="s">
        <v>5078</v>
      </c>
      <c r="B1147" s="40" t="s">
        <v>5082</v>
      </c>
    </row>
    <row r="1148" spans="1:2" x14ac:dyDescent="0.25">
      <c r="A1148" s="42" t="s">
        <v>5079</v>
      </c>
      <c r="B1148" s="43" t="s">
        <v>5083</v>
      </c>
    </row>
    <row r="1149" spans="1:2" x14ac:dyDescent="0.25">
      <c r="A1149" s="39" t="s">
        <v>5084</v>
      </c>
      <c r="B1149" s="40" t="s">
        <v>5087</v>
      </c>
    </row>
    <row r="1150" spans="1:2" x14ac:dyDescent="0.25">
      <c r="A1150" s="39" t="s">
        <v>5085</v>
      </c>
      <c r="B1150" s="40" t="s">
        <v>5088</v>
      </c>
    </row>
    <row r="1151" spans="1:2" x14ac:dyDescent="0.25">
      <c r="A1151" s="42" t="s">
        <v>5086</v>
      </c>
      <c r="B1151" s="43" t="s">
        <v>5089</v>
      </c>
    </row>
    <row r="1152" spans="1:2" x14ac:dyDescent="0.25">
      <c r="A1152" s="41" t="s">
        <v>5090</v>
      </c>
      <c r="B1152" s="40" t="s">
        <v>5092</v>
      </c>
    </row>
    <row r="1153" spans="1:2" x14ac:dyDescent="0.25">
      <c r="A1153" s="42" t="s">
        <v>5091</v>
      </c>
      <c r="B1153" s="43" t="s">
        <v>5093</v>
      </c>
    </row>
    <row r="1154" spans="1:2" x14ac:dyDescent="0.25">
      <c r="A1154" s="39" t="s">
        <v>5094</v>
      </c>
      <c r="B1154" s="40" t="s">
        <v>5096</v>
      </c>
    </row>
    <row r="1155" spans="1:2" x14ac:dyDescent="0.25">
      <c r="A1155" s="42" t="s">
        <v>5095</v>
      </c>
      <c r="B1155" s="43" t="s">
        <v>5097</v>
      </c>
    </row>
    <row r="1156" spans="1:2" x14ac:dyDescent="0.25">
      <c r="A1156" s="39" t="s">
        <v>5098</v>
      </c>
      <c r="B1156" s="40" t="s">
        <v>5102</v>
      </c>
    </row>
    <row r="1157" spans="1:2" x14ac:dyDescent="0.25">
      <c r="A1157" s="39" t="s">
        <v>5099</v>
      </c>
      <c r="B1157" s="40" t="s">
        <v>5103</v>
      </c>
    </row>
    <row r="1158" spans="1:2" x14ac:dyDescent="0.25">
      <c r="A1158" s="39" t="s">
        <v>5100</v>
      </c>
      <c r="B1158" s="40" t="s">
        <v>5104</v>
      </c>
    </row>
    <row r="1159" spans="1:2" x14ac:dyDescent="0.25">
      <c r="A1159" s="42" t="s">
        <v>5101</v>
      </c>
      <c r="B1159" s="43" t="s">
        <v>5105</v>
      </c>
    </row>
    <row r="1160" spans="1:2" x14ac:dyDescent="0.25">
      <c r="A1160" s="39" t="s">
        <v>5106</v>
      </c>
      <c r="B1160" s="40" t="s">
        <v>5110</v>
      </c>
    </row>
    <row r="1161" spans="1:2" x14ac:dyDescent="0.25">
      <c r="A1161" s="39" t="s">
        <v>5107</v>
      </c>
      <c r="B1161" s="40" t="s">
        <v>5111</v>
      </c>
    </row>
    <row r="1162" spans="1:2" x14ac:dyDescent="0.25">
      <c r="A1162" s="39" t="s">
        <v>5108</v>
      </c>
      <c r="B1162" s="40" t="s">
        <v>5112</v>
      </c>
    </row>
    <row r="1163" spans="1:2" x14ac:dyDescent="0.25">
      <c r="A1163" s="42" t="s">
        <v>5109</v>
      </c>
      <c r="B1163" s="43" t="s">
        <v>5113</v>
      </c>
    </row>
    <row r="1164" spans="1:2" x14ac:dyDescent="0.25">
      <c r="A1164" s="39" t="s">
        <v>5114</v>
      </c>
      <c r="B1164" s="40" t="s">
        <v>5122</v>
      </c>
    </row>
    <row r="1165" spans="1:2" x14ac:dyDescent="0.25">
      <c r="A1165" s="39" t="s">
        <v>5115</v>
      </c>
      <c r="B1165" s="40" t="s">
        <v>5123</v>
      </c>
    </row>
    <row r="1166" spans="1:2" x14ac:dyDescent="0.25">
      <c r="A1166" s="39" t="s">
        <v>5116</v>
      </c>
      <c r="B1166" s="40" t="s">
        <v>5124</v>
      </c>
    </row>
    <row r="1167" spans="1:2" x14ac:dyDescent="0.25">
      <c r="A1167" s="39" t="s">
        <v>5117</v>
      </c>
      <c r="B1167" s="40" t="s">
        <v>5125</v>
      </c>
    </row>
    <row r="1168" spans="1:2" x14ac:dyDescent="0.25">
      <c r="A1168" s="39" t="s">
        <v>5118</v>
      </c>
      <c r="B1168" s="40" t="s">
        <v>5126</v>
      </c>
    </row>
    <row r="1169" spans="1:2" x14ac:dyDescent="0.25">
      <c r="A1169" s="39" t="s">
        <v>5119</v>
      </c>
      <c r="B1169" s="40" t="s">
        <v>5127</v>
      </c>
    </row>
    <row r="1170" spans="1:2" x14ac:dyDescent="0.25">
      <c r="A1170" s="39" t="s">
        <v>5120</v>
      </c>
      <c r="B1170" s="40" t="s">
        <v>5128</v>
      </c>
    </row>
    <row r="1171" spans="1:2" x14ac:dyDescent="0.25">
      <c r="A1171" s="42" t="s">
        <v>5121</v>
      </c>
      <c r="B1171" s="43" t="s">
        <v>5129</v>
      </c>
    </row>
    <row r="1172" spans="1:2" x14ac:dyDescent="0.25">
      <c r="A1172" s="39" t="s">
        <v>5130</v>
      </c>
      <c r="B1172" s="40" t="s">
        <v>5132</v>
      </c>
    </row>
    <row r="1173" spans="1:2" x14ac:dyDescent="0.25">
      <c r="A1173" s="42" t="s">
        <v>5131</v>
      </c>
      <c r="B1173" s="43" t="s">
        <v>5133</v>
      </c>
    </row>
    <row r="1174" spans="1:2" x14ac:dyDescent="0.25">
      <c r="A1174" s="39" t="s">
        <v>5134</v>
      </c>
      <c r="B1174" s="40" t="s">
        <v>5147</v>
      </c>
    </row>
    <row r="1175" spans="1:2" x14ac:dyDescent="0.25">
      <c r="A1175" s="39" t="s">
        <v>5135</v>
      </c>
      <c r="B1175" s="40" t="s">
        <v>5148</v>
      </c>
    </row>
    <row r="1176" spans="1:2" x14ac:dyDescent="0.25">
      <c r="A1176" s="39" t="s">
        <v>5136</v>
      </c>
      <c r="B1176" s="40" t="s">
        <v>5149</v>
      </c>
    </row>
    <row r="1177" spans="1:2" x14ac:dyDescent="0.25">
      <c r="A1177" s="39" t="s">
        <v>5137</v>
      </c>
      <c r="B1177" s="40" t="s">
        <v>5150</v>
      </c>
    </row>
    <row r="1178" spans="1:2" x14ac:dyDescent="0.25">
      <c r="A1178" s="39" t="s">
        <v>5138</v>
      </c>
      <c r="B1178" s="40" t="s">
        <v>5151</v>
      </c>
    </row>
    <row r="1179" spans="1:2" x14ac:dyDescent="0.25">
      <c r="A1179" s="39" t="s">
        <v>5139</v>
      </c>
      <c r="B1179" s="40" t="s">
        <v>5152</v>
      </c>
    </row>
    <row r="1180" spans="1:2" x14ac:dyDescent="0.25">
      <c r="A1180" s="39" t="s">
        <v>5140</v>
      </c>
      <c r="B1180" s="40" t="s">
        <v>5153</v>
      </c>
    </row>
    <row r="1181" spans="1:2" x14ac:dyDescent="0.25">
      <c r="A1181" s="39" t="s">
        <v>5141</v>
      </c>
      <c r="B1181" s="40" t="s">
        <v>5154</v>
      </c>
    </row>
    <row r="1182" spans="1:2" x14ac:dyDescent="0.25">
      <c r="A1182" s="39" t="s">
        <v>5142</v>
      </c>
      <c r="B1182" s="40" t="s">
        <v>5155</v>
      </c>
    </row>
    <row r="1183" spans="1:2" x14ac:dyDescent="0.25">
      <c r="A1183" s="39" t="s">
        <v>5143</v>
      </c>
      <c r="B1183" s="40" t="s">
        <v>5156</v>
      </c>
    </row>
    <row r="1184" spans="1:2" x14ac:dyDescent="0.25">
      <c r="A1184" s="39" t="s">
        <v>5144</v>
      </c>
      <c r="B1184" s="40" t="s">
        <v>5157</v>
      </c>
    </row>
    <row r="1185" spans="1:2" x14ac:dyDescent="0.25">
      <c r="A1185" s="39" t="s">
        <v>5145</v>
      </c>
      <c r="B1185" s="40" t="s">
        <v>5158</v>
      </c>
    </row>
    <row r="1186" spans="1:2" x14ac:dyDescent="0.25">
      <c r="A1186" s="42" t="s">
        <v>5146</v>
      </c>
      <c r="B1186" s="43" t="s">
        <v>5159</v>
      </c>
    </row>
    <row r="1187" spans="1:2" x14ac:dyDescent="0.25">
      <c r="A1187" s="39" t="s">
        <v>5160</v>
      </c>
      <c r="B1187" s="40" t="s">
        <v>5169</v>
      </c>
    </row>
    <row r="1188" spans="1:2" x14ac:dyDescent="0.25">
      <c r="A1188" s="39" t="s">
        <v>5161</v>
      </c>
      <c r="B1188" s="40" t="s">
        <v>5170</v>
      </c>
    </row>
    <row r="1189" spans="1:2" x14ac:dyDescent="0.25">
      <c r="A1189" s="39" t="s">
        <v>5162</v>
      </c>
      <c r="B1189" s="40" t="s">
        <v>5171</v>
      </c>
    </row>
    <row r="1190" spans="1:2" x14ac:dyDescent="0.25">
      <c r="A1190" s="39" t="s">
        <v>5163</v>
      </c>
      <c r="B1190" s="40" t="s">
        <v>5172</v>
      </c>
    </row>
    <row r="1191" spans="1:2" x14ac:dyDescent="0.25">
      <c r="A1191" s="39" t="s">
        <v>5164</v>
      </c>
      <c r="B1191" s="40" t="s">
        <v>5173</v>
      </c>
    </row>
    <row r="1192" spans="1:2" x14ac:dyDescent="0.25">
      <c r="A1192" s="39" t="s">
        <v>5165</v>
      </c>
      <c r="B1192" s="40" t="s">
        <v>5174</v>
      </c>
    </row>
    <row r="1193" spans="1:2" x14ac:dyDescent="0.25">
      <c r="A1193" s="39" t="s">
        <v>5166</v>
      </c>
      <c r="B1193" s="40" t="s">
        <v>5175</v>
      </c>
    </row>
    <row r="1194" spans="1:2" x14ac:dyDescent="0.25">
      <c r="A1194" s="39" t="s">
        <v>5167</v>
      </c>
      <c r="B1194" s="40" t="s">
        <v>5176</v>
      </c>
    </row>
    <row r="1195" spans="1:2" x14ac:dyDescent="0.25">
      <c r="A1195" s="42" t="s">
        <v>5168</v>
      </c>
      <c r="B1195" s="43" t="s">
        <v>5177</v>
      </c>
    </row>
    <row r="1196" spans="1:2" x14ac:dyDescent="0.25">
      <c r="A1196" s="39" t="s">
        <v>5178</v>
      </c>
      <c r="B1196" s="40" t="s">
        <v>5182</v>
      </c>
    </row>
    <row r="1197" spans="1:2" x14ac:dyDescent="0.25">
      <c r="A1197" s="39" t="s">
        <v>5179</v>
      </c>
      <c r="B1197" s="40" t="s">
        <v>5183</v>
      </c>
    </row>
    <row r="1198" spans="1:2" x14ac:dyDescent="0.25">
      <c r="A1198" s="39" t="s">
        <v>5180</v>
      </c>
      <c r="B1198" s="40" t="s">
        <v>5184</v>
      </c>
    </row>
    <row r="1199" spans="1:2" x14ac:dyDescent="0.25">
      <c r="A1199" s="42" t="s">
        <v>5181</v>
      </c>
      <c r="B1199" s="43" t="s">
        <v>5185</v>
      </c>
    </row>
    <row r="1200" spans="1:2" x14ac:dyDescent="0.25">
      <c r="A1200" s="39" t="s">
        <v>5186</v>
      </c>
      <c r="B1200" s="40" t="s">
        <v>5190</v>
      </c>
    </row>
    <row r="1201" spans="1:2" x14ac:dyDescent="0.25">
      <c r="A1201" s="39" t="s">
        <v>5187</v>
      </c>
      <c r="B1201" s="40" t="s">
        <v>5191</v>
      </c>
    </row>
    <row r="1202" spans="1:2" x14ac:dyDescent="0.25">
      <c r="A1202" s="39" t="s">
        <v>5188</v>
      </c>
      <c r="B1202" s="40" t="s">
        <v>5192</v>
      </c>
    </row>
    <row r="1203" spans="1:2" x14ac:dyDescent="0.25">
      <c r="A1203" s="42" t="s">
        <v>5189</v>
      </c>
      <c r="B1203" s="43" t="s">
        <v>5193</v>
      </c>
    </row>
    <row r="1204" spans="1:2" x14ac:dyDescent="0.25">
      <c r="A1204" s="39" t="s">
        <v>5194</v>
      </c>
      <c r="B1204" s="40" t="s">
        <v>5198</v>
      </c>
    </row>
    <row r="1205" spans="1:2" x14ac:dyDescent="0.25">
      <c r="A1205" s="39" t="s">
        <v>5195</v>
      </c>
      <c r="B1205" s="40" t="s">
        <v>5199</v>
      </c>
    </row>
    <row r="1206" spans="1:2" x14ac:dyDescent="0.25">
      <c r="A1206" s="39" t="s">
        <v>5196</v>
      </c>
      <c r="B1206" s="40" t="s">
        <v>5200</v>
      </c>
    </row>
    <row r="1207" spans="1:2" x14ac:dyDescent="0.25">
      <c r="A1207" s="42" t="s">
        <v>5197</v>
      </c>
      <c r="B1207" s="43" t="s">
        <v>5201</v>
      </c>
    </row>
    <row r="1208" spans="1:2" x14ac:dyDescent="0.25">
      <c r="A1208" s="39" t="s">
        <v>5202</v>
      </c>
      <c r="B1208" s="40" t="s">
        <v>5206</v>
      </c>
    </row>
    <row r="1209" spans="1:2" x14ac:dyDescent="0.25">
      <c r="A1209" s="39" t="s">
        <v>5203</v>
      </c>
      <c r="B1209" s="40" t="s">
        <v>5207</v>
      </c>
    </row>
    <row r="1210" spans="1:2" x14ac:dyDescent="0.25">
      <c r="A1210" s="39" t="s">
        <v>5204</v>
      </c>
      <c r="B1210" s="40" t="s">
        <v>5208</v>
      </c>
    </row>
    <row r="1211" spans="1:2" x14ac:dyDescent="0.25">
      <c r="A1211" s="42" t="s">
        <v>5205</v>
      </c>
      <c r="B1211" s="43" t="s">
        <v>5209</v>
      </c>
    </row>
    <row r="1212" spans="1:2" x14ac:dyDescent="0.25">
      <c r="A1212" s="39" t="s">
        <v>5210</v>
      </c>
      <c r="B1212" s="40" t="s">
        <v>5213</v>
      </c>
    </row>
    <row r="1213" spans="1:2" x14ac:dyDescent="0.25">
      <c r="A1213" s="39" t="s">
        <v>5211</v>
      </c>
      <c r="B1213" s="40" t="s">
        <v>5214</v>
      </c>
    </row>
    <row r="1214" spans="1:2" x14ac:dyDescent="0.25">
      <c r="A1214" s="42" t="s">
        <v>5212</v>
      </c>
      <c r="B1214" s="43" t="s">
        <v>5215</v>
      </c>
    </row>
    <row r="1215" spans="1:2" x14ac:dyDescent="0.25">
      <c r="A1215" s="39" t="s">
        <v>5216</v>
      </c>
      <c r="B1215" s="40" t="s">
        <v>5241</v>
      </c>
    </row>
    <row r="1216" spans="1:2" x14ac:dyDescent="0.25">
      <c r="A1216" s="39" t="s">
        <v>5217</v>
      </c>
      <c r="B1216" s="40" t="s">
        <v>5242</v>
      </c>
    </row>
    <row r="1217" spans="1:2" x14ac:dyDescent="0.25">
      <c r="A1217" s="39" t="s">
        <v>5218</v>
      </c>
      <c r="B1217" s="40" t="s">
        <v>5243</v>
      </c>
    </row>
    <row r="1218" spans="1:2" x14ac:dyDescent="0.25">
      <c r="A1218" s="39" t="s">
        <v>5219</v>
      </c>
      <c r="B1218" s="40" t="s">
        <v>5244</v>
      </c>
    </row>
    <row r="1219" spans="1:2" x14ac:dyDescent="0.25">
      <c r="A1219" s="39" t="s">
        <v>5220</v>
      </c>
      <c r="B1219" s="40" t="s">
        <v>5245</v>
      </c>
    </row>
    <row r="1220" spans="1:2" x14ac:dyDescent="0.25">
      <c r="A1220" s="39" t="s">
        <v>5221</v>
      </c>
      <c r="B1220" s="40" t="s">
        <v>5246</v>
      </c>
    </row>
    <row r="1221" spans="1:2" x14ac:dyDescent="0.25">
      <c r="A1221" s="39" t="s">
        <v>5222</v>
      </c>
      <c r="B1221" s="40" t="s">
        <v>5247</v>
      </c>
    </row>
    <row r="1222" spans="1:2" x14ac:dyDescent="0.25">
      <c r="A1222" s="39" t="s">
        <v>5223</v>
      </c>
      <c r="B1222" s="40" t="s">
        <v>5248</v>
      </c>
    </row>
    <row r="1223" spans="1:2" x14ac:dyDescent="0.25">
      <c r="A1223" s="39" t="s">
        <v>5224</v>
      </c>
      <c r="B1223" s="40" t="s">
        <v>5249</v>
      </c>
    </row>
    <row r="1224" spans="1:2" x14ac:dyDescent="0.25">
      <c r="A1224" s="39" t="s">
        <v>5225</v>
      </c>
      <c r="B1224" s="40" t="s">
        <v>5250</v>
      </c>
    </row>
    <row r="1225" spans="1:2" x14ac:dyDescent="0.25">
      <c r="A1225" s="39" t="s">
        <v>5226</v>
      </c>
      <c r="B1225" s="40" t="s">
        <v>5251</v>
      </c>
    </row>
    <row r="1226" spans="1:2" x14ac:dyDescent="0.25">
      <c r="A1226" s="39" t="s">
        <v>5227</v>
      </c>
      <c r="B1226" s="40" t="s">
        <v>5252</v>
      </c>
    </row>
    <row r="1227" spans="1:2" x14ac:dyDescent="0.25">
      <c r="A1227" s="39" t="s">
        <v>5228</v>
      </c>
      <c r="B1227" s="40" t="s">
        <v>5253</v>
      </c>
    </row>
    <row r="1228" spans="1:2" x14ac:dyDescent="0.25">
      <c r="A1228" s="39" t="s">
        <v>5229</v>
      </c>
      <c r="B1228" s="40" t="s">
        <v>5254</v>
      </c>
    </row>
    <row r="1229" spans="1:2" x14ac:dyDescent="0.25">
      <c r="A1229" s="39" t="s">
        <v>5230</v>
      </c>
      <c r="B1229" s="40" t="s">
        <v>5255</v>
      </c>
    </row>
    <row r="1230" spans="1:2" x14ac:dyDescent="0.25">
      <c r="A1230" s="39" t="s">
        <v>5231</v>
      </c>
      <c r="B1230" s="40" t="s">
        <v>5256</v>
      </c>
    </row>
    <row r="1231" spans="1:2" x14ac:dyDescent="0.25">
      <c r="A1231" s="39" t="s">
        <v>5232</v>
      </c>
      <c r="B1231" s="40" t="s">
        <v>5257</v>
      </c>
    </row>
    <row r="1232" spans="1:2" x14ac:dyDescent="0.25">
      <c r="A1232" s="39" t="s">
        <v>5233</v>
      </c>
      <c r="B1232" s="40" t="s">
        <v>5258</v>
      </c>
    </row>
    <row r="1233" spans="1:2" x14ac:dyDescent="0.25">
      <c r="A1233" s="39" t="s">
        <v>5234</v>
      </c>
      <c r="B1233" s="40" t="s">
        <v>5259</v>
      </c>
    </row>
    <row r="1234" spans="1:2" x14ac:dyDescent="0.25">
      <c r="A1234" s="39" t="s">
        <v>5235</v>
      </c>
      <c r="B1234" s="40" t="s">
        <v>5260</v>
      </c>
    </row>
    <row r="1235" spans="1:2" x14ac:dyDescent="0.25">
      <c r="A1235" s="39" t="s">
        <v>5236</v>
      </c>
      <c r="B1235" s="40" t="s">
        <v>5261</v>
      </c>
    </row>
    <row r="1236" spans="1:2" x14ac:dyDescent="0.25">
      <c r="A1236" s="39" t="s">
        <v>5237</v>
      </c>
      <c r="B1236" s="40" t="s">
        <v>5262</v>
      </c>
    </row>
    <row r="1237" spans="1:2" x14ac:dyDescent="0.25">
      <c r="A1237" s="39" t="s">
        <v>5238</v>
      </c>
      <c r="B1237" s="40" t="s">
        <v>5263</v>
      </c>
    </row>
    <row r="1238" spans="1:2" x14ac:dyDescent="0.25">
      <c r="A1238" s="39" t="s">
        <v>5239</v>
      </c>
      <c r="B1238" s="40" t="s">
        <v>5264</v>
      </c>
    </row>
    <row r="1239" spans="1:2" x14ac:dyDescent="0.25">
      <c r="A1239" s="42" t="s">
        <v>5240</v>
      </c>
      <c r="B1239" s="43" t="s">
        <v>5265</v>
      </c>
    </row>
    <row r="1240" spans="1:2" x14ac:dyDescent="0.25">
      <c r="A1240" s="39" t="s">
        <v>5266</v>
      </c>
      <c r="B1240" s="40" t="s">
        <v>5271</v>
      </c>
    </row>
    <row r="1241" spans="1:2" x14ac:dyDescent="0.25">
      <c r="A1241" s="39" t="s">
        <v>5267</v>
      </c>
      <c r="B1241" s="40" t="s">
        <v>5272</v>
      </c>
    </row>
    <row r="1242" spans="1:2" x14ac:dyDescent="0.25">
      <c r="A1242" s="39" t="s">
        <v>5268</v>
      </c>
      <c r="B1242" s="40" t="s">
        <v>5273</v>
      </c>
    </row>
    <row r="1243" spans="1:2" x14ac:dyDescent="0.25">
      <c r="A1243" s="39" t="s">
        <v>5269</v>
      </c>
      <c r="B1243" s="40" t="s">
        <v>5274</v>
      </c>
    </row>
    <row r="1244" spans="1:2" x14ac:dyDescent="0.25">
      <c r="A1244" s="42" t="s">
        <v>5270</v>
      </c>
      <c r="B1244" s="43" t="s">
        <v>5262</v>
      </c>
    </row>
    <row r="1245" spans="1:2" x14ac:dyDescent="0.25">
      <c r="A1245" s="39" t="s">
        <v>5275</v>
      </c>
      <c r="B1245" s="40" t="s">
        <v>5279</v>
      </c>
    </row>
    <row r="1246" spans="1:2" x14ac:dyDescent="0.25">
      <c r="A1246" s="39" t="s">
        <v>5276</v>
      </c>
      <c r="B1246" s="40" t="s">
        <v>5280</v>
      </c>
    </row>
    <row r="1247" spans="1:2" x14ac:dyDescent="0.25">
      <c r="A1247" s="39" t="s">
        <v>5277</v>
      </c>
      <c r="B1247" s="40" t="s">
        <v>5281</v>
      </c>
    </row>
    <row r="1248" spans="1:2" x14ac:dyDescent="0.25">
      <c r="A1248" s="42" t="s">
        <v>5278</v>
      </c>
      <c r="B1248" s="43" t="s">
        <v>5282</v>
      </c>
    </row>
    <row r="1249" spans="1:2" x14ac:dyDescent="0.25">
      <c r="A1249" s="39" t="s">
        <v>5283</v>
      </c>
      <c r="B1249" s="40" t="s">
        <v>5286</v>
      </c>
    </row>
    <row r="1250" spans="1:2" x14ac:dyDescent="0.25">
      <c r="A1250" s="39" t="s">
        <v>5284</v>
      </c>
      <c r="B1250" s="40" t="s">
        <v>5287</v>
      </c>
    </row>
    <row r="1251" spans="1:2" x14ac:dyDescent="0.25">
      <c r="A1251" s="42" t="s">
        <v>5285</v>
      </c>
      <c r="B1251" s="43" t="s">
        <v>5288</v>
      </c>
    </row>
    <row r="1252" spans="1:2" x14ac:dyDescent="0.25">
      <c r="A1252" s="39" t="s">
        <v>5289</v>
      </c>
      <c r="B1252" s="40" t="s">
        <v>5292</v>
      </c>
    </row>
    <row r="1253" spans="1:2" x14ac:dyDescent="0.25">
      <c r="A1253" s="39" t="s">
        <v>5290</v>
      </c>
      <c r="B1253" s="40" t="s">
        <v>5293</v>
      </c>
    </row>
    <row r="1254" spans="1:2" x14ac:dyDescent="0.25">
      <c r="A1254" s="42" t="s">
        <v>5291</v>
      </c>
      <c r="B1254" s="43" t="s">
        <v>5294</v>
      </c>
    </row>
    <row r="1255" spans="1:2" x14ac:dyDescent="0.25">
      <c r="A1255" s="39" t="s">
        <v>5295</v>
      </c>
      <c r="B1255" s="40" t="s">
        <v>5298</v>
      </c>
    </row>
    <row r="1256" spans="1:2" x14ac:dyDescent="0.25">
      <c r="A1256" s="39" t="s">
        <v>5296</v>
      </c>
      <c r="B1256" s="40" t="s">
        <v>5299</v>
      </c>
    </row>
    <row r="1257" spans="1:2" x14ac:dyDescent="0.25">
      <c r="A1257" s="42" t="s">
        <v>5297</v>
      </c>
      <c r="B1257" s="43" t="s">
        <v>5300</v>
      </c>
    </row>
    <row r="1258" spans="1:2" x14ac:dyDescent="0.25">
      <c r="A1258" s="39" t="s">
        <v>5301</v>
      </c>
      <c r="B1258" s="40" t="s">
        <v>5304</v>
      </c>
    </row>
    <row r="1259" spans="1:2" x14ac:dyDescent="0.25">
      <c r="A1259" s="39" t="s">
        <v>5302</v>
      </c>
      <c r="B1259" s="40" t="s">
        <v>5305</v>
      </c>
    </row>
    <row r="1260" spans="1:2" x14ac:dyDescent="0.25">
      <c r="A1260" s="42" t="s">
        <v>5303</v>
      </c>
      <c r="B1260" s="43" t="s">
        <v>5306</v>
      </c>
    </row>
    <row r="1261" spans="1:2" x14ac:dyDescent="0.25">
      <c r="A1261" s="39" t="s">
        <v>5312</v>
      </c>
      <c r="B1261" s="40" t="s">
        <v>5337</v>
      </c>
    </row>
    <row r="1262" spans="1:2" x14ac:dyDescent="0.25">
      <c r="A1262" s="39" t="s">
        <v>5313</v>
      </c>
      <c r="B1262" s="40" t="s">
        <v>5338</v>
      </c>
    </row>
    <row r="1263" spans="1:2" x14ac:dyDescent="0.25">
      <c r="A1263" s="39" t="s">
        <v>5314</v>
      </c>
      <c r="B1263" s="40" t="s">
        <v>5338</v>
      </c>
    </row>
    <row r="1264" spans="1:2" x14ac:dyDescent="0.25">
      <c r="A1264" s="39" t="s">
        <v>5315</v>
      </c>
      <c r="B1264" s="40" t="s">
        <v>5339</v>
      </c>
    </row>
    <row r="1265" spans="1:2" x14ac:dyDescent="0.25">
      <c r="A1265" s="39" t="s">
        <v>5316</v>
      </c>
      <c r="B1265" s="40" t="s">
        <v>5340</v>
      </c>
    </row>
    <row r="1266" spans="1:2" x14ac:dyDescent="0.25">
      <c r="A1266" s="39" t="s">
        <v>5317</v>
      </c>
      <c r="B1266" s="40" t="s">
        <v>5341</v>
      </c>
    </row>
    <row r="1267" spans="1:2" x14ac:dyDescent="0.25">
      <c r="A1267" s="39" t="s">
        <v>5318</v>
      </c>
      <c r="B1267" s="40" t="s">
        <v>5342</v>
      </c>
    </row>
    <row r="1268" spans="1:2" x14ac:dyDescent="0.25">
      <c r="A1268" s="39" t="s">
        <v>5319</v>
      </c>
      <c r="B1268" s="40" t="s">
        <v>5343</v>
      </c>
    </row>
    <row r="1269" spans="1:2" x14ac:dyDescent="0.25">
      <c r="A1269" s="39" t="s">
        <v>5320</v>
      </c>
      <c r="B1269" s="40" t="s">
        <v>5344</v>
      </c>
    </row>
    <row r="1270" spans="1:2" x14ac:dyDescent="0.25">
      <c r="A1270" s="39" t="s">
        <v>5321</v>
      </c>
      <c r="B1270" s="40" t="s">
        <v>5345</v>
      </c>
    </row>
    <row r="1271" spans="1:2" x14ac:dyDescent="0.25">
      <c r="A1271" s="39" t="s">
        <v>5322</v>
      </c>
      <c r="B1271" s="40" t="s">
        <v>5346</v>
      </c>
    </row>
    <row r="1272" spans="1:2" x14ac:dyDescent="0.25">
      <c r="A1272" s="39" t="s">
        <v>5323</v>
      </c>
      <c r="B1272" s="40" t="s">
        <v>5347</v>
      </c>
    </row>
    <row r="1273" spans="1:2" x14ac:dyDescent="0.25">
      <c r="A1273" s="39" t="s">
        <v>5324</v>
      </c>
      <c r="B1273" s="40" t="s">
        <v>5348</v>
      </c>
    </row>
    <row r="1274" spans="1:2" x14ac:dyDescent="0.25">
      <c r="A1274" s="39" t="s">
        <v>5325</v>
      </c>
      <c r="B1274" s="40" t="s">
        <v>5349</v>
      </c>
    </row>
    <row r="1275" spans="1:2" x14ac:dyDescent="0.25">
      <c r="A1275" s="39" t="s">
        <v>5326</v>
      </c>
      <c r="B1275" s="40" t="s">
        <v>5350</v>
      </c>
    </row>
    <row r="1276" spans="1:2" x14ac:dyDescent="0.25">
      <c r="A1276" s="39" t="s">
        <v>5327</v>
      </c>
      <c r="B1276" s="40" t="s">
        <v>5351</v>
      </c>
    </row>
    <row r="1277" spans="1:2" x14ac:dyDescent="0.25">
      <c r="A1277" s="39" t="s">
        <v>5328</v>
      </c>
      <c r="B1277" s="40" t="s">
        <v>5352</v>
      </c>
    </row>
    <row r="1278" spans="1:2" x14ac:dyDescent="0.25">
      <c r="A1278" s="39" t="s">
        <v>5329</v>
      </c>
      <c r="B1278" s="40" t="s">
        <v>5353</v>
      </c>
    </row>
    <row r="1279" spans="1:2" x14ac:dyDescent="0.25">
      <c r="A1279" s="39" t="s">
        <v>5330</v>
      </c>
      <c r="B1279" s="40" t="s">
        <v>5354</v>
      </c>
    </row>
    <row r="1280" spans="1:2" x14ac:dyDescent="0.25">
      <c r="A1280" s="39" t="s">
        <v>5331</v>
      </c>
      <c r="B1280" s="40" t="s">
        <v>5355</v>
      </c>
    </row>
    <row r="1281" spans="1:2" x14ac:dyDescent="0.25">
      <c r="A1281" s="39" t="s">
        <v>5332</v>
      </c>
      <c r="B1281" s="40" t="s">
        <v>5356</v>
      </c>
    </row>
    <row r="1282" spans="1:2" x14ac:dyDescent="0.25">
      <c r="A1282" s="39" t="s">
        <v>5333</v>
      </c>
      <c r="B1282" s="40" t="s">
        <v>5357</v>
      </c>
    </row>
    <row r="1283" spans="1:2" x14ac:dyDescent="0.25">
      <c r="A1283" s="39" t="s">
        <v>5334</v>
      </c>
      <c r="B1283" s="40" t="s">
        <v>5358</v>
      </c>
    </row>
    <row r="1284" spans="1:2" x14ac:dyDescent="0.25">
      <c r="A1284" s="39" t="s">
        <v>5335</v>
      </c>
      <c r="B1284" s="40" t="s">
        <v>5359</v>
      </c>
    </row>
    <row r="1285" spans="1:2" x14ac:dyDescent="0.25">
      <c r="A1285" s="42" t="s">
        <v>5336</v>
      </c>
      <c r="B1285" s="43" t="s">
        <v>5360</v>
      </c>
    </row>
    <row r="1286" spans="1:2" x14ac:dyDescent="0.25">
      <c r="A1286" s="39" t="s">
        <v>5361</v>
      </c>
      <c r="B1286" s="40" t="s">
        <v>5374</v>
      </c>
    </row>
    <row r="1287" spans="1:2" x14ac:dyDescent="0.25">
      <c r="A1287" s="39" t="s">
        <v>5362</v>
      </c>
      <c r="B1287" s="40" t="s">
        <v>5375</v>
      </c>
    </row>
    <row r="1288" spans="1:2" x14ac:dyDescent="0.25">
      <c r="A1288" s="39" t="s">
        <v>5363</v>
      </c>
      <c r="B1288" s="40" t="s">
        <v>5376</v>
      </c>
    </row>
    <row r="1289" spans="1:2" x14ac:dyDescent="0.25">
      <c r="A1289" s="39" t="s">
        <v>5364</v>
      </c>
      <c r="B1289" s="40" t="s">
        <v>5377</v>
      </c>
    </row>
    <row r="1290" spans="1:2" x14ac:dyDescent="0.25">
      <c r="A1290" s="39" t="s">
        <v>5365</v>
      </c>
      <c r="B1290" s="40" t="s">
        <v>5378</v>
      </c>
    </row>
    <row r="1291" spans="1:2" x14ac:dyDescent="0.25">
      <c r="A1291" s="39" t="s">
        <v>5366</v>
      </c>
      <c r="B1291" s="40" t="s">
        <v>5379</v>
      </c>
    </row>
    <row r="1292" spans="1:2" x14ac:dyDescent="0.25">
      <c r="A1292" s="39" t="s">
        <v>5367</v>
      </c>
      <c r="B1292" s="40" t="s">
        <v>5380</v>
      </c>
    </row>
    <row r="1293" spans="1:2" x14ac:dyDescent="0.25">
      <c r="A1293" s="39" t="s">
        <v>5368</v>
      </c>
      <c r="B1293" s="40" t="s">
        <v>5381</v>
      </c>
    </row>
    <row r="1294" spans="1:2" x14ac:dyDescent="0.25">
      <c r="A1294" s="39" t="s">
        <v>5369</v>
      </c>
      <c r="B1294" s="40" t="s">
        <v>5382</v>
      </c>
    </row>
    <row r="1295" spans="1:2" x14ac:dyDescent="0.25">
      <c r="A1295" s="39" t="s">
        <v>5370</v>
      </c>
      <c r="B1295" s="40" t="s">
        <v>5383</v>
      </c>
    </row>
    <row r="1296" spans="1:2" x14ac:dyDescent="0.25">
      <c r="A1296" s="39" t="s">
        <v>5371</v>
      </c>
      <c r="B1296" s="40" t="s">
        <v>5384</v>
      </c>
    </row>
    <row r="1297" spans="1:2" x14ac:dyDescent="0.25">
      <c r="A1297" s="39" t="s">
        <v>5372</v>
      </c>
      <c r="B1297" s="40" t="s">
        <v>5385</v>
      </c>
    </row>
    <row r="1298" spans="1:2" x14ac:dyDescent="0.25">
      <c r="A1298" s="42" t="s">
        <v>5373</v>
      </c>
      <c r="B1298" s="43" t="s">
        <v>5386</v>
      </c>
    </row>
    <row r="1299" spans="1:2" x14ac:dyDescent="0.25">
      <c r="A1299" s="39" t="s">
        <v>5392</v>
      </c>
      <c r="B1299" s="40" t="s">
        <v>5412</v>
      </c>
    </row>
    <row r="1300" spans="1:2" x14ac:dyDescent="0.25">
      <c r="A1300" s="39" t="s">
        <v>5393</v>
      </c>
      <c r="B1300" s="40" t="s">
        <v>5413</v>
      </c>
    </row>
    <row r="1301" spans="1:2" x14ac:dyDescent="0.25">
      <c r="A1301" s="41" t="s">
        <v>5394</v>
      </c>
      <c r="B1301" s="40" t="s">
        <v>5414</v>
      </c>
    </row>
    <row r="1302" spans="1:2" x14ac:dyDescent="0.25">
      <c r="A1302" s="39" t="s">
        <v>5395</v>
      </c>
      <c r="B1302" s="40" t="s">
        <v>5415</v>
      </c>
    </row>
    <row r="1303" spans="1:2" x14ac:dyDescent="0.25">
      <c r="A1303" s="39" t="s">
        <v>5396</v>
      </c>
      <c r="B1303" s="40" t="s">
        <v>5416</v>
      </c>
    </row>
    <row r="1304" spans="1:2" x14ac:dyDescent="0.25">
      <c r="A1304" s="39" t="s">
        <v>5397</v>
      </c>
      <c r="B1304" s="40" t="s">
        <v>5417</v>
      </c>
    </row>
    <row r="1305" spans="1:2" x14ac:dyDescent="0.25">
      <c r="A1305" s="39" t="s">
        <v>5398</v>
      </c>
      <c r="B1305" s="40" t="s">
        <v>5418</v>
      </c>
    </row>
    <row r="1306" spans="1:2" x14ac:dyDescent="0.25">
      <c r="A1306" s="39" t="s">
        <v>5399</v>
      </c>
      <c r="B1306" s="40" t="s">
        <v>5419</v>
      </c>
    </row>
    <row r="1307" spans="1:2" x14ac:dyDescent="0.25">
      <c r="A1307" s="39" t="s">
        <v>5400</v>
      </c>
      <c r="B1307" s="40" t="s">
        <v>5420</v>
      </c>
    </row>
    <row r="1308" spans="1:2" x14ac:dyDescent="0.25">
      <c r="A1308" s="39" t="s">
        <v>5401</v>
      </c>
      <c r="B1308" s="40" t="s">
        <v>5421</v>
      </c>
    </row>
    <row r="1309" spans="1:2" x14ac:dyDescent="0.25">
      <c r="A1309" s="39" t="s">
        <v>5402</v>
      </c>
      <c r="B1309" s="40" t="s">
        <v>5422</v>
      </c>
    </row>
    <row r="1310" spans="1:2" x14ac:dyDescent="0.25">
      <c r="A1310" s="39" t="s">
        <v>5403</v>
      </c>
      <c r="B1310" s="40" t="s">
        <v>5423</v>
      </c>
    </row>
    <row r="1311" spans="1:2" x14ac:dyDescent="0.25">
      <c r="A1311" s="39" t="s">
        <v>5404</v>
      </c>
      <c r="B1311" s="40" t="s">
        <v>5424</v>
      </c>
    </row>
    <row r="1312" spans="1:2" x14ac:dyDescent="0.25">
      <c r="A1312" s="39" t="s">
        <v>5405</v>
      </c>
      <c r="B1312" s="40" t="s">
        <v>5425</v>
      </c>
    </row>
    <row r="1313" spans="1:2" x14ac:dyDescent="0.25">
      <c r="A1313" s="39" t="s">
        <v>5406</v>
      </c>
      <c r="B1313" s="40" t="s">
        <v>5426</v>
      </c>
    </row>
    <row r="1314" spans="1:2" x14ac:dyDescent="0.25">
      <c r="A1314" s="39" t="s">
        <v>5407</v>
      </c>
      <c r="B1314" s="40" t="s">
        <v>5427</v>
      </c>
    </row>
    <row r="1315" spans="1:2" x14ac:dyDescent="0.25">
      <c r="A1315" s="39" t="s">
        <v>5408</v>
      </c>
      <c r="B1315" s="40" t="s">
        <v>5428</v>
      </c>
    </row>
    <row r="1316" spans="1:2" x14ac:dyDescent="0.25">
      <c r="A1316" s="39" t="s">
        <v>5409</v>
      </c>
      <c r="B1316" s="40" t="s">
        <v>5429</v>
      </c>
    </row>
    <row r="1317" spans="1:2" x14ac:dyDescent="0.25">
      <c r="A1317" s="41" t="s">
        <v>5410</v>
      </c>
      <c r="B1317" s="40" t="s">
        <v>5337</v>
      </c>
    </row>
    <row r="1318" spans="1:2" x14ac:dyDescent="0.25">
      <c r="A1318" s="42" t="s">
        <v>5411</v>
      </c>
      <c r="B1318" s="43" t="s">
        <v>5374</v>
      </c>
    </row>
    <row r="1319" spans="1:2" x14ac:dyDescent="0.25">
      <c r="A1319" s="39" t="s">
        <v>5430</v>
      </c>
      <c r="B1319" s="40" t="s">
        <v>5436</v>
      </c>
    </row>
    <row r="1320" spans="1:2" x14ac:dyDescent="0.25">
      <c r="A1320" s="39" t="s">
        <v>5431</v>
      </c>
      <c r="B1320" s="40" t="s">
        <v>5437</v>
      </c>
    </row>
    <row r="1321" spans="1:2" x14ac:dyDescent="0.25">
      <c r="A1321" s="39" t="s">
        <v>5432</v>
      </c>
      <c r="B1321" s="40" t="s">
        <v>5438</v>
      </c>
    </row>
    <row r="1322" spans="1:2" x14ac:dyDescent="0.25">
      <c r="A1322" s="39" t="s">
        <v>5433</v>
      </c>
      <c r="B1322" s="40" t="s">
        <v>5439</v>
      </c>
    </row>
    <row r="1323" spans="1:2" x14ac:dyDescent="0.25">
      <c r="A1323" s="39" t="s">
        <v>5434</v>
      </c>
      <c r="B1323" s="40" t="s">
        <v>5440</v>
      </c>
    </row>
    <row r="1324" spans="1:2" x14ac:dyDescent="0.25">
      <c r="A1324" s="46" t="s">
        <v>5435</v>
      </c>
      <c r="B1324" s="43" t="s">
        <v>5441</v>
      </c>
    </row>
    <row r="1325" spans="1:2" x14ac:dyDescent="0.25">
      <c r="A1325" s="39" t="s">
        <v>5442</v>
      </c>
      <c r="B1325" s="40" t="s">
        <v>5448</v>
      </c>
    </row>
    <row r="1326" spans="1:2" x14ac:dyDescent="0.25">
      <c r="A1326" s="39" t="s">
        <v>5443</v>
      </c>
      <c r="B1326" s="40" t="s">
        <v>5449</v>
      </c>
    </row>
    <row r="1327" spans="1:2" x14ac:dyDescent="0.25">
      <c r="A1327" s="39" t="s">
        <v>5444</v>
      </c>
      <c r="B1327" s="40" t="s">
        <v>5450</v>
      </c>
    </row>
    <row r="1328" spans="1:2" x14ac:dyDescent="0.25">
      <c r="A1328" s="39" t="s">
        <v>5445</v>
      </c>
      <c r="B1328" s="40" t="s">
        <v>5451</v>
      </c>
    </row>
    <row r="1329" spans="1:2" x14ac:dyDescent="0.25">
      <c r="A1329" s="39" t="s">
        <v>5446</v>
      </c>
      <c r="B1329" s="40" t="s">
        <v>5452</v>
      </c>
    </row>
    <row r="1330" spans="1:2" x14ac:dyDescent="0.25">
      <c r="A1330" s="42" t="s">
        <v>5447</v>
      </c>
      <c r="B1330" s="43" t="s">
        <v>5453</v>
      </c>
    </row>
    <row r="1331" spans="1:2" x14ac:dyDescent="0.25">
      <c r="A1331" s="39" t="s">
        <v>5454</v>
      </c>
      <c r="B1331" s="40" t="s">
        <v>5460</v>
      </c>
    </row>
    <row r="1332" spans="1:2" x14ac:dyDescent="0.25">
      <c r="A1332" s="39" t="s">
        <v>5455</v>
      </c>
      <c r="B1332" s="40" t="s">
        <v>5461</v>
      </c>
    </row>
    <row r="1333" spans="1:2" x14ac:dyDescent="0.25">
      <c r="A1333" s="39" t="s">
        <v>5456</v>
      </c>
      <c r="B1333" s="40" t="s">
        <v>5462</v>
      </c>
    </row>
    <row r="1334" spans="1:2" x14ac:dyDescent="0.25">
      <c r="A1334" s="39" t="s">
        <v>5457</v>
      </c>
      <c r="B1334" s="40" t="s">
        <v>5463</v>
      </c>
    </row>
    <row r="1335" spans="1:2" x14ac:dyDescent="0.25">
      <c r="A1335" s="39" t="s">
        <v>5458</v>
      </c>
      <c r="B1335" s="40" t="s">
        <v>5464</v>
      </c>
    </row>
    <row r="1336" spans="1:2" x14ac:dyDescent="0.25">
      <c r="A1336" s="42" t="s">
        <v>5459</v>
      </c>
      <c r="B1336" s="43" t="s">
        <v>5465</v>
      </c>
    </row>
    <row r="1337" spans="1:2" x14ac:dyDescent="0.25">
      <c r="A1337" s="39" t="s">
        <v>5466</v>
      </c>
      <c r="B1337" s="40" t="s">
        <v>5472</v>
      </c>
    </row>
    <row r="1338" spans="1:2" x14ac:dyDescent="0.25">
      <c r="A1338" s="39" t="s">
        <v>5467</v>
      </c>
      <c r="B1338" s="40" t="s">
        <v>5473</v>
      </c>
    </row>
    <row r="1339" spans="1:2" x14ac:dyDescent="0.25">
      <c r="A1339" s="39" t="s">
        <v>5468</v>
      </c>
      <c r="B1339" s="40" t="s">
        <v>5474</v>
      </c>
    </row>
    <row r="1340" spans="1:2" x14ac:dyDescent="0.25">
      <c r="A1340" s="39" t="s">
        <v>5469</v>
      </c>
      <c r="B1340" s="40" t="s">
        <v>5475</v>
      </c>
    </row>
    <row r="1341" spans="1:2" x14ac:dyDescent="0.25">
      <c r="A1341" s="39" t="s">
        <v>5470</v>
      </c>
      <c r="B1341" s="40" t="s">
        <v>5476</v>
      </c>
    </row>
    <row r="1342" spans="1:2" x14ac:dyDescent="0.25">
      <c r="A1342" s="42" t="s">
        <v>5471</v>
      </c>
      <c r="B1342" s="43" t="s">
        <v>5477</v>
      </c>
    </row>
    <row r="1343" spans="1:2" x14ac:dyDescent="0.25">
      <c r="A1343" s="39" t="s">
        <v>5478</v>
      </c>
      <c r="B1343" s="40" t="s">
        <v>5492</v>
      </c>
    </row>
    <row r="1344" spans="1:2" x14ac:dyDescent="0.25">
      <c r="A1344" s="39" t="s">
        <v>5479</v>
      </c>
      <c r="B1344" s="40" t="s">
        <v>5493</v>
      </c>
    </row>
    <row r="1345" spans="1:2" x14ac:dyDescent="0.25">
      <c r="A1345" s="39" t="s">
        <v>5480</v>
      </c>
      <c r="B1345" s="40" t="s">
        <v>5494</v>
      </c>
    </row>
    <row r="1346" spans="1:2" x14ac:dyDescent="0.25">
      <c r="A1346" s="39" t="s">
        <v>5481</v>
      </c>
      <c r="B1346" s="40" t="s">
        <v>5495</v>
      </c>
    </row>
    <row r="1347" spans="1:2" x14ac:dyDescent="0.25">
      <c r="A1347" s="39" t="s">
        <v>5482</v>
      </c>
      <c r="B1347" s="40" t="s">
        <v>5496</v>
      </c>
    </row>
    <row r="1348" spans="1:2" x14ac:dyDescent="0.25">
      <c r="A1348" s="39" t="s">
        <v>5483</v>
      </c>
      <c r="B1348" s="40" t="s">
        <v>5497</v>
      </c>
    </row>
    <row r="1349" spans="1:2" x14ac:dyDescent="0.25">
      <c r="A1349" s="39" t="s">
        <v>5484</v>
      </c>
      <c r="B1349" s="40" t="s">
        <v>5498</v>
      </c>
    </row>
    <row r="1350" spans="1:2" x14ac:dyDescent="0.25">
      <c r="A1350" s="39" t="s">
        <v>5485</v>
      </c>
      <c r="B1350" s="40" t="s">
        <v>5499</v>
      </c>
    </row>
    <row r="1351" spans="1:2" x14ac:dyDescent="0.25">
      <c r="A1351" s="39" t="s">
        <v>5486</v>
      </c>
      <c r="B1351" s="40" t="s">
        <v>5500</v>
      </c>
    </row>
    <row r="1352" spans="1:2" x14ac:dyDescent="0.25">
      <c r="A1352" s="39" t="s">
        <v>5487</v>
      </c>
      <c r="B1352" s="40" t="s">
        <v>5501</v>
      </c>
    </row>
    <row r="1353" spans="1:2" x14ac:dyDescent="0.25">
      <c r="A1353" s="39" t="s">
        <v>5488</v>
      </c>
      <c r="B1353" s="40" t="s">
        <v>5502</v>
      </c>
    </row>
    <row r="1354" spans="1:2" x14ac:dyDescent="0.25">
      <c r="A1354" s="39" t="s">
        <v>5489</v>
      </c>
      <c r="B1354" s="40" t="s">
        <v>5503</v>
      </c>
    </row>
    <row r="1355" spans="1:2" x14ac:dyDescent="0.25">
      <c r="A1355" s="39" t="s">
        <v>5490</v>
      </c>
      <c r="B1355" s="40" t="s">
        <v>5474</v>
      </c>
    </row>
    <row r="1356" spans="1:2" x14ac:dyDescent="0.25">
      <c r="A1356" s="42" t="s">
        <v>5491</v>
      </c>
      <c r="B1356" s="43" t="s">
        <v>5504</v>
      </c>
    </row>
    <row r="1357" spans="1:2" x14ac:dyDescent="0.25">
      <c r="A1357" s="39" t="s">
        <v>5505</v>
      </c>
      <c r="B1357" s="40" t="s">
        <v>5512</v>
      </c>
    </row>
    <row r="1358" spans="1:2" x14ac:dyDescent="0.25">
      <c r="A1358" s="39" t="s">
        <v>5506</v>
      </c>
      <c r="B1358" s="40" t="s">
        <v>5513</v>
      </c>
    </row>
    <row r="1359" spans="1:2" x14ac:dyDescent="0.25">
      <c r="A1359" s="39" t="s">
        <v>5507</v>
      </c>
      <c r="B1359" s="40" t="s">
        <v>5514</v>
      </c>
    </row>
    <row r="1360" spans="1:2" x14ac:dyDescent="0.25">
      <c r="A1360" s="39" t="s">
        <v>5508</v>
      </c>
      <c r="B1360" s="40" t="s">
        <v>5515</v>
      </c>
    </row>
    <row r="1361" spans="1:2" x14ac:dyDescent="0.25">
      <c r="A1361" s="39" t="s">
        <v>5509</v>
      </c>
      <c r="B1361" s="40" t="s">
        <v>5516</v>
      </c>
    </row>
    <row r="1362" spans="1:2" x14ac:dyDescent="0.25">
      <c r="A1362" s="39" t="s">
        <v>5510</v>
      </c>
      <c r="B1362" s="40" t="s">
        <v>5517</v>
      </c>
    </row>
    <row r="1363" spans="1:2" x14ac:dyDescent="0.25">
      <c r="A1363" s="42" t="s">
        <v>5511</v>
      </c>
      <c r="B1363" s="43" t="s">
        <v>5518</v>
      </c>
    </row>
    <row r="1364" spans="1:2" x14ac:dyDescent="0.25">
      <c r="A1364" s="39" t="s">
        <v>5581</v>
      </c>
      <c r="B1364" s="40" t="s">
        <v>5606</v>
      </c>
    </row>
    <row r="1365" spans="1:2" x14ac:dyDescent="0.25">
      <c r="A1365" s="39" t="s">
        <v>5582</v>
      </c>
      <c r="B1365" s="40" t="s">
        <v>5607</v>
      </c>
    </row>
    <row r="1366" spans="1:2" x14ac:dyDescent="0.25">
      <c r="A1366" s="39" t="s">
        <v>5583</v>
      </c>
      <c r="B1366" s="40" t="s">
        <v>5608</v>
      </c>
    </row>
    <row r="1367" spans="1:2" x14ac:dyDescent="0.25">
      <c r="A1367" s="39" t="s">
        <v>5584</v>
      </c>
      <c r="B1367" s="40" t="s">
        <v>5609</v>
      </c>
    </row>
    <row r="1368" spans="1:2" x14ac:dyDescent="0.25">
      <c r="A1368" s="39" t="s">
        <v>5585</v>
      </c>
      <c r="B1368" s="40" t="s">
        <v>5610</v>
      </c>
    </row>
    <row r="1369" spans="1:2" x14ac:dyDescent="0.25">
      <c r="A1369" s="39" t="s">
        <v>5586</v>
      </c>
      <c r="B1369" s="40" t="s">
        <v>5611</v>
      </c>
    </row>
    <row r="1370" spans="1:2" x14ac:dyDescent="0.25">
      <c r="A1370" s="39" t="s">
        <v>5587</v>
      </c>
      <c r="B1370" s="40" t="s">
        <v>5612</v>
      </c>
    </row>
    <row r="1371" spans="1:2" x14ac:dyDescent="0.25">
      <c r="A1371" s="39" t="s">
        <v>5588</v>
      </c>
      <c r="B1371" s="40" t="s">
        <v>5612</v>
      </c>
    </row>
    <row r="1372" spans="1:2" x14ac:dyDescent="0.25">
      <c r="A1372" s="39" t="s">
        <v>5589</v>
      </c>
      <c r="B1372" s="40" t="s">
        <v>5613</v>
      </c>
    </row>
    <row r="1373" spans="1:2" x14ac:dyDescent="0.25">
      <c r="A1373" s="39" t="s">
        <v>5590</v>
      </c>
      <c r="B1373" s="40" t="s">
        <v>5614</v>
      </c>
    </row>
    <row r="1374" spans="1:2" x14ac:dyDescent="0.25">
      <c r="A1374" s="39" t="s">
        <v>5591</v>
      </c>
      <c r="B1374" s="40" t="s">
        <v>5614</v>
      </c>
    </row>
    <row r="1375" spans="1:2" x14ac:dyDescent="0.25">
      <c r="A1375" s="39" t="s">
        <v>5592</v>
      </c>
      <c r="B1375" s="40" t="s">
        <v>5615</v>
      </c>
    </row>
    <row r="1376" spans="1:2" x14ac:dyDescent="0.25">
      <c r="A1376" s="39" t="s">
        <v>5593</v>
      </c>
      <c r="B1376" s="40" t="s">
        <v>5616</v>
      </c>
    </row>
    <row r="1377" spans="1:2" x14ac:dyDescent="0.25">
      <c r="A1377" s="39" t="s">
        <v>5594</v>
      </c>
      <c r="B1377" s="40" t="s">
        <v>5617</v>
      </c>
    </row>
    <row r="1378" spans="1:2" x14ac:dyDescent="0.25">
      <c r="A1378" s="39" t="s">
        <v>5595</v>
      </c>
      <c r="B1378" s="40" t="s">
        <v>5617</v>
      </c>
    </row>
    <row r="1379" spans="1:2" x14ac:dyDescent="0.25">
      <c r="A1379" s="39" t="s">
        <v>5596</v>
      </c>
      <c r="B1379" s="40" t="s">
        <v>5618</v>
      </c>
    </row>
    <row r="1380" spans="1:2" x14ac:dyDescent="0.25">
      <c r="A1380" s="39" t="s">
        <v>5597</v>
      </c>
      <c r="B1380" s="40" t="s">
        <v>5619</v>
      </c>
    </row>
    <row r="1381" spans="1:2" x14ac:dyDescent="0.25">
      <c r="A1381" s="39" t="s">
        <v>5598</v>
      </c>
      <c r="B1381" s="40" t="s">
        <v>5620</v>
      </c>
    </row>
    <row r="1382" spans="1:2" x14ac:dyDescent="0.25">
      <c r="A1382" s="39" t="s">
        <v>5599</v>
      </c>
      <c r="B1382" s="40" t="s">
        <v>5621</v>
      </c>
    </row>
    <row r="1383" spans="1:2" x14ac:dyDescent="0.25">
      <c r="A1383" s="39" t="s">
        <v>5600</v>
      </c>
      <c r="B1383" s="40" t="s">
        <v>5622</v>
      </c>
    </row>
    <row r="1384" spans="1:2" x14ac:dyDescent="0.25">
      <c r="A1384" s="39" t="s">
        <v>5601</v>
      </c>
      <c r="B1384" s="40" t="s">
        <v>5623</v>
      </c>
    </row>
    <row r="1385" spans="1:2" x14ac:dyDescent="0.25">
      <c r="A1385" s="39" t="s">
        <v>5602</v>
      </c>
      <c r="B1385" s="40" t="s">
        <v>5340</v>
      </c>
    </row>
    <row r="1386" spans="1:2" x14ac:dyDescent="0.25">
      <c r="A1386" s="39" t="s">
        <v>5603</v>
      </c>
      <c r="B1386" s="40" t="s">
        <v>5624</v>
      </c>
    </row>
    <row r="1387" spans="1:2" x14ac:dyDescent="0.25">
      <c r="A1387" s="39" t="s">
        <v>5604</v>
      </c>
      <c r="B1387" s="40" t="s">
        <v>5625</v>
      </c>
    </row>
    <row r="1388" spans="1:2" x14ac:dyDescent="0.25">
      <c r="A1388" s="42" t="s">
        <v>5605</v>
      </c>
      <c r="B1388" s="43" t="s">
        <v>5580</v>
      </c>
    </row>
    <row r="1389" spans="1:2" x14ac:dyDescent="0.25">
      <c r="A1389" s="39" t="s">
        <v>5768</v>
      </c>
      <c r="B1389" s="40" t="s">
        <v>5772</v>
      </c>
    </row>
    <row r="1390" spans="1:2" x14ac:dyDescent="0.25">
      <c r="A1390" s="39" t="s">
        <v>5769</v>
      </c>
      <c r="B1390" s="40" t="s">
        <v>5630</v>
      </c>
    </row>
    <row r="1391" spans="1:2" x14ac:dyDescent="0.25">
      <c r="A1391" s="39" t="s">
        <v>5770</v>
      </c>
      <c r="B1391" s="40" t="s">
        <v>5773</v>
      </c>
    </row>
    <row r="1392" spans="1:2" x14ac:dyDescent="0.25">
      <c r="A1392" s="42" t="s">
        <v>5771</v>
      </c>
      <c r="B1392" s="43" t="s">
        <v>5774</v>
      </c>
    </row>
  </sheetData>
  <mergeCells count="2">
    <mergeCell ref="A1:B1"/>
    <mergeCell ref="D1:E1"/>
  </mergeCells>
  <phoneticPr fontId="18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E401C-6B85-40EE-97DC-E9C4E72DEE62}">
  <sheetPr codeName="Sheet14">
    <tabColor rgb="FF92D050"/>
  </sheetPr>
  <dimension ref="A1:P2"/>
  <sheetViews>
    <sheetView workbookViewId="0">
      <selection sqref="A1:P2"/>
    </sheetView>
  </sheetViews>
  <sheetFormatPr defaultRowHeight="15" x14ac:dyDescent="0.25"/>
  <cols>
    <col min="4" max="4" width="9.5703125" customWidth="1"/>
    <col min="5" max="5" width="17.85546875" customWidth="1"/>
    <col min="6" max="6" width="15.5703125" customWidth="1"/>
    <col min="9" max="9" width="9.140625" customWidth="1"/>
    <col min="14" max="14" width="14.85546875" customWidth="1"/>
    <col min="15" max="15" width="12.5703125" customWidth="1"/>
  </cols>
  <sheetData>
    <row r="1" spans="1:16" x14ac:dyDescent="0.25">
      <c r="A1" s="27" t="s">
        <v>52</v>
      </c>
      <c r="B1" s="28" t="s">
        <v>0</v>
      </c>
      <c r="C1" s="28" t="s">
        <v>1</v>
      </c>
      <c r="D1" s="28" t="s">
        <v>53</v>
      </c>
      <c r="E1" s="28" t="s">
        <v>54</v>
      </c>
      <c r="F1" s="28" t="s">
        <v>55</v>
      </c>
      <c r="G1" s="28" t="s">
        <v>56</v>
      </c>
      <c r="H1" s="29" t="s">
        <v>19</v>
      </c>
      <c r="I1" s="29" t="s">
        <v>35</v>
      </c>
      <c r="J1" s="30" t="s">
        <v>21</v>
      </c>
      <c r="K1" s="30" t="s">
        <v>32</v>
      </c>
      <c r="L1" s="30" t="s">
        <v>34</v>
      </c>
      <c r="M1" s="31" t="s">
        <v>20</v>
      </c>
      <c r="N1" s="30" t="s">
        <v>25</v>
      </c>
      <c r="O1" s="30" t="s">
        <v>13</v>
      </c>
      <c r="P1" s="31" t="s">
        <v>33</v>
      </c>
    </row>
    <row r="2" spans="1:16" x14ac:dyDescent="0.25">
      <c r="H2" s="32" t="e">
        <f ca="1">_xlfn.LET(_xlpm.protoKey,
 TRIM(RIGHT(LEFT(NAME_SIMs[[#This Row],[Title]], IFERROR(
   SEARCH("/" &amp; TEXT(TODAY(), "YYYY") - 1, NAME_SIMs[[#This Row],[Title]]),
   SEARCH("/" &amp; TEXT(TODAY(), "YYYY"),  NAME_SIMs[[#This Row],[Title]])) + 4), 10)),
  DATEVALUE(TEXT(IFERROR(IFERROR(
  MOD(LEFT(_xlpm.protoKey), 1) + _xlpm.protoKey,
  REPLACE(_xlpm.protoKey, 1, 1, "")),
  "N/A"), "MM/DD/YYYY")))</f>
        <v>#VALUE!</v>
      </c>
      <c r="I2" s="32" t="str">
        <f ca="1">IFERROR(WEEKNUM(NAME_SIMs[[#This Row],[Ops Date]]), "N/A")</f>
        <v>N/A</v>
      </c>
      <c r="J2" s="32">
        <f>IF(OR(ISNUMBER(SEARCH("Excluded", NAME_SIMs[[#This Row],[Labels]])), ISNUMBER(SEARCH("Quality", NAME_SIMs[[#This Row],[Data Status]])), ISNUMBER(SEARCH("Exception", NAME_SIMs[[#This Row],[Data Status]]))), 1, 0)</f>
        <v>0</v>
      </c>
      <c r="K2" s="32">
        <f>IF(AND(NAME_SIMs[[#This Row],[Excluded]] = 0, OR(NAME_SIMs[[#This Row],[Operator Follow-up]] = 1, NAME_SIMs[[#This Row],[False Resolution]] = 1, NAME_SIMs[[#This Row],[SLA]] = 1, ISNUMBER( SEARCH("Miss", NAME_SIMs[[#This Row],[Labels]])))), 1, 0)</f>
        <v>0</v>
      </c>
      <c r="L2" s="32">
        <f>IF(AND(NAME_SIMs[[#This Row],[Miss]] = 1, NAME_SIMs[[#This Row],[Operator Follow-up]] = 0, NAME_SIMs[[#This Row],[False Resolution]] = 0), 1,
IF(AND(NAME_SIMs[[#This Row],[Operator Follow-up]] = 1,
 NAME_SIMs[[#This Row],[Operator Follow-up Miss]] &lt;&gt; "AA didn’t leave accurately complete the “Resolution Comments” in salesforce (“WKXX Reimbursements: $ _____ Fuel, $ _____ DEF, XX/XX/XXXX”),"), 1,
IF(AND(NAME_SIMs[[#This Row],[False Resolution]] = 1,
 NAME_SIMs[[#This Row],[False Resolution Miss]] &lt;&gt; "AA didn’t accurately update the case status in salesforce,"), 1,
0)))</f>
        <v>0</v>
      </c>
      <c r="M2" s="33">
        <f>IF(AND(NAME_SIMs[[#This Row],[CI]] = 0, NAME_SIMs[[#This Row],[Miss]] = 1), 1, 0)</f>
        <v>0</v>
      </c>
      <c r="N2" s="32">
        <f>IF(AND(NAME_SIMs[[#This Row],[Excluded]] = 0, OR(NAME_SIMs[[#This Row],[Operator Follow-up Miss]] &lt;&gt; "", ISNUMBER(SEARCH("Operator Follow Up", NAME_SIMs[[#This Row],[Labels]])))), 1, 0)</f>
        <v>0</v>
      </c>
      <c r="O2" s="32">
        <f>IF(AND(NAME_SIMs[[#This Row],[Excluded]] = 0, OR(NAME_SIMs[[#This Row],[False Resolution Miss]] &lt;&gt; "", ISNUMBER(SEARCH("False Resolution", NAME_SIMs[[#This Row],[Labels]])))), 1, 0)</f>
        <v>0</v>
      </c>
      <c r="P2" s="33">
        <f>IF(AND(NAME_SIMs[[#This Row],[Excluded]] = 0, OR(NAME_SIMs[[#This Row],[SLA Miss]] &lt;&gt; "", ISNUMBER(SEARCH("SLA", NAME_SIMs[[#This Row],[Labels]])))), 1, 0)</f>
        <v>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610CA-9953-4DD1-8FF3-89F688CEA3BE}">
  <sheetPr codeName="Sheet18">
    <tabColor rgb="FF92D050"/>
  </sheetPr>
  <dimension ref="A1:S13"/>
  <sheetViews>
    <sheetView workbookViewId="0">
      <selection activeCell="S16" sqref="S16"/>
    </sheetView>
  </sheetViews>
  <sheetFormatPr defaultRowHeight="15" x14ac:dyDescent="0.25"/>
  <cols>
    <col min="1" max="2" width="21.140625" customWidth="1"/>
    <col min="4" max="4" width="24.42578125" customWidth="1"/>
    <col min="6" max="8" width="21.5703125" customWidth="1"/>
    <col min="10" max="12" width="20.85546875" customWidth="1"/>
    <col min="14" max="16" width="21" customWidth="1"/>
    <col min="18" max="18" width="17.7109375" customWidth="1"/>
  </cols>
  <sheetData>
    <row r="1" spans="1:19" x14ac:dyDescent="0.25">
      <c r="A1" t="s">
        <v>4668</v>
      </c>
    </row>
    <row r="3" spans="1:19" x14ac:dyDescent="0.25">
      <c r="A3" s="191" t="s">
        <v>2</v>
      </c>
      <c r="B3" s="191"/>
      <c r="D3" s="104" t="s">
        <v>18</v>
      </c>
      <c r="F3" s="191" t="s">
        <v>3</v>
      </c>
      <c r="G3" s="191"/>
      <c r="H3" s="191"/>
      <c r="J3" s="191" t="s">
        <v>4</v>
      </c>
      <c r="K3" s="191"/>
      <c r="L3" s="191"/>
      <c r="N3" s="191" t="s">
        <v>4640</v>
      </c>
      <c r="O3" s="191"/>
      <c r="P3" s="191"/>
      <c r="R3" s="109" t="s">
        <v>9</v>
      </c>
    </row>
    <row r="4" spans="1:19" x14ac:dyDescent="0.25">
      <c r="A4" t="s">
        <v>13</v>
      </c>
      <c r="B4" t="s">
        <v>25</v>
      </c>
      <c r="D4" t="s">
        <v>13</v>
      </c>
      <c r="F4" t="s">
        <v>13</v>
      </c>
      <c r="G4" t="s">
        <v>25</v>
      </c>
      <c r="H4" t="s">
        <v>33</v>
      </c>
      <c r="J4" t="s">
        <v>13</v>
      </c>
      <c r="K4" t="s">
        <v>25</v>
      </c>
      <c r="L4" t="s">
        <v>33</v>
      </c>
      <c r="N4" t="s">
        <v>13</v>
      </c>
      <c r="O4" t="s">
        <v>25</v>
      </c>
      <c r="P4" t="s">
        <v>33</v>
      </c>
      <c r="R4" t="s">
        <v>13</v>
      </c>
    </row>
    <row r="5" spans="1:19" ht="15" customHeight="1" x14ac:dyDescent="0.25">
      <c r="A5" t="s">
        <v>4646</v>
      </c>
      <c r="B5" t="s">
        <v>4653</v>
      </c>
      <c r="C5" t="s">
        <v>5526</v>
      </c>
      <c r="D5" t="s">
        <v>4660</v>
      </c>
      <c r="E5" t="s">
        <v>5526</v>
      </c>
      <c r="F5" t="s">
        <v>4669</v>
      </c>
      <c r="G5" t="s">
        <v>4670</v>
      </c>
      <c r="H5" t="s">
        <v>4673</v>
      </c>
      <c r="I5" t="s">
        <v>5526</v>
      </c>
      <c r="J5" t="s">
        <v>4676</v>
      </c>
      <c r="K5" t="s">
        <v>4682</v>
      </c>
      <c r="L5" t="s">
        <v>4688</v>
      </c>
      <c r="M5" t="s">
        <v>5526</v>
      </c>
      <c r="N5" t="s">
        <v>4691</v>
      </c>
      <c r="O5" t="s">
        <v>4697</v>
      </c>
      <c r="P5" t="s">
        <v>4698</v>
      </c>
      <c r="Q5" t="s">
        <v>5526</v>
      </c>
      <c r="R5" s="110" t="s">
        <v>5524</v>
      </c>
    </row>
    <row r="6" spans="1:19" x14ac:dyDescent="0.25">
      <c r="A6" t="s">
        <v>4647</v>
      </c>
      <c r="B6" t="s">
        <v>4654</v>
      </c>
      <c r="C6" t="s">
        <v>5526</v>
      </c>
      <c r="D6" t="s">
        <v>4661</v>
      </c>
      <c r="E6" t="s">
        <v>5526</v>
      </c>
      <c r="F6" t="s">
        <v>4667</v>
      </c>
      <c r="G6" t="s">
        <v>4671</v>
      </c>
      <c r="H6" t="s">
        <v>4674</v>
      </c>
      <c r="I6" t="s">
        <v>5526</v>
      </c>
      <c r="J6" t="s">
        <v>4677</v>
      </c>
      <c r="K6" t="s">
        <v>4683</v>
      </c>
      <c r="L6" t="s">
        <v>4689</v>
      </c>
      <c r="M6" t="s">
        <v>5526</v>
      </c>
      <c r="N6" t="s">
        <v>4692</v>
      </c>
      <c r="O6" t="s">
        <v>4667</v>
      </c>
      <c r="P6" t="s">
        <v>4667</v>
      </c>
      <c r="R6" t="s">
        <v>5525</v>
      </c>
      <c r="S6" t="s">
        <v>5526</v>
      </c>
    </row>
    <row r="7" spans="1:19" x14ac:dyDescent="0.25">
      <c r="A7" t="s">
        <v>4648</v>
      </c>
      <c r="B7" t="s">
        <v>4655</v>
      </c>
      <c r="C7" t="s">
        <v>5526</v>
      </c>
      <c r="D7" t="s">
        <v>5519</v>
      </c>
      <c r="E7" t="s">
        <v>5526</v>
      </c>
      <c r="F7" t="s">
        <v>4667</v>
      </c>
      <c r="G7" t="s">
        <v>4672</v>
      </c>
      <c r="H7" t="s">
        <v>4675</v>
      </c>
      <c r="I7" t="s">
        <v>5526</v>
      </c>
      <c r="J7" t="s">
        <v>4678</v>
      </c>
      <c r="K7" t="s">
        <v>4684</v>
      </c>
      <c r="L7" t="s">
        <v>4690</v>
      </c>
      <c r="M7" t="s">
        <v>5526</v>
      </c>
      <c r="N7" t="s">
        <v>4693</v>
      </c>
      <c r="O7" t="s">
        <v>4667</v>
      </c>
      <c r="P7" t="s">
        <v>4667</v>
      </c>
      <c r="R7" t="s">
        <v>5521</v>
      </c>
      <c r="S7" t="s">
        <v>5526</v>
      </c>
    </row>
    <row r="8" spans="1:19" x14ac:dyDescent="0.25">
      <c r="A8" t="s">
        <v>4649</v>
      </c>
      <c r="B8" t="s">
        <v>4656</v>
      </c>
      <c r="C8" t="s">
        <v>5526</v>
      </c>
      <c r="D8" t="s">
        <v>4662</v>
      </c>
      <c r="E8" t="s">
        <v>5526</v>
      </c>
      <c r="J8" t="s">
        <v>4679</v>
      </c>
      <c r="K8" t="s">
        <v>4685</v>
      </c>
      <c r="L8" t="s">
        <v>4667</v>
      </c>
      <c r="N8" t="s">
        <v>4694</v>
      </c>
      <c r="O8" t="s">
        <v>4667</v>
      </c>
      <c r="P8" t="s">
        <v>4667</v>
      </c>
      <c r="R8" t="s">
        <v>5522</v>
      </c>
      <c r="S8" t="s">
        <v>5526</v>
      </c>
    </row>
    <row r="9" spans="1:19" x14ac:dyDescent="0.25">
      <c r="A9" t="s">
        <v>4650</v>
      </c>
      <c r="B9" t="s">
        <v>4657</v>
      </c>
      <c r="C9" t="s">
        <v>5526</v>
      </c>
      <c r="D9" t="s">
        <v>4663</v>
      </c>
      <c r="E9" t="s">
        <v>5526</v>
      </c>
      <c r="J9" t="s">
        <v>4680</v>
      </c>
      <c r="K9" t="s">
        <v>4686</v>
      </c>
      <c r="L9" t="s">
        <v>4667</v>
      </c>
      <c r="N9" t="s">
        <v>4695</v>
      </c>
      <c r="O9" t="s">
        <v>4667</v>
      </c>
      <c r="P9" t="s">
        <v>4667</v>
      </c>
      <c r="R9" t="s">
        <v>5523</v>
      </c>
      <c r="S9" t="s">
        <v>5526</v>
      </c>
    </row>
    <row r="10" spans="1:19" x14ac:dyDescent="0.25">
      <c r="A10" t="s">
        <v>4651</v>
      </c>
      <c r="B10" t="s">
        <v>4658</v>
      </c>
      <c r="C10" t="s">
        <v>5526</v>
      </c>
      <c r="D10" t="s">
        <v>5520</v>
      </c>
      <c r="E10" t="s">
        <v>5526</v>
      </c>
      <c r="J10" t="s">
        <v>4681</v>
      </c>
      <c r="K10" t="s">
        <v>4687</v>
      </c>
      <c r="L10" t="s">
        <v>4667</v>
      </c>
      <c r="N10" t="s">
        <v>4696</v>
      </c>
      <c r="O10" t="s">
        <v>4667</v>
      </c>
      <c r="P10" t="s">
        <v>4667</v>
      </c>
    </row>
    <row r="11" spans="1:19" x14ac:dyDescent="0.25">
      <c r="A11" t="s">
        <v>4652</v>
      </c>
      <c r="B11" t="s">
        <v>4667</v>
      </c>
      <c r="C11" t="s">
        <v>5526</v>
      </c>
      <c r="D11" t="s">
        <v>4664</v>
      </c>
      <c r="E11" t="s">
        <v>5526</v>
      </c>
    </row>
    <row r="12" spans="1:19" x14ac:dyDescent="0.25">
      <c r="C12" t="s">
        <v>5526</v>
      </c>
      <c r="D12" t="s">
        <v>4665</v>
      </c>
      <c r="E12" t="s">
        <v>5526</v>
      </c>
    </row>
    <row r="13" spans="1:19" x14ac:dyDescent="0.25">
      <c r="C13" t="s">
        <v>5526</v>
      </c>
      <c r="D13" t="s">
        <v>4666</v>
      </c>
      <c r="E13" t="s">
        <v>5526</v>
      </c>
    </row>
  </sheetData>
  <mergeCells count="4">
    <mergeCell ref="A3:B3"/>
    <mergeCell ref="F3:H3"/>
    <mergeCell ref="J3:L3"/>
    <mergeCell ref="N3:P3"/>
  </mergeCells>
  <conditionalFormatting sqref="D5:D13">
    <cfRule type="duplicateValues" dxfId="0" priority="2"/>
  </conditionalFormatting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1DB87-4DF3-44F8-80F4-CFCB4511251E}">
  <sheetPr codeName="Sheet8">
    <tabColor theme="1"/>
  </sheetPr>
  <dimension ref="A1:P25"/>
  <sheetViews>
    <sheetView zoomScale="160" zoomScaleNormal="160" workbookViewId="0">
      <selection activeCell="M31" sqref="M31"/>
    </sheetView>
  </sheetViews>
  <sheetFormatPr defaultColWidth="9.140625" defaultRowHeight="11.25" x14ac:dyDescent="0.2"/>
  <cols>
    <col min="1" max="1" width="9.140625" style="1"/>
    <col min="2" max="3" width="14.42578125" style="1" customWidth="1"/>
    <col min="4" max="11" width="9.140625" style="1"/>
    <col min="12" max="12" width="9.140625" style="1" customWidth="1"/>
    <col min="13" max="16" width="9.140625" style="1"/>
    <col min="17" max="17" width="9.140625" style="1" customWidth="1"/>
    <col min="18" max="19" width="9.140625" style="1"/>
    <col min="20" max="20" width="9.140625" style="1" customWidth="1"/>
    <col min="21" max="16384" width="9.140625" style="1"/>
  </cols>
  <sheetData>
    <row r="1" spans="1:16" x14ac:dyDescent="0.2">
      <c r="A1" s="14" t="s">
        <v>969</v>
      </c>
      <c r="P1" s="14"/>
    </row>
    <row r="2" spans="1:16" x14ac:dyDescent="0.2">
      <c r="A2" s="1" t="s">
        <v>968</v>
      </c>
      <c r="P2" s="26"/>
    </row>
    <row r="3" spans="1:16" x14ac:dyDescent="0.2">
      <c r="P3" s="26"/>
    </row>
    <row r="4" spans="1:16" x14ac:dyDescent="0.2">
      <c r="A4" s="1" t="s">
        <v>4659</v>
      </c>
      <c r="P4" s="26"/>
    </row>
    <row r="5" spans="1:16" x14ac:dyDescent="0.2">
      <c r="F5" s="15"/>
      <c r="P5" s="26"/>
    </row>
    <row r="7" spans="1:16" x14ac:dyDescent="0.2">
      <c r="A7" s="1" t="s">
        <v>44</v>
      </c>
      <c r="J7" s="17" t="s">
        <v>0</v>
      </c>
      <c r="K7" s="17" t="s">
        <v>42</v>
      </c>
      <c r="L7" s="17" t="s">
        <v>19</v>
      </c>
      <c r="M7" s="17" t="s">
        <v>43</v>
      </c>
    </row>
    <row r="8" spans="1:16" x14ac:dyDescent="0.2">
      <c r="A8" s="1" t="s">
        <v>45</v>
      </c>
      <c r="J8" s="16" t="str">
        <f ca="1">"X/X - [1/1/"&amp;TEXT(TODAY(),"YYYY")-1&amp;"] - X/X"</f>
        <v>X/X - [1/1/2023] - X/X</v>
      </c>
      <c r="K8" s="16" t="str">
        <f ca="1">TRIM(RIGHT(LEFT(Demonstration[[#This Row],[Title]], IFERROR(
  SEARCH("/"&amp;TEXT(TODAY(), "YYYY")-1, Demonstration[[#This Row],[Title]]),
  SEARCH("/"&amp;TEXT(TODAY(), "YYYY"), Demonstration[[#This Row],[Title]]))+4), 10))</f>
        <v>[1/1/2023</v>
      </c>
      <c r="L8" s="16" t="str">
        <f ca="1">TEXT(IFERROR(
 MOD(LEFT(Demonstration[[#This Row],[protoKey]]), 1)+Demonstration[[#This Row],[protoKey]],
 REPLACE(Demonstration[[#This Row],[protoKey]], 1, 1, "")),"M/D/YYYY")</f>
        <v>1/1/2023</v>
      </c>
      <c r="M8" s="16" t="str" cm="1">
        <f t="array" aca="1" ref="M8" ca="1">TEXT(IFERROR(
 MOD(LEFT(TRIM(RIGHT(LEFT(Demonstration[[#This Row],[Title]], IFERROR(
  SEARCH("/"&amp;TEXT('CO Daily Flash Report'!$M$2:$M$2,"YYYY")-1, Demonstration[[#This Row],[Title]]),
  SEARCH("/"&amp;TEXT('CO Daily Flash Report'!$M$2:$M$2,"YYYY"), Demonstration[[#This Row],[Title]]))+4), 10))), 1) +
 TRIM(RIGHT(LEFT(Demonstration[[#This Row],[Title]], IFERROR(
  SEARCH("/"&amp;TEXT('CO Daily Flash Report'!$M$2:$M$2,"YYYY")-1, Demonstration[[#This Row],[Title]]),
  SEARCH("/"&amp;TEXT('CO Daily Flash Report'!$M$2:$M$2,"YYYY"), Demonstration[[#This Row],[Title]]))+4), 10)),
 REPLACE(TRIM(RIGHT(LEFT(Demonstration[[#This Row],[Title]], IFERROR(
  SEARCH("/"&amp;TEXT('CO Daily Flash Report'!$M$2:$M$2,"YYYY")-1, Demonstration[[#This Row],[Title]]),
  SEARCH("/"&amp;TEXT('CO Daily Flash Report'!$M$2:$M$2,"YYYY"), Demonstration[[#This Row],[Title]]))+4), 10)), 1, 1, "")), "M/D/YYYY")</f>
        <v>1/1/2023</v>
      </c>
    </row>
    <row r="9" spans="1:16" x14ac:dyDescent="0.2">
      <c r="A9" s="1" t="s">
        <v>46</v>
      </c>
      <c r="J9" s="16" t="str">
        <f ca="1">"X/X - [1/01/"&amp;TEXT(TODAY(),"YYYY")-1&amp;"] - X/X"</f>
        <v>X/X - [1/01/2023] - X/X</v>
      </c>
      <c r="K9" s="16" t="str">
        <f ca="1">TRIM(RIGHT(LEFT(Demonstration[[#This Row],[Title]], IFERROR(
  SEARCH("/"&amp;TEXT(TODAY(), "YYYY")-1, Demonstration[[#This Row],[Title]]),
  SEARCH("/"&amp;TEXT(TODAY(), "YYYY"), Demonstration[[#This Row],[Title]]))+4), 10))</f>
        <v>[1/01/2023</v>
      </c>
      <c r="L9" s="16" t="str">
        <f ca="1">TEXT(IFERROR(
 MOD(LEFT(Demonstration[[#This Row],[protoKey]]), 1)+Demonstration[[#This Row],[protoKey]],
 REPLACE(Demonstration[[#This Row],[protoKey]], 1, 1, "")),"M/D/YYYY")</f>
        <v>1/1/2023</v>
      </c>
      <c r="M9" s="16" t="str" cm="1">
        <f t="array" aca="1" ref="M9" ca="1">TEXT(IFERROR(
 MOD(LEFT(TRIM(RIGHT(LEFT(Demonstration[[#This Row],[Title]], IFERROR(
  SEARCH("/"&amp;TEXT('CO Daily Flash Report'!$M$2:$M$2,"YYYY")-1, Demonstration[[#This Row],[Title]]),
  SEARCH("/"&amp;TEXT('CO Daily Flash Report'!$M$2:$M$2,"YYYY"), Demonstration[[#This Row],[Title]]))+4), 10))), 1) +
 TRIM(RIGHT(LEFT(Demonstration[[#This Row],[Title]], IFERROR(
  SEARCH("/"&amp;TEXT('CO Daily Flash Report'!$M$2:$M$2,"YYYY")-1, Demonstration[[#This Row],[Title]]),
  SEARCH("/"&amp;TEXT('CO Daily Flash Report'!$M$2:$M$2,"YYYY"), Demonstration[[#This Row],[Title]]))+4), 10)),
 REPLACE(TRIM(RIGHT(LEFT(Demonstration[[#This Row],[Title]], IFERROR(
  SEARCH("/"&amp;TEXT('CO Daily Flash Report'!$M$2:$M$2,"YYYY")-1, Demonstration[[#This Row],[Title]]),
  SEARCH("/"&amp;TEXT('CO Daily Flash Report'!$M$2:$M$2,"YYYY"), Demonstration[[#This Row],[Title]]))+4), 10)), 1, 1, "")), "M/D/YYYY")</f>
        <v>1/1/2023</v>
      </c>
    </row>
    <row r="10" spans="1:16" x14ac:dyDescent="0.2">
      <c r="A10" s="1" t="s">
        <v>888</v>
      </c>
      <c r="J10" s="16" t="str">
        <f ca="1">"X/X - [01/01/"&amp;TEXT(TODAY(),"YYYY")-1&amp;"] - X/X"</f>
        <v>X/X - [01/01/2023] - X/X</v>
      </c>
      <c r="K10" s="16" t="str">
        <f ca="1">TRIM(RIGHT(LEFT(Demonstration[[#This Row],[Title]], IFERROR(
  SEARCH("/"&amp;TEXT(TODAY(), "YYYY")-1, Demonstration[[#This Row],[Title]]),
  SEARCH("/"&amp;TEXT(TODAY(), "YYYY"), Demonstration[[#This Row],[Title]]))+4), 10))</f>
        <v>01/01/2023</v>
      </c>
      <c r="L10" s="16" t="str">
        <f ca="1">TEXT(IFERROR(
 MOD(LEFT(Demonstration[[#This Row],[protoKey]]), 1)+Demonstration[[#This Row],[protoKey]],
 REPLACE(Demonstration[[#This Row],[protoKey]], 1, 1, "")),"M/D/YYYY")</f>
        <v>1/1/2023</v>
      </c>
      <c r="M10" s="16" t="str" cm="1">
        <f t="array" aca="1" ref="M10" ca="1">TEXT(IFERROR(
 MOD(LEFT(TRIM(RIGHT(LEFT(Demonstration[[#This Row],[Title]], IFERROR(
  SEARCH("/"&amp;TEXT('CO Daily Flash Report'!$M$2:$M$2,"YYYY")-1, Demonstration[[#This Row],[Title]]),
  SEARCH("/"&amp;TEXT('CO Daily Flash Report'!$M$2:$M$2,"YYYY"), Demonstration[[#This Row],[Title]]))+4), 10))), 1) +
 TRIM(RIGHT(LEFT(Demonstration[[#This Row],[Title]], IFERROR(
  SEARCH("/"&amp;TEXT('CO Daily Flash Report'!$M$2:$M$2,"YYYY")-1, Demonstration[[#This Row],[Title]]),
  SEARCH("/"&amp;TEXT('CO Daily Flash Report'!$M$2:$M$2,"YYYY"), Demonstration[[#This Row],[Title]]))+4), 10)),
 REPLACE(TRIM(RIGHT(LEFT(Demonstration[[#This Row],[Title]], IFERROR(
  SEARCH("/"&amp;TEXT('CO Daily Flash Report'!$M$2:$M$2,"YYYY")-1, Demonstration[[#This Row],[Title]]),
  SEARCH("/"&amp;TEXT('CO Daily Flash Report'!$M$2:$M$2,"YYYY"), Demonstration[[#This Row],[Title]]))+4), 10)), 1, 1, "")), "M/D/YYYY")</f>
        <v>1/1/2023</v>
      </c>
    </row>
    <row r="11" spans="1:16" x14ac:dyDescent="0.2">
      <c r="A11" s="1" t="s">
        <v>889</v>
      </c>
      <c r="J11" s="16" t="str">
        <f ca="1">"XXX - (1/1/"&amp;TEXT(TODAY(),"YYYY")-1&amp;")"</f>
        <v>XXX - (1/1/2023)</v>
      </c>
      <c r="K11" s="16" t="str">
        <f ca="1">TRIM(RIGHT(LEFT(Demonstration[[#This Row],[Title]], IFERROR(
  SEARCH("/"&amp;TEXT(TODAY(), "YYYY")-1, Demonstration[[#This Row],[Title]]),
  SEARCH("/"&amp;TEXT(TODAY(), "YYYY"), Demonstration[[#This Row],[Title]]))+4), 10))</f>
        <v>(1/1/2023</v>
      </c>
      <c r="L11" s="16" t="str">
        <f ca="1">TEXT(IFERROR(
 MOD(LEFT(Demonstration[[#This Row],[protoKey]]), 1)+Demonstration[[#This Row],[protoKey]],
 REPLACE(Demonstration[[#This Row],[protoKey]], 1, 1, "")),"M/D/YYYY")</f>
        <v>1/1/2023</v>
      </c>
      <c r="M11" s="16" t="str" cm="1">
        <f t="array" aca="1" ref="M11" ca="1">TEXT(IFERROR(
 MOD(LEFT(TRIM(RIGHT(LEFT(Demonstration[[#This Row],[Title]], IFERROR(
  SEARCH("/"&amp;TEXT('CO Daily Flash Report'!$M$2:$M$2,"YYYY")-1, Demonstration[[#This Row],[Title]]),
  SEARCH("/"&amp;TEXT('CO Daily Flash Report'!$M$2:$M$2,"YYYY"), Demonstration[[#This Row],[Title]]))+4), 10))), 1) +
 TRIM(RIGHT(LEFT(Demonstration[[#This Row],[Title]], IFERROR(
  SEARCH("/"&amp;TEXT('CO Daily Flash Report'!$M$2:$M$2,"YYYY")-1, Demonstration[[#This Row],[Title]]),
  SEARCH("/"&amp;TEXT('CO Daily Flash Report'!$M$2:$M$2,"YYYY"), Demonstration[[#This Row],[Title]]))+4), 10)),
 REPLACE(TRIM(RIGHT(LEFT(Demonstration[[#This Row],[Title]], IFERROR(
  SEARCH("/"&amp;TEXT('CO Daily Flash Report'!$M$2:$M$2,"YYYY")-1, Demonstration[[#This Row],[Title]]),
  SEARCH("/"&amp;TEXT('CO Daily Flash Report'!$M$2:$M$2,"YYYY"), Demonstration[[#This Row],[Title]]))+4), 10)), 1, 1, "")), "M/D/YYYY")</f>
        <v>1/1/2023</v>
      </c>
    </row>
    <row r="12" spans="1:16" x14ac:dyDescent="0.2">
      <c r="J12" s="16" t="str">
        <f ca="1">"XXX - (1/01/"&amp;TEXT(TODAY(),"YYYY")-1&amp;")"</f>
        <v>XXX - (1/01/2023)</v>
      </c>
      <c r="K12" s="16" t="str">
        <f ca="1">TRIM(RIGHT(LEFT(Demonstration[[#This Row],[Title]], IFERROR(
  SEARCH("/"&amp;TEXT(TODAY(), "YYYY")-1, Demonstration[[#This Row],[Title]]),
  SEARCH("/"&amp;TEXT(TODAY(), "YYYY"), Demonstration[[#This Row],[Title]]))+4), 10))</f>
        <v>(1/01/2023</v>
      </c>
      <c r="L12" s="16" t="str">
        <f ca="1">TEXT(IFERROR(
 MOD(LEFT(Demonstration[[#This Row],[protoKey]]), 1)+Demonstration[[#This Row],[protoKey]],
 REPLACE(Demonstration[[#This Row],[protoKey]], 1, 1, "")),"M/D/YYYY")</f>
        <v>1/1/2023</v>
      </c>
      <c r="M12" s="16" t="str" cm="1">
        <f t="array" aca="1" ref="M12" ca="1">TEXT(IFERROR(
 MOD(LEFT(TRIM(RIGHT(LEFT(Demonstration[[#This Row],[Title]], IFERROR(
  SEARCH("/"&amp;TEXT('CO Daily Flash Report'!$M$2:$M$2,"YYYY")-1, Demonstration[[#This Row],[Title]]),
  SEARCH("/"&amp;TEXT('CO Daily Flash Report'!$M$2:$M$2,"YYYY"), Demonstration[[#This Row],[Title]]))+4), 10))), 1) +
 TRIM(RIGHT(LEFT(Demonstration[[#This Row],[Title]], IFERROR(
  SEARCH("/"&amp;TEXT('CO Daily Flash Report'!$M$2:$M$2,"YYYY")-1, Demonstration[[#This Row],[Title]]),
  SEARCH("/"&amp;TEXT('CO Daily Flash Report'!$M$2:$M$2,"YYYY"), Demonstration[[#This Row],[Title]]))+4), 10)),
 REPLACE(TRIM(RIGHT(LEFT(Demonstration[[#This Row],[Title]], IFERROR(
  SEARCH("/"&amp;TEXT('CO Daily Flash Report'!$M$2:$M$2,"YYYY")-1, Demonstration[[#This Row],[Title]]),
  SEARCH("/"&amp;TEXT('CO Daily Flash Report'!$M$2:$M$2,"YYYY"), Demonstration[[#This Row],[Title]]))+4), 10)), 1, 1, "")), "M/D/YYYY")</f>
        <v>1/1/2023</v>
      </c>
    </row>
    <row r="13" spans="1:16" x14ac:dyDescent="0.2">
      <c r="A13" s="1" t="s">
        <v>971</v>
      </c>
      <c r="J13" s="16" t="str">
        <f ca="1">"XXX - (01/01/"&amp;TEXT(TODAY(),"YYYY")-1&amp;")"</f>
        <v>XXX - (01/01/2023)</v>
      </c>
      <c r="K13" s="16" t="str">
        <f ca="1">TRIM(RIGHT(LEFT(Demonstration[[#This Row],[Title]], IFERROR(
  SEARCH("/"&amp;TEXT(TODAY(), "YYYY")-1, Demonstration[[#This Row],[Title]]),
  SEARCH("/"&amp;TEXT(TODAY(), "YYYY"), Demonstration[[#This Row],[Title]]))+4), 10))</f>
        <v>01/01/2023</v>
      </c>
      <c r="L13" s="16" t="str">
        <f ca="1">TEXT(IFERROR(
 MOD(LEFT(Demonstration[[#This Row],[protoKey]]), 1)+Demonstration[[#This Row],[protoKey]],
 REPLACE(Demonstration[[#This Row],[protoKey]], 1, 1, "")),"M/D/YYYY")</f>
        <v>1/1/2023</v>
      </c>
      <c r="M13" s="16" t="str" cm="1">
        <f t="array" aca="1" ref="M13" ca="1">TEXT(IFERROR(
 MOD(LEFT(TRIM(RIGHT(LEFT(Demonstration[[#This Row],[Title]], IFERROR(
  SEARCH("/"&amp;TEXT('CO Daily Flash Report'!$M$2:$M$2,"YYYY")-1, Demonstration[[#This Row],[Title]]),
  SEARCH("/"&amp;TEXT('CO Daily Flash Report'!$M$2:$M$2,"YYYY"), Demonstration[[#This Row],[Title]]))+4), 10))), 1) +
 TRIM(RIGHT(LEFT(Demonstration[[#This Row],[Title]], IFERROR(
  SEARCH("/"&amp;TEXT('CO Daily Flash Report'!$M$2:$M$2,"YYYY")-1, Demonstration[[#This Row],[Title]]),
  SEARCH("/"&amp;TEXT('CO Daily Flash Report'!$M$2:$M$2,"YYYY"), Demonstration[[#This Row],[Title]]))+4), 10)),
 REPLACE(TRIM(RIGHT(LEFT(Demonstration[[#This Row],[Title]], IFERROR(
  SEARCH("/"&amp;TEXT('CO Daily Flash Report'!$M$2:$M$2,"YYYY")-1, Demonstration[[#This Row],[Title]]),
  SEARCH("/"&amp;TEXT('CO Daily Flash Report'!$M$2:$M$2,"YYYY"), Demonstration[[#This Row],[Title]]))+4), 10)), 1, 1, "")), "M/D/YYYY")</f>
        <v>1/1/2023</v>
      </c>
    </row>
    <row r="14" spans="1:16" x14ac:dyDescent="0.2">
      <c r="A14" s="1" t="s">
        <v>976</v>
      </c>
      <c r="J14" s="16" t="str">
        <f ca="1">"X/X - [1/1/"&amp;TEXT(TODAY(),"YYYY")&amp;"] - X/X"</f>
        <v>X/X - [1/1/2024] - X/X</v>
      </c>
      <c r="K14" s="16" t="str">
        <f ca="1">TRIM(RIGHT(LEFT(Demonstration[[#This Row],[Title]], IFERROR(
  SEARCH("/"&amp;TEXT(TODAY(), "YYYY")-1, Demonstration[[#This Row],[Title]]),
  SEARCH("/"&amp;TEXT(TODAY(), "YYYY"), Demonstration[[#This Row],[Title]]))+4), 10))</f>
        <v>[1/1/2024</v>
      </c>
      <c r="L14" s="16" t="str">
        <f ca="1">TEXT(IFERROR(
 MOD(LEFT(Demonstration[[#This Row],[protoKey]]), 1)+Demonstration[[#This Row],[protoKey]],
 REPLACE(Demonstration[[#This Row],[protoKey]], 1, 1, "")),"M/D/YYYY")</f>
        <v>1/1/2024</v>
      </c>
      <c r="M14" s="16" t="str" cm="1">
        <f t="array" aca="1" ref="M14" ca="1">TEXT(IFERROR(
 MOD(LEFT(TRIM(RIGHT(LEFT(Demonstration[[#This Row],[Title]], IFERROR(
  SEARCH("/"&amp;TEXT('CO Daily Flash Report'!$M$2:$M$2,"YYYY")-1, Demonstration[[#This Row],[Title]]),
  SEARCH("/"&amp;TEXT('CO Daily Flash Report'!$M$2:$M$2,"YYYY"), Demonstration[[#This Row],[Title]]))+4), 10))), 1) +
 TRIM(RIGHT(LEFT(Demonstration[[#This Row],[Title]], IFERROR(
  SEARCH("/"&amp;TEXT('CO Daily Flash Report'!$M$2:$M$2,"YYYY")-1, Demonstration[[#This Row],[Title]]),
  SEARCH("/"&amp;TEXT('CO Daily Flash Report'!$M$2:$M$2,"YYYY"), Demonstration[[#This Row],[Title]]))+4), 10)),
 REPLACE(TRIM(RIGHT(LEFT(Demonstration[[#This Row],[Title]], IFERROR(
  SEARCH("/"&amp;TEXT('CO Daily Flash Report'!$M$2:$M$2,"YYYY")-1, Demonstration[[#This Row],[Title]]),
  SEARCH("/"&amp;TEXT('CO Daily Flash Report'!$M$2:$M$2,"YYYY"), Demonstration[[#This Row],[Title]]))+4), 10)), 1, 1, "")), "M/D/YYYY")</f>
        <v>1/1/2024</v>
      </c>
    </row>
    <row r="15" spans="1:16" x14ac:dyDescent="0.2">
      <c r="A15" s="1" t="s">
        <v>977</v>
      </c>
      <c r="J15" s="16" t="str">
        <f ca="1">"X/X - [1/01/"&amp;TEXT(TODAY(),"YYYY")&amp;"] - X/X"</f>
        <v>X/X - [1/01/2024] - X/X</v>
      </c>
      <c r="K15" s="16" t="str">
        <f ca="1">TRIM(RIGHT(LEFT(Demonstration[[#This Row],[Title]], IFERROR(
  SEARCH("/"&amp;TEXT(TODAY(), "YYYY")-1, Demonstration[[#This Row],[Title]]),
  SEARCH("/"&amp;TEXT(TODAY(), "YYYY"), Demonstration[[#This Row],[Title]]))+4), 10))</f>
        <v>[1/01/2024</v>
      </c>
      <c r="L15" s="16" t="str">
        <f ca="1">TEXT(IFERROR(
 MOD(LEFT(Demonstration[[#This Row],[protoKey]]), 1)+Demonstration[[#This Row],[protoKey]],
 REPLACE(Demonstration[[#This Row],[protoKey]], 1, 1, "")),"M/D/YYYY")</f>
        <v>1/1/2024</v>
      </c>
      <c r="M15" s="16" t="str" cm="1">
        <f t="array" aca="1" ref="M15" ca="1">TEXT(IFERROR(
 MOD(LEFT(TRIM(RIGHT(LEFT(Demonstration[[#This Row],[Title]], IFERROR(
  SEARCH("/"&amp;TEXT('CO Daily Flash Report'!$M$2:$M$2,"YYYY")-1, Demonstration[[#This Row],[Title]]),
  SEARCH("/"&amp;TEXT('CO Daily Flash Report'!$M$2:$M$2,"YYYY"), Demonstration[[#This Row],[Title]]))+4), 10))), 1) +
 TRIM(RIGHT(LEFT(Demonstration[[#This Row],[Title]], IFERROR(
  SEARCH("/"&amp;TEXT('CO Daily Flash Report'!$M$2:$M$2,"YYYY")-1, Demonstration[[#This Row],[Title]]),
  SEARCH("/"&amp;TEXT('CO Daily Flash Report'!$M$2:$M$2,"YYYY"), Demonstration[[#This Row],[Title]]))+4), 10)),
 REPLACE(TRIM(RIGHT(LEFT(Demonstration[[#This Row],[Title]], IFERROR(
  SEARCH("/"&amp;TEXT('CO Daily Flash Report'!$M$2:$M$2,"YYYY")-1, Demonstration[[#This Row],[Title]]),
  SEARCH("/"&amp;TEXT('CO Daily Flash Report'!$M$2:$M$2,"YYYY"), Demonstration[[#This Row],[Title]]))+4), 10)), 1, 1, "")), "M/D/YYYY")</f>
        <v>1/1/2024</v>
      </c>
    </row>
    <row r="16" spans="1:16" x14ac:dyDescent="0.2">
      <c r="A16" s="1" t="s">
        <v>978</v>
      </c>
      <c r="J16" s="16" t="str">
        <f ca="1">"X/X - [01/01/"&amp;TEXT(TODAY(),"YYYY")&amp;"] - X/X"</f>
        <v>X/X - [01/01/2024] - X/X</v>
      </c>
      <c r="K16" s="16" t="str">
        <f ca="1">TRIM(RIGHT(LEFT(Demonstration[[#This Row],[Title]], IFERROR(
  SEARCH("/"&amp;TEXT(TODAY(), "YYYY")-1, Demonstration[[#This Row],[Title]]),
  SEARCH("/"&amp;TEXT(TODAY(), "YYYY"), Demonstration[[#This Row],[Title]]))+4), 10))</f>
        <v>01/01/2024</v>
      </c>
      <c r="L16" s="16" t="str">
        <f ca="1">TEXT(IFERROR(
 MOD(LEFT(Demonstration[[#This Row],[protoKey]]), 1)+Demonstration[[#This Row],[protoKey]],
 REPLACE(Demonstration[[#This Row],[protoKey]], 1, 1, "")),"M/D/YYYY")</f>
        <v>1/1/2024</v>
      </c>
      <c r="M16" s="16" t="str" cm="1">
        <f t="array" aca="1" ref="M16" ca="1">TEXT(IFERROR(
 MOD(LEFT(TRIM(RIGHT(LEFT(Demonstration[[#This Row],[Title]], IFERROR(
  SEARCH("/"&amp;TEXT('CO Daily Flash Report'!$M$2:$M$2,"YYYY")-1, Demonstration[[#This Row],[Title]]),
  SEARCH("/"&amp;TEXT('CO Daily Flash Report'!$M$2:$M$2,"YYYY"), Demonstration[[#This Row],[Title]]))+4), 10))), 1) +
 TRIM(RIGHT(LEFT(Demonstration[[#This Row],[Title]], IFERROR(
  SEARCH("/"&amp;TEXT('CO Daily Flash Report'!$M$2:$M$2,"YYYY")-1, Demonstration[[#This Row],[Title]]),
  SEARCH("/"&amp;TEXT('CO Daily Flash Report'!$M$2:$M$2,"YYYY"), Demonstration[[#This Row],[Title]]))+4), 10)),
 REPLACE(TRIM(RIGHT(LEFT(Demonstration[[#This Row],[Title]], IFERROR(
  SEARCH("/"&amp;TEXT('CO Daily Flash Report'!$M$2:$M$2,"YYYY")-1, Demonstration[[#This Row],[Title]]),
  SEARCH("/"&amp;TEXT('CO Daily Flash Report'!$M$2:$M$2,"YYYY"), Demonstration[[#This Row],[Title]]))+4), 10)), 1, 1, "")), "M/D/YYYY")</f>
        <v>1/1/2024</v>
      </c>
    </row>
    <row r="17" spans="2:13" x14ac:dyDescent="0.2">
      <c r="E17" s="1" t="s">
        <v>1452</v>
      </c>
      <c r="J17" s="16" t="str">
        <f ca="1">"XXX - (1/1/"&amp;TEXT(TODAY(),"YYYY")&amp;")"</f>
        <v>XXX - (1/1/2024)</v>
      </c>
      <c r="K17" s="16" t="str">
        <f ca="1">TRIM(RIGHT(LEFT(Demonstration[[#This Row],[Title]], IFERROR(
  SEARCH("/"&amp;TEXT(TODAY(), "YYYY")-1, Demonstration[[#This Row],[Title]]),
  SEARCH("/"&amp;TEXT(TODAY(), "YYYY"), Demonstration[[#This Row],[Title]]))+4), 10))</f>
        <v>(1/1/2024</v>
      </c>
      <c r="L17" s="16" t="str">
        <f ca="1">TEXT(IFERROR(
 MOD(LEFT(Demonstration[[#This Row],[protoKey]]), 1)+Demonstration[[#This Row],[protoKey]],
 REPLACE(Demonstration[[#This Row],[protoKey]], 1, 1, "")),"M/D/YYYY")</f>
        <v>1/1/2024</v>
      </c>
      <c r="M17" s="16" t="str" cm="1">
        <f t="array" aca="1" ref="M17" ca="1">TEXT(IFERROR(
 MOD(LEFT(TRIM(RIGHT(LEFT(Demonstration[[#This Row],[Title]], IFERROR(
  SEARCH("/"&amp;TEXT('CO Daily Flash Report'!$M$2:$M$2,"YYYY")-1, Demonstration[[#This Row],[Title]]),
  SEARCH("/"&amp;TEXT('CO Daily Flash Report'!$M$2:$M$2,"YYYY"), Demonstration[[#This Row],[Title]]))+4), 10))), 1) +
 TRIM(RIGHT(LEFT(Demonstration[[#This Row],[Title]], IFERROR(
  SEARCH("/"&amp;TEXT('CO Daily Flash Report'!$M$2:$M$2,"YYYY")-1, Demonstration[[#This Row],[Title]]),
  SEARCH("/"&amp;TEXT('CO Daily Flash Report'!$M$2:$M$2,"YYYY"), Demonstration[[#This Row],[Title]]))+4), 10)),
 REPLACE(TRIM(RIGHT(LEFT(Demonstration[[#This Row],[Title]], IFERROR(
  SEARCH("/"&amp;TEXT('CO Daily Flash Report'!$M$2:$M$2,"YYYY")-1, Demonstration[[#This Row],[Title]]),
  SEARCH("/"&amp;TEXT('CO Daily Flash Report'!$M$2:$M$2,"YYYY"), Demonstration[[#This Row],[Title]]))+4), 10)), 1, 1, "")), "M/D/YYYY")</f>
        <v>1/1/2024</v>
      </c>
    </row>
    <row r="18" spans="2:13" x14ac:dyDescent="0.2">
      <c r="J18" s="16" t="str">
        <f ca="1">"XXX - (1/01/"&amp;TEXT(TODAY(),"YYYY")&amp;")"</f>
        <v>XXX - (1/01/2024)</v>
      </c>
      <c r="K18" s="16" t="str">
        <f ca="1">TRIM(RIGHT(LEFT(Demonstration[[#This Row],[Title]], IFERROR(
  SEARCH("/"&amp;TEXT(TODAY(), "YYYY")-1, Demonstration[[#This Row],[Title]]),
  SEARCH("/"&amp;TEXT(TODAY(), "YYYY"), Demonstration[[#This Row],[Title]]))+4), 10))</f>
        <v>(1/01/2024</v>
      </c>
      <c r="L18" s="16" t="str">
        <f ca="1">TEXT(IFERROR(
 MOD(LEFT(Demonstration[[#This Row],[protoKey]]), 1)+Demonstration[[#This Row],[protoKey]],
 REPLACE(Demonstration[[#This Row],[protoKey]], 1, 1, "")),"M/D/YYYY")</f>
        <v>1/1/2024</v>
      </c>
      <c r="M18" s="16" t="str" cm="1">
        <f t="array" aca="1" ref="M18" ca="1">TEXT(IFERROR(
 MOD(LEFT(TRIM(RIGHT(LEFT(Demonstration[[#This Row],[Title]], IFERROR(
  SEARCH("/"&amp;TEXT('CO Daily Flash Report'!$M$2:$M$2,"YYYY")-1, Demonstration[[#This Row],[Title]]),
  SEARCH("/"&amp;TEXT('CO Daily Flash Report'!$M$2:$M$2,"YYYY"), Demonstration[[#This Row],[Title]]))+4), 10))), 1) +
 TRIM(RIGHT(LEFT(Demonstration[[#This Row],[Title]], IFERROR(
  SEARCH("/"&amp;TEXT('CO Daily Flash Report'!$M$2:$M$2,"YYYY")-1, Demonstration[[#This Row],[Title]]),
  SEARCH("/"&amp;TEXT('CO Daily Flash Report'!$M$2:$M$2,"YYYY"), Demonstration[[#This Row],[Title]]))+4), 10)),
 REPLACE(TRIM(RIGHT(LEFT(Demonstration[[#This Row],[Title]], IFERROR(
  SEARCH("/"&amp;TEXT('CO Daily Flash Report'!$M$2:$M$2,"YYYY")-1, Demonstration[[#This Row],[Title]]),
  SEARCH("/"&amp;TEXT('CO Daily Flash Report'!$M$2:$M$2,"YYYY"), Demonstration[[#This Row],[Title]]))+4), 10)), 1, 1, "")), "M/D/YYYY")</f>
        <v>1/1/2024</v>
      </c>
    </row>
    <row r="19" spans="2:13" x14ac:dyDescent="0.2">
      <c r="B19" s="1" t="s">
        <v>972</v>
      </c>
      <c r="C19" s="1" t="s">
        <v>979</v>
      </c>
      <c r="J19" s="16" t="str">
        <f ca="1">"XXX - (01/01/"&amp;TEXT(TODAY(),"YYYY")&amp;")"</f>
        <v>XXX - (01/01/2024)</v>
      </c>
      <c r="K19" s="16" t="str">
        <f ca="1">TRIM(RIGHT(LEFT(Demonstration[[#This Row],[Title]], IFERROR(
  SEARCH("/"&amp;TEXT(TODAY(), "YYYY")-1, Demonstration[[#This Row],[Title]]),
  SEARCH("/"&amp;TEXT(TODAY(), "YYYY"), Demonstration[[#This Row],[Title]]))+4), 10))</f>
        <v>01/01/2024</v>
      </c>
      <c r="L19" s="16" t="str">
        <f ca="1">TEXT(IFERROR(
 MOD(LEFT(Demonstration[[#This Row],[protoKey]]), 1)+Demonstration[[#This Row],[protoKey]],
 REPLACE(Demonstration[[#This Row],[protoKey]], 1, 1, "")),"M/D/YYYY")</f>
        <v>1/1/2024</v>
      </c>
      <c r="M19" s="16" t="str" cm="1">
        <f t="array" aca="1" ref="M19" ca="1">TEXT(IFERROR(
 MOD(LEFT(TRIM(RIGHT(LEFT(Demonstration[[#This Row],[Title]], IFERROR(
  SEARCH("/"&amp;TEXT('CO Daily Flash Report'!$M$2:$M$2,"YYYY")-1, Demonstration[[#This Row],[Title]]),
  SEARCH("/"&amp;TEXT('CO Daily Flash Report'!$M$2:$M$2,"YYYY"), Demonstration[[#This Row],[Title]]))+4), 10))), 1) +
 TRIM(RIGHT(LEFT(Demonstration[[#This Row],[Title]], IFERROR(
  SEARCH("/"&amp;TEXT('CO Daily Flash Report'!$M$2:$M$2,"YYYY")-1, Demonstration[[#This Row],[Title]]),
  SEARCH("/"&amp;TEXT('CO Daily Flash Report'!$M$2:$M$2,"YYYY"), Demonstration[[#This Row],[Title]]))+4), 10)),
 REPLACE(TRIM(RIGHT(LEFT(Demonstration[[#This Row],[Title]], IFERROR(
  SEARCH("/"&amp;TEXT('CO Daily Flash Report'!$M$2:$M$2,"YYYY")-1, Demonstration[[#This Row],[Title]]),
  SEARCH("/"&amp;TEXT('CO Daily Flash Report'!$M$2:$M$2,"YYYY"), Demonstration[[#This Row],[Title]]))+4), 10)), 1, 1, "")), "M/D/YYYY")</f>
        <v>1/1/2024</v>
      </c>
    </row>
    <row r="20" spans="2:13" x14ac:dyDescent="0.2">
      <c r="B20" s="1" t="s">
        <v>973</v>
      </c>
      <c r="C20" s="1" t="s">
        <v>980</v>
      </c>
    </row>
    <row r="21" spans="2:13" x14ac:dyDescent="0.2">
      <c r="B21" s="1" t="s">
        <v>974</v>
      </c>
      <c r="C21" s="1" t="s">
        <v>981</v>
      </c>
    </row>
    <row r="22" spans="2:13" x14ac:dyDescent="0.2">
      <c r="B22" s="1" t="s">
        <v>974</v>
      </c>
      <c r="C22" s="1" t="s">
        <v>982</v>
      </c>
    </row>
    <row r="23" spans="2:13" x14ac:dyDescent="0.2">
      <c r="B23" s="1" t="s">
        <v>975</v>
      </c>
      <c r="C23" s="1" t="s">
        <v>983</v>
      </c>
    </row>
    <row r="24" spans="2:13" x14ac:dyDescent="0.2">
      <c r="B24" s="1" t="s">
        <v>975</v>
      </c>
      <c r="C24" s="1" t="s">
        <v>984</v>
      </c>
    </row>
    <row r="25" spans="2:13" x14ac:dyDescent="0.2">
      <c r="B25" s="1" t="s">
        <v>975</v>
      </c>
      <c r="C25" s="1" t="s">
        <v>985</v>
      </c>
    </row>
  </sheetData>
  <phoneticPr fontId="1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963C1-5A49-40D9-913E-3CE6977108EC}">
  <sheetPr codeName="Sheet9">
    <tabColor theme="1"/>
  </sheetPr>
  <dimension ref="A1:C7"/>
  <sheetViews>
    <sheetView workbookViewId="0">
      <selection activeCell="A8" sqref="A8"/>
    </sheetView>
  </sheetViews>
  <sheetFormatPr defaultRowHeight="15" x14ac:dyDescent="0.25"/>
  <cols>
    <col min="1" max="1" width="9.5703125" bestFit="1" customWidth="1"/>
    <col min="2" max="2" width="8.85546875" bestFit="1" customWidth="1"/>
    <col min="3" max="3" width="13.85546875" customWidth="1"/>
  </cols>
  <sheetData>
    <row r="1" spans="1:3" x14ac:dyDescent="0.25">
      <c r="A1" t="s">
        <v>5</v>
      </c>
      <c r="B1" t="s">
        <v>49</v>
      </c>
      <c r="C1" t="s">
        <v>48</v>
      </c>
    </row>
    <row r="2" spans="1:3" x14ac:dyDescent="0.25">
      <c r="A2" s="25">
        <v>45307</v>
      </c>
      <c r="B2" s="25" t="s">
        <v>50</v>
      </c>
      <c r="C2" t="s">
        <v>51</v>
      </c>
    </row>
    <row r="3" spans="1:3" x14ac:dyDescent="0.25">
      <c r="A3" s="25">
        <v>45310</v>
      </c>
      <c r="B3" s="25" t="s">
        <v>50</v>
      </c>
      <c r="C3" t="s">
        <v>47</v>
      </c>
    </row>
    <row r="4" spans="1:3" x14ac:dyDescent="0.25">
      <c r="A4" s="25">
        <v>45317</v>
      </c>
      <c r="B4" s="25" t="s">
        <v>50</v>
      </c>
      <c r="C4" t="s">
        <v>970</v>
      </c>
    </row>
    <row r="5" spans="1:3" x14ac:dyDescent="0.25">
      <c r="A5" s="25">
        <v>45321</v>
      </c>
      <c r="B5" s="25" t="s">
        <v>50</v>
      </c>
      <c r="C5" t="s">
        <v>57</v>
      </c>
    </row>
    <row r="6" spans="1:3" x14ac:dyDescent="0.25">
      <c r="A6" s="25">
        <v>45348</v>
      </c>
      <c r="B6" s="25" t="s">
        <v>50</v>
      </c>
      <c r="C6" t="s">
        <v>59</v>
      </c>
    </row>
    <row r="7" spans="1:3" x14ac:dyDescent="0.25">
      <c r="A7" s="25">
        <v>45352</v>
      </c>
      <c r="B7" s="25" t="s">
        <v>50</v>
      </c>
      <c r="C7" t="s">
        <v>967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333BD-E7A4-4D75-9CF9-CDD4F602ABC1}">
  <sheetPr codeName="Sheet12">
    <tabColor rgb="FF7030A0"/>
  </sheetPr>
  <dimension ref="A1:P1652"/>
  <sheetViews>
    <sheetView workbookViewId="0">
      <selection activeCell="H2" sqref="H2"/>
    </sheetView>
  </sheetViews>
  <sheetFormatPr defaultRowHeight="15" x14ac:dyDescent="0.25"/>
  <cols>
    <col min="8" max="8" width="9.140625" style="82"/>
  </cols>
  <sheetData>
    <row r="1" spans="1:16" x14ac:dyDescent="0.25">
      <c r="A1" s="27" t="s">
        <v>52</v>
      </c>
      <c r="B1" s="28" t="s">
        <v>0</v>
      </c>
      <c r="C1" s="28" t="s">
        <v>1</v>
      </c>
      <c r="D1" s="28" t="s">
        <v>53</v>
      </c>
      <c r="E1" s="28" t="s">
        <v>54</v>
      </c>
      <c r="F1" s="28" t="s">
        <v>55</v>
      </c>
      <c r="G1" s="28" t="s">
        <v>56</v>
      </c>
      <c r="H1" s="80" t="s">
        <v>19</v>
      </c>
      <c r="I1" s="29" t="s">
        <v>35</v>
      </c>
      <c r="J1" s="30" t="s">
        <v>21</v>
      </c>
      <c r="K1" s="30" t="s">
        <v>32</v>
      </c>
      <c r="L1" s="30" t="s">
        <v>34</v>
      </c>
      <c r="M1" s="31" t="s">
        <v>20</v>
      </c>
      <c r="N1" s="30" t="s">
        <v>25</v>
      </c>
      <c r="O1" s="30" t="s">
        <v>13</v>
      </c>
      <c r="P1" s="31" t="s">
        <v>33</v>
      </c>
    </row>
    <row r="2" spans="1:16" x14ac:dyDescent="0.25">
      <c r="A2" t="s">
        <v>2450</v>
      </c>
      <c r="B2" t="s">
        <v>2451</v>
      </c>
      <c r="C2" t="s">
        <v>2452</v>
      </c>
      <c r="H2" s="81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2" s="32">
        <f ca="1">IFERROR(WEEKNUM(CRC_War_Room_SIMs[[#This Row],[Ops Date]]), "N/A")</f>
        <v>31</v>
      </c>
      <c r="J2" s="32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" s="32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" s="32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" s="33">
        <f>IF(AND(CRC_War_Room_SIMs[[#This Row],[CI]] = 0, CRC_War_Room_SIMs[[#This Row],[Miss]] = 1), 1, 0)</f>
        <v>0</v>
      </c>
      <c r="N2" s="32">
        <f>IF(AND(CRC_War_Room_SIMs[[#This Row],[Excluded]] = 0, OR(CRC_War_Room_SIMs[[#This Row],[Operator Follow-up Miss]] &lt;&gt; "", ISNUMBER(SEARCH("Operator Follow Up", CRC_War_Room_SIMs[[#This Row],[Labels]])))), 1, 0)</f>
        <v>0</v>
      </c>
      <c r="O2" s="32">
        <f>IF(AND(CRC_War_Room_SIMs[[#This Row],[Excluded]] = 0, OR(CRC_War_Room_SIMs[[#This Row],[False Resolution Miss]] &lt;&gt; "", ISNUMBER(SEARCH("False Resolution", CRC_War_Room_SIMs[[#This Row],[Labels]])))), 1, 0)</f>
        <v>0</v>
      </c>
      <c r="P2" s="33">
        <f>IF(AND(CRC_War_Room_SIMs[[#This Row],[Excluded]] = 0, OR(CRC_War_Room_SIMs[[#This Row],[SLA Miss]] &lt;&gt; "", ISNUMBER(SEARCH("SLA", CRC_War_Room_SIMs[[#This Row],[Labels]])))), 1, 0)</f>
        <v>0</v>
      </c>
    </row>
    <row r="3" spans="1:16" x14ac:dyDescent="0.25">
      <c r="A3" t="s">
        <v>2453</v>
      </c>
      <c r="B3" t="s">
        <v>2454</v>
      </c>
      <c r="C3" t="s">
        <v>2452</v>
      </c>
      <c r="H3" s="81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3" s="32">
        <f ca="1">IFERROR(WEEKNUM(CRC_War_Room_SIMs[[#This Row],[Ops Date]]), "N/A")</f>
        <v>31</v>
      </c>
      <c r="J3" s="32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" s="32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" s="32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" s="33">
        <f>IF(AND(CRC_War_Room_SIMs[[#This Row],[CI]] = 0, CRC_War_Room_SIMs[[#This Row],[Miss]] = 1), 1, 0)</f>
        <v>0</v>
      </c>
      <c r="N3" s="32">
        <f>IF(AND(CRC_War_Room_SIMs[[#This Row],[Excluded]] = 0, OR(CRC_War_Room_SIMs[[#This Row],[Operator Follow-up Miss]] &lt;&gt; "", ISNUMBER(SEARCH("Operator Follow Up", CRC_War_Room_SIMs[[#This Row],[Labels]])))), 1, 0)</f>
        <v>0</v>
      </c>
      <c r="O3" s="32">
        <f>IF(AND(CRC_War_Room_SIMs[[#This Row],[Excluded]] = 0, OR(CRC_War_Room_SIMs[[#This Row],[False Resolution Miss]] &lt;&gt; "", ISNUMBER(SEARCH("False Resolution", CRC_War_Room_SIMs[[#This Row],[Labels]])))), 1, 0)</f>
        <v>0</v>
      </c>
      <c r="P3" s="33">
        <f>IF(AND(CRC_War_Room_SIMs[[#This Row],[Excluded]] = 0, OR(CRC_War_Room_SIMs[[#This Row],[SLA Miss]] &lt;&gt; "", ISNUMBER(SEARCH("SLA", CRC_War_Room_SIMs[[#This Row],[Labels]])))), 1, 0)</f>
        <v>0</v>
      </c>
    </row>
    <row r="4" spans="1:16" x14ac:dyDescent="0.25">
      <c r="A4" t="s">
        <v>2455</v>
      </c>
      <c r="B4" t="s">
        <v>2456</v>
      </c>
      <c r="C4" t="s">
        <v>2452</v>
      </c>
      <c r="H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4" s="49">
        <f ca="1">IFERROR(WEEKNUM(CRC_War_Room_SIMs[[#This Row],[Ops Date]]), "N/A")</f>
        <v>31</v>
      </c>
      <c r="J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" s="50">
        <f>IF(AND(CRC_War_Room_SIMs[[#This Row],[CI]] = 0, CRC_War_Room_SIMs[[#This Row],[Miss]] = 1), 1, 0)</f>
        <v>0</v>
      </c>
      <c r="N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" s="49">
        <f>IF(AND(CRC_War_Room_SIMs[[#This Row],[Excluded]] = 0, OR(CRC_War_Room_SIMs[[#This Row],[False Resolution Miss]] &lt;&gt; "", ISNUMBER(SEARCH("False Resolution", CRC_War_Room_SIMs[[#This Row],[Labels]])))), 1, 0)</f>
        <v>0</v>
      </c>
      <c r="P4" s="50">
        <f>IF(AND(CRC_War_Room_SIMs[[#This Row],[Excluded]] = 0, OR(CRC_War_Room_SIMs[[#This Row],[SLA Miss]] &lt;&gt; "", ISNUMBER(SEARCH("SLA", CRC_War_Room_SIMs[[#This Row],[Labels]])))), 1, 0)</f>
        <v>0</v>
      </c>
    </row>
    <row r="5" spans="1:16" x14ac:dyDescent="0.25">
      <c r="A5" t="s">
        <v>2457</v>
      </c>
      <c r="B5" t="s">
        <v>2458</v>
      </c>
      <c r="C5" t="s">
        <v>2452</v>
      </c>
      <c r="H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5" s="49">
        <f ca="1">IFERROR(WEEKNUM(CRC_War_Room_SIMs[[#This Row],[Ops Date]]), "N/A")</f>
        <v>31</v>
      </c>
      <c r="J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" s="50">
        <f>IF(AND(CRC_War_Room_SIMs[[#This Row],[CI]] = 0, CRC_War_Room_SIMs[[#This Row],[Miss]] = 1), 1, 0)</f>
        <v>0</v>
      </c>
      <c r="N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" s="49">
        <f>IF(AND(CRC_War_Room_SIMs[[#This Row],[Excluded]] = 0, OR(CRC_War_Room_SIMs[[#This Row],[False Resolution Miss]] &lt;&gt; "", ISNUMBER(SEARCH("False Resolution", CRC_War_Room_SIMs[[#This Row],[Labels]])))), 1, 0)</f>
        <v>0</v>
      </c>
      <c r="P5" s="50">
        <f>IF(AND(CRC_War_Room_SIMs[[#This Row],[Excluded]] = 0, OR(CRC_War_Room_SIMs[[#This Row],[SLA Miss]] &lt;&gt; "", ISNUMBER(SEARCH("SLA", CRC_War_Room_SIMs[[#This Row],[Labels]])))), 1, 0)</f>
        <v>0</v>
      </c>
    </row>
    <row r="6" spans="1:16" x14ac:dyDescent="0.25">
      <c r="A6" t="s">
        <v>2459</v>
      </c>
      <c r="B6" t="s">
        <v>2458</v>
      </c>
      <c r="C6" t="s">
        <v>2452</v>
      </c>
      <c r="H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6" s="49">
        <f ca="1">IFERROR(WEEKNUM(CRC_War_Room_SIMs[[#This Row],[Ops Date]]), "N/A")</f>
        <v>31</v>
      </c>
      <c r="J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" s="50">
        <f>IF(AND(CRC_War_Room_SIMs[[#This Row],[CI]] = 0, CRC_War_Room_SIMs[[#This Row],[Miss]] = 1), 1, 0)</f>
        <v>0</v>
      </c>
      <c r="N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" s="49">
        <f>IF(AND(CRC_War_Room_SIMs[[#This Row],[Excluded]] = 0, OR(CRC_War_Room_SIMs[[#This Row],[False Resolution Miss]] &lt;&gt; "", ISNUMBER(SEARCH("False Resolution", CRC_War_Room_SIMs[[#This Row],[Labels]])))), 1, 0)</f>
        <v>0</v>
      </c>
      <c r="P6" s="50">
        <f>IF(AND(CRC_War_Room_SIMs[[#This Row],[Excluded]] = 0, OR(CRC_War_Room_SIMs[[#This Row],[SLA Miss]] &lt;&gt; "", ISNUMBER(SEARCH("SLA", CRC_War_Room_SIMs[[#This Row],[Labels]])))), 1, 0)</f>
        <v>0</v>
      </c>
    </row>
    <row r="7" spans="1:16" x14ac:dyDescent="0.25">
      <c r="A7" t="s">
        <v>2460</v>
      </c>
      <c r="B7" t="s">
        <v>2458</v>
      </c>
      <c r="C7" t="s">
        <v>2452</v>
      </c>
      <c r="H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7" s="49">
        <f ca="1">IFERROR(WEEKNUM(CRC_War_Room_SIMs[[#This Row],[Ops Date]]), "N/A")</f>
        <v>31</v>
      </c>
      <c r="J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" s="50">
        <f>IF(AND(CRC_War_Room_SIMs[[#This Row],[CI]] = 0, CRC_War_Room_SIMs[[#This Row],[Miss]] = 1), 1, 0)</f>
        <v>0</v>
      </c>
      <c r="N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" s="49">
        <f>IF(AND(CRC_War_Room_SIMs[[#This Row],[Excluded]] = 0, OR(CRC_War_Room_SIMs[[#This Row],[False Resolution Miss]] &lt;&gt; "", ISNUMBER(SEARCH("False Resolution", CRC_War_Room_SIMs[[#This Row],[Labels]])))), 1, 0)</f>
        <v>0</v>
      </c>
      <c r="P7" s="50">
        <f>IF(AND(CRC_War_Room_SIMs[[#This Row],[Excluded]] = 0, OR(CRC_War_Room_SIMs[[#This Row],[SLA Miss]] &lt;&gt; "", ISNUMBER(SEARCH("SLA", CRC_War_Room_SIMs[[#This Row],[Labels]])))), 1, 0)</f>
        <v>0</v>
      </c>
    </row>
    <row r="8" spans="1:16" x14ac:dyDescent="0.25">
      <c r="A8" t="s">
        <v>2461</v>
      </c>
      <c r="B8" t="s">
        <v>2456</v>
      </c>
      <c r="C8" t="s">
        <v>2462</v>
      </c>
      <c r="E8" t="s">
        <v>2463</v>
      </c>
      <c r="H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8" s="49">
        <f ca="1">IFERROR(WEEKNUM(CRC_War_Room_SIMs[[#This Row],[Ops Date]]), "N/A")</f>
        <v>31</v>
      </c>
      <c r="J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8" s="50">
        <f>IF(AND(CRC_War_Room_SIMs[[#This Row],[CI]] = 0, CRC_War_Room_SIMs[[#This Row],[Miss]] = 1), 1, 0)</f>
        <v>0</v>
      </c>
      <c r="N8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8" s="49">
        <f>IF(AND(CRC_War_Room_SIMs[[#This Row],[Excluded]] = 0, OR(CRC_War_Room_SIMs[[#This Row],[False Resolution Miss]] &lt;&gt; "", ISNUMBER(SEARCH("False Resolution", CRC_War_Room_SIMs[[#This Row],[Labels]])))), 1, 0)</f>
        <v>0</v>
      </c>
      <c r="P8" s="50">
        <f>IF(AND(CRC_War_Room_SIMs[[#This Row],[Excluded]] = 0, OR(CRC_War_Room_SIMs[[#This Row],[SLA Miss]] &lt;&gt; "", ISNUMBER(SEARCH("SLA", CRC_War_Room_SIMs[[#This Row],[Labels]])))), 1, 0)</f>
        <v>0</v>
      </c>
    </row>
    <row r="9" spans="1:16" x14ac:dyDescent="0.25">
      <c r="A9" t="s">
        <v>2464</v>
      </c>
      <c r="B9" t="s">
        <v>2456</v>
      </c>
      <c r="C9" t="s">
        <v>2452</v>
      </c>
      <c r="H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9" s="49">
        <f ca="1">IFERROR(WEEKNUM(CRC_War_Room_SIMs[[#This Row],[Ops Date]]), "N/A")</f>
        <v>31</v>
      </c>
      <c r="J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" s="50">
        <f>IF(AND(CRC_War_Room_SIMs[[#This Row],[CI]] = 0, CRC_War_Room_SIMs[[#This Row],[Miss]] = 1), 1, 0)</f>
        <v>0</v>
      </c>
      <c r="N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" s="49">
        <f>IF(AND(CRC_War_Room_SIMs[[#This Row],[Excluded]] = 0, OR(CRC_War_Room_SIMs[[#This Row],[False Resolution Miss]] &lt;&gt; "", ISNUMBER(SEARCH("False Resolution", CRC_War_Room_SIMs[[#This Row],[Labels]])))), 1, 0)</f>
        <v>0</v>
      </c>
      <c r="P9" s="50">
        <f>IF(AND(CRC_War_Room_SIMs[[#This Row],[Excluded]] = 0, OR(CRC_War_Room_SIMs[[#This Row],[SLA Miss]] &lt;&gt; "", ISNUMBER(SEARCH("SLA", CRC_War_Room_SIMs[[#This Row],[Labels]])))), 1, 0)</f>
        <v>0</v>
      </c>
    </row>
    <row r="10" spans="1:16" x14ac:dyDescent="0.25">
      <c r="A10" t="s">
        <v>2465</v>
      </c>
      <c r="B10" t="s">
        <v>2456</v>
      </c>
      <c r="C10" t="s">
        <v>2452</v>
      </c>
      <c r="H1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10" s="49">
        <f ca="1">IFERROR(WEEKNUM(CRC_War_Room_SIMs[[#This Row],[Ops Date]]), "N/A")</f>
        <v>31</v>
      </c>
      <c r="J1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" s="50">
        <f>IF(AND(CRC_War_Room_SIMs[[#This Row],[CI]] = 0, CRC_War_Room_SIMs[[#This Row],[Miss]] = 1), 1, 0)</f>
        <v>0</v>
      </c>
      <c r="N1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" s="50">
        <f>IF(AND(CRC_War_Room_SIMs[[#This Row],[Excluded]] = 0, OR(CRC_War_Room_SIMs[[#This Row],[SLA Miss]] &lt;&gt; "", ISNUMBER(SEARCH("SLA", CRC_War_Room_SIMs[[#This Row],[Labels]])))), 1, 0)</f>
        <v>0</v>
      </c>
    </row>
    <row r="11" spans="1:16" x14ac:dyDescent="0.25">
      <c r="A11" t="s">
        <v>2466</v>
      </c>
      <c r="B11" t="s">
        <v>2456</v>
      </c>
      <c r="C11" t="s">
        <v>2452</v>
      </c>
      <c r="H1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11" s="49">
        <f ca="1">IFERROR(WEEKNUM(CRC_War_Room_SIMs[[#This Row],[Ops Date]]), "N/A")</f>
        <v>31</v>
      </c>
      <c r="J1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" s="50">
        <f>IF(AND(CRC_War_Room_SIMs[[#This Row],[CI]] = 0, CRC_War_Room_SIMs[[#This Row],[Miss]] = 1), 1, 0)</f>
        <v>0</v>
      </c>
      <c r="N1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" s="50">
        <f>IF(AND(CRC_War_Room_SIMs[[#This Row],[Excluded]] = 0, OR(CRC_War_Room_SIMs[[#This Row],[SLA Miss]] &lt;&gt; "", ISNUMBER(SEARCH("SLA", CRC_War_Room_SIMs[[#This Row],[Labels]])))), 1, 0)</f>
        <v>0</v>
      </c>
    </row>
    <row r="12" spans="1:16" x14ac:dyDescent="0.25">
      <c r="A12" t="s">
        <v>2467</v>
      </c>
      <c r="B12" t="s">
        <v>2456</v>
      </c>
      <c r="C12" t="s">
        <v>2452</v>
      </c>
      <c r="H1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12" s="49">
        <f ca="1">IFERROR(WEEKNUM(CRC_War_Room_SIMs[[#This Row],[Ops Date]]), "N/A")</f>
        <v>31</v>
      </c>
      <c r="J1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" s="50">
        <f>IF(AND(CRC_War_Room_SIMs[[#This Row],[CI]] = 0, CRC_War_Room_SIMs[[#This Row],[Miss]] = 1), 1, 0)</f>
        <v>0</v>
      </c>
      <c r="N1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" s="50">
        <f>IF(AND(CRC_War_Room_SIMs[[#This Row],[Excluded]] = 0, OR(CRC_War_Room_SIMs[[#This Row],[SLA Miss]] &lt;&gt; "", ISNUMBER(SEARCH("SLA", CRC_War_Room_SIMs[[#This Row],[Labels]])))), 1, 0)</f>
        <v>0</v>
      </c>
    </row>
    <row r="13" spans="1:16" x14ac:dyDescent="0.25">
      <c r="A13" t="s">
        <v>2468</v>
      </c>
      <c r="B13" t="s">
        <v>2469</v>
      </c>
      <c r="C13" t="s">
        <v>2452</v>
      </c>
      <c r="H1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13" s="49">
        <f ca="1">IFERROR(WEEKNUM(CRC_War_Room_SIMs[[#This Row],[Ops Date]]), "N/A")</f>
        <v>31</v>
      </c>
      <c r="J1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" s="50">
        <f>IF(AND(CRC_War_Room_SIMs[[#This Row],[CI]] = 0, CRC_War_Room_SIMs[[#This Row],[Miss]] = 1), 1, 0)</f>
        <v>0</v>
      </c>
      <c r="N1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" s="50">
        <f>IF(AND(CRC_War_Room_SIMs[[#This Row],[Excluded]] = 0, OR(CRC_War_Room_SIMs[[#This Row],[SLA Miss]] &lt;&gt; "", ISNUMBER(SEARCH("SLA", CRC_War_Room_SIMs[[#This Row],[Labels]])))), 1, 0)</f>
        <v>0</v>
      </c>
    </row>
    <row r="14" spans="1:16" x14ac:dyDescent="0.25">
      <c r="A14" t="s">
        <v>2470</v>
      </c>
      <c r="B14" t="s">
        <v>2469</v>
      </c>
      <c r="C14" t="s">
        <v>2452</v>
      </c>
      <c r="H1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14" s="49">
        <f ca="1">IFERROR(WEEKNUM(CRC_War_Room_SIMs[[#This Row],[Ops Date]]), "N/A")</f>
        <v>31</v>
      </c>
      <c r="J1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" s="50">
        <f>IF(AND(CRC_War_Room_SIMs[[#This Row],[CI]] = 0, CRC_War_Room_SIMs[[#This Row],[Miss]] = 1), 1, 0)</f>
        <v>0</v>
      </c>
      <c r="N1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" s="50">
        <f>IF(AND(CRC_War_Room_SIMs[[#This Row],[Excluded]] = 0, OR(CRC_War_Room_SIMs[[#This Row],[SLA Miss]] &lt;&gt; "", ISNUMBER(SEARCH("SLA", CRC_War_Room_SIMs[[#This Row],[Labels]])))), 1, 0)</f>
        <v>0</v>
      </c>
    </row>
    <row r="15" spans="1:16" x14ac:dyDescent="0.25">
      <c r="A15" t="s">
        <v>2471</v>
      </c>
      <c r="B15" t="s">
        <v>2456</v>
      </c>
      <c r="C15" t="s">
        <v>2452</v>
      </c>
      <c r="H1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15" s="49">
        <f ca="1">IFERROR(WEEKNUM(CRC_War_Room_SIMs[[#This Row],[Ops Date]]), "N/A")</f>
        <v>31</v>
      </c>
      <c r="J1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" s="50">
        <f>IF(AND(CRC_War_Room_SIMs[[#This Row],[CI]] = 0, CRC_War_Room_SIMs[[#This Row],[Miss]] = 1), 1, 0)</f>
        <v>0</v>
      </c>
      <c r="N1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" s="50">
        <f>IF(AND(CRC_War_Room_SIMs[[#This Row],[Excluded]] = 0, OR(CRC_War_Room_SIMs[[#This Row],[SLA Miss]] &lt;&gt; "", ISNUMBER(SEARCH("SLA", CRC_War_Room_SIMs[[#This Row],[Labels]])))), 1, 0)</f>
        <v>0</v>
      </c>
    </row>
    <row r="16" spans="1:16" x14ac:dyDescent="0.25">
      <c r="A16" t="s">
        <v>2472</v>
      </c>
      <c r="B16" t="s">
        <v>2469</v>
      </c>
      <c r="C16" t="s">
        <v>2462</v>
      </c>
      <c r="E16" t="s">
        <v>2473</v>
      </c>
      <c r="H1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16" s="49">
        <f ca="1">IFERROR(WEEKNUM(CRC_War_Room_SIMs[[#This Row],[Ops Date]]), "N/A")</f>
        <v>31</v>
      </c>
      <c r="J1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6" s="50">
        <f>IF(AND(CRC_War_Room_SIMs[[#This Row],[CI]] = 0, CRC_War_Room_SIMs[[#This Row],[Miss]] = 1), 1, 0)</f>
        <v>0</v>
      </c>
      <c r="N16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1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" s="50">
        <f>IF(AND(CRC_War_Room_SIMs[[#This Row],[Excluded]] = 0, OR(CRC_War_Room_SIMs[[#This Row],[SLA Miss]] &lt;&gt; "", ISNUMBER(SEARCH("SLA", CRC_War_Room_SIMs[[#This Row],[Labels]])))), 1, 0)</f>
        <v>0</v>
      </c>
    </row>
    <row r="17" spans="1:16" x14ac:dyDescent="0.25">
      <c r="A17" t="s">
        <v>2474</v>
      </c>
      <c r="B17" t="s">
        <v>2475</v>
      </c>
      <c r="C17" t="s">
        <v>2452</v>
      </c>
      <c r="H1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17" s="49">
        <f ca="1">IFERROR(WEEKNUM(CRC_War_Room_SIMs[[#This Row],[Ops Date]]), "N/A")</f>
        <v>31</v>
      </c>
      <c r="J1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7" s="50">
        <f>IF(AND(CRC_War_Room_SIMs[[#This Row],[CI]] = 0, CRC_War_Room_SIMs[[#This Row],[Miss]] = 1), 1, 0)</f>
        <v>0</v>
      </c>
      <c r="N1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7" s="50">
        <f>IF(AND(CRC_War_Room_SIMs[[#This Row],[Excluded]] = 0, OR(CRC_War_Room_SIMs[[#This Row],[SLA Miss]] &lt;&gt; "", ISNUMBER(SEARCH("SLA", CRC_War_Room_SIMs[[#This Row],[Labels]])))), 1, 0)</f>
        <v>0</v>
      </c>
    </row>
    <row r="18" spans="1:16" x14ac:dyDescent="0.25">
      <c r="A18" t="s">
        <v>2476</v>
      </c>
      <c r="B18" t="s">
        <v>2456</v>
      </c>
      <c r="C18" t="s">
        <v>2452</v>
      </c>
      <c r="H1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18" s="49">
        <f ca="1">IFERROR(WEEKNUM(CRC_War_Room_SIMs[[#This Row],[Ops Date]]), "N/A")</f>
        <v>31</v>
      </c>
      <c r="J1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8" s="50">
        <f>IF(AND(CRC_War_Room_SIMs[[#This Row],[CI]] = 0, CRC_War_Room_SIMs[[#This Row],[Miss]] = 1), 1, 0)</f>
        <v>0</v>
      </c>
      <c r="N1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8" s="50">
        <f>IF(AND(CRC_War_Room_SIMs[[#This Row],[Excluded]] = 0, OR(CRC_War_Room_SIMs[[#This Row],[SLA Miss]] &lt;&gt; "", ISNUMBER(SEARCH("SLA", CRC_War_Room_SIMs[[#This Row],[Labels]])))), 1, 0)</f>
        <v>0</v>
      </c>
    </row>
    <row r="19" spans="1:16" x14ac:dyDescent="0.25">
      <c r="A19" t="s">
        <v>2477</v>
      </c>
      <c r="B19" t="s">
        <v>2469</v>
      </c>
      <c r="C19" t="s">
        <v>2452</v>
      </c>
      <c r="H1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19" s="49">
        <f ca="1">IFERROR(WEEKNUM(CRC_War_Room_SIMs[[#This Row],[Ops Date]]), "N/A")</f>
        <v>31</v>
      </c>
      <c r="J1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9" s="50">
        <f>IF(AND(CRC_War_Room_SIMs[[#This Row],[CI]] = 0, CRC_War_Room_SIMs[[#This Row],[Miss]] = 1), 1, 0)</f>
        <v>0</v>
      </c>
      <c r="N1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9" s="50">
        <f>IF(AND(CRC_War_Room_SIMs[[#This Row],[Excluded]] = 0, OR(CRC_War_Room_SIMs[[#This Row],[SLA Miss]] &lt;&gt; "", ISNUMBER(SEARCH("SLA", CRC_War_Room_SIMs[[#This Row],[Labels]])))), 1, 0)</f>
        <v>0</v>
      </c>
    </row>
    <row r="20" spans="1:16" x14ac:dyDescent="0.25">
      <c r="A20" t="s">
        <v>2478</v>
      </c>
      <c r="B20" t="s">
        <v>2469</v>
      </c>
      <c r="C20" t="s">
        <v>2452</v>
      </c>
      <c r="H2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20" s="49">
        <f ca="1">IFERROR(WEEKNUM(CRC_War_Room_SIMs[[#This Row],[Ops Date]]), "N/A")</f>
        <v>31</v>
      </c>
      <c r="J2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0" s="50">
        <f>IF(AND(CRC_War_Room_SIMs[[#This Row],[CI]] = 0, CRC_War_Room_SIMs[[#This Row],[Miss]] = 1), 1, 0)</f>
        <v>0</v>
      </c>
      <c r="N2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0" s="49">
        <f>IF(AND(CRC_War_Room_SIMs[[#This Row],[Excluded]] = 0, OR(CRC_War_Room_SIMs[[#This Row],[False Resolution Miss]] &lt;&gt; "", ISNUMBER(SEARCH("False Resolution", CRC_War_Room_SIMs[[#This Row],[Labels]])))), 1, 0)</f>
        <v>0</v>
      </c>
      <c r="P20" s="50">
        <f>IF(AND(CRC_War_Room_SIMs[[#This Row],[Excluded]] = 0, OR(CRC_War_Room_SIMs[[#This Row],[SLA Miss]] &lt;&gt; "", ISNUMBER(SEARCH("SLA", CRC_War_Room_SIMs[[#This Row],[Labels]])))), 1, 0)</f>
        <v>0</v>
      </c>
    </row>
    <row r="21" spans="1:16" x14ac:dyDescent="0.25">
      <c r="A21" t="s">
        <v>2479</v>
      </c>
      <c r="B21" t="s">
        <v>2456</v>
      </c>
      <c r="C21" t="s">
        <v>2452</v>
      </c>
      <c r="H2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21" s="49">
        <f ca="1">IFERROR(WEEKNUM(CRC_War_Room_SIMs[[#This Row],[Ops Date]]), "N/A")</f>
        <v>31</v>
      </c>
      <c r="J2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1" s="50">
        <f>IF(AND(CRC_War_Room_SIMs[[#This Row],[CI]] = 0, CRC_War_Room_SIMs[[#This Row],[Miss]] = 1), 1, 0)</f>
        <v>0</v>
      </c>
      <c r="N2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1" s="49">
        <f>IF(AND(CRC_War_Room_SIMs[[#This Row],[Excluded]] = 0, OR(CRC_War_Room_SIMs[[#This Row],[False Resolution Miss]] &lt;&gt; "", ISNUMBER(SEARCH("False Resolution", CRC_War_Room_SIMs[[#This Row],[Labels]])))), 1, 0)</f>
        <v>0</v>
      </c>
      <c r="P21" s="50">
        <f>IF(AND(CRC_War_Room_SIMs[[#This Row],[Excluded]] = 0, OR(CRC_War_Room_SIMs[[#This Row],[SLA Miss]] &lt;&gt; "", ISNUMBER(SEARCH("SLA", CRC_War_Room_SIMs[[#This Row],[Labels]])))), 1, 0)</f>
        <v>0</v>
      </c>
    </row>
    <row r="22" spans="1:16" x14ac:dyDescent="0.25">
      <c r="A22" t="s">
        <v>2480</v>
      </c>
      <c r="B22" t="s">
        <v>2481</v>
      </c>
      <c r="C22" t="s">
        <v>2452</v>
      </c>
      <c r="H2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22" s="49">
        <f ca="1">IFERROR(WEEKNUM(CRC_War_Room_SIMs[[#This Row],[Ops Date]]), "N/A")</f>
        <v>31</v>
      </c>
      <c r="J2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2" s="50">
        <f>IF(AND(CRC_War_Room_SIMs[[#This Row],[CI]] = 0, CRC_War_Room_SIMs[[#This Row],[Miss]] = 1), 1, 0)</f>
        <v>0</v>
      </c>
      <c r="N2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2" s="49">
        <f>IF(AND(CRC_War_Room_SIMs[[#This Row],[Excluded]] = 0, OR(CRC_War_Room_SIMs[[#This Row],[False Resolution Miss]] &lt;&gt; "", ISNUMBER(SEARCH("False Resolution", CRC_War_Room_SIMs[[#This Row],[Labels]])))), 1, 0)</f>
        <v>0</v>
      </c>
      <c r="P22" s="50">
        <f>IF(AND(CRC_War_Room_SIMs[[#This Row],[Excluded]] = 0, OR(CRC_War_Room_SIMs[[#This Row],[SLA Miss]] &lt;&gt; "", ISNUMBER(SEARCH("SLA", CRC_War_Room_SIMs[[#This Row],[Labels]])))), 1, 0)</f>
        <v>0</v>
      </c>
    </row>
    <row r="23" spans="1:16" x14ac:dyDescent="0.25">
      <c r="A23" t="s">
        <v>2482</v>
      </c>
      <c r="B23" t="s">
        <v>2481</v>
      </c>
      <c r="C23" t="s">
        <v>2452</v>
      </c>
      <c r="H2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23" s="49">
        <f ca="1">IFERROR(WEEKNUM(CRC_War_Room_SIMs[[#This Row],[Ops Date]]), "N/A")</f>
        <v>31</v>
      </c>
      <c r="J2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3" s="50">
        <f>IF(AND(CRC_War_Room_SIMs[[#This Row],[CI]] = 0, CRC_War_Room_SIMs[[#This Row],[Miss]] = 1), 1, 0)</f>
        <v>0</v>
      </c>
      <c r="N2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3" s="49">
        <f>IF(AND(CRC_War_Room_SIMs[[#This Row],[Excluded]] = 0, OR(CRC_War_Room_SIMs[[#This Row],[False Resolution Miss]] &lt;&gt; "", ISNUMBER(SEARCH("False Resolution", CRC_War_Room_SIMs[[#This Row],[Labels]])))), 1, 0)</f>
        <v>0</v>
      </c>
      <c r="P23" s="50">
        <f>IF(AND(CRC_War_Room_SIMs[[#This Row],[Excluded]] = 0, OR(CRC_War_Room_SIMs[[#This Row],[SLA Miss]] &lt;&gt; "", ISNUMBER(SEARCH("SLA", CRC_War_Room_SIMs[[#This Row],[Labels]])))), 1, 0)</f>
        <v>0</v>
      </c>
    </row>
    <row r="24" spans="1:16" x14ac:dyDescent="0.25">
      <c r="A24" t="s">
        <v>2483</v>
      </c>
      <c r="B24" t="s">
        <v>2469</v>
      </c>
      <c r="C24" t="s">
        <v>2452</v>
      </c>
      <c r="H2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24" s="49">
        <f ca="1">IFERROR(WEEKNUM(CRC_War_Room_SIMs[[#This Row],[Ops Date]]), "N/A")</f>
        <v>31</v>
      </c>
      <c r="J2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4" s="50">
        <f>IF(AND(CRC_War_Room_SIMs[[#This Row],[CI]] = 0, CRC_War_Room_SIMs[[#This Row],[Miss]] = 1), 1, 0)</f>
        <v>0</v>
      </c>
      <c r="N2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4" s="49">
        <f>IF(AND(CRC_War_Room_SIMs[[#This Row],[Excluded]] = 0, OR(CRC_War_Room_SIMs[[#This Row],[False Resolution Miss]] &lt;&gt; "", ISNUMBER(SEARCH("False Resolution", CRC_War_Room_SIMs[[#This Row],[Labels]])))), 1, 0)</f>
        <v>0</v>
      </c>
      <c r="P24" s="50">
        <f>IF(AND(CRC_War_Room_SIMs[[#This Row],[Excluded]] = 0, OR(CRC_War_Room_SIMs[[#This Row],[SLA Miss]] &lt;&gt; "", ISNUMBER(SEARCH("SLA", CRC_War_Room_SIMs[[#This Row],[Labels]])))), 1, 0)</f>
        <v>0</v>
      </c>
    </row>
    <row r="25" spans="1:16" x14ac:dyDescent="0.25">
      <c r="A25" t="s">
        <v>2484</v>
      </c>
      <c r="B25" t="s">
        <v>2481</v>
      </c>
      <c r="C25" t="s">
        <v>2452</v>
      </c>
      <c r="H2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25" s="49">
        <f ca="1">IFERROR(WEEKNUM(CRC_War_Room_SIMs[[#This Row],[Ops Date]]), "N/A")</f>
        <v>31</v>
      </c>
      <c r="J2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5" s="50">
        <f>IF(AND(CRC_War_Room_SIMs[[#This Row],[CI]] = 0, CRC_War_Room_SIMs[[#This Row],[Miss]] = 1), 1, 0)</f>
        <v>0</v>
      </c>
      <c r="N2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5" s="49">
        <f>IF(AND(CRC_War_Room_SIMs[[#This Row],[Excluded]] = 0, OR(CRC_War_Room_SIMs[[#This Row],[False Resolution Miss]] &lt;&gt; "", ISNUMBER(SEARCH("False Resolution", CRC_War_Room_SIMs[[#This Row],[Labels]])))), 1, 0)</f>
        <v>0</v>
      </c>
      <c r="P25" s="50">
        <f>IF(AND(CRC_War_Room_SIMs[[#This Row],[Excluded]] = 0, OR(CRC_War_Room_SIMs[[#This Row],[SLA Miss]] &lt;&gt; "", ISNUMBER(SEARCH("SLA", CRC_War_Room_SIMs[[#This Row],[Labels]])))), 1, 0)</f>
        <v>0</v>
      </c>
    </row>
    <row r="26" spans="1:16" x14ac:dyDescent="0.25">
      <c r="A26" t="s">
        <v>2485</v>
      </c>
      <c r="B26" t="s">
        <v>2475</v>
      </c>
      <c r="C26" t="s">
        <v>2452</v>
      </c>
      <c r="H2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26" s="49">
        <f ca="1">IFERROR(WEEKNUM(CRC_War_Room_SIMs[[#This Row],[Ops Date]]), "N/A")</f>
        <v>31</v>
      </c>
      <c r="J2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6" s="50">
        <f>IF(AND(CRC_War_Room_SIMs[[#This Row],[CI]] = 0, CRC_War_Room_SIMs[[#This Row],[Miss]] = 1), 1, 0)</f>
        <v>0</v>
      </c>
      <c r="N2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6" s="49">
        <f>IF(AND(CRC_War_Room_SIMs[[#This Row],[Excluded]] = 0, OR(CRC_War_Room_SIMs[[#This Row],[False Resolution Miss]] &lt;&gt; "", ISNUMBER(SEARCH("False Resolution", CRC_War_Room_SIMs[[#This Row],[Labels]])))), 1, 0)</f>
        <v>0</v>
      </c>
      <c r="P26" s="50">
        <f>IF(AND(CRC_War_Room_SIMs[[#This Row],[Excluded]] = 0, OR(CRC_War_Room_SIMs[[#This Row],[SLA Miss]] &lt;&gt; "", ISNUMBER(SEARCH("SLA", CRC_War_Room_SIMs[[#This Row],[Labels]])))), 1, 0)</f>
        <v>0</v>
      </c>
    </row>
    <row r="27" spans="1:16" x14ac:dyDescent="0.25">
      <c r="A27" t="s">
        <v>2486</v>
      </c>
      <c r="B27" t="s">
        <v>2456</v>
      </c>
      <c r="C27" t="s">
        <v>2452</v>
      </c>
      <c r="H2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27" s="49">
        <f ca="1">IFERROR(WEEKNUM(CRC_War_Room_SIMs[[#This Row],[Ops Date]]), "N/A")</f>
        <v>31</v>
      </c>
      <c r="J2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7" s="50">
        <f>IF(AND(CRC_War_Room_SIMs[[#This Row],[CI]] = 0, CRC_War_Room_SIMs[[#This Row],[Miss]] = 1), 1, 0)</f>
        <v>0</v>
      </c>
      <c r="N2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7" s="49">
        <f>IF(AND(CRC_War_Room_SIMs[[#This Row],[Excluded]] = 0, OR(CRC_War_Room_SIMs[[#This Row],[False Resolution Miss]] &lt;&gt; "", ISNUMBER(SEARCH("False Resolution", CRC_War_Room_SIMs[[#This Row],[Labels]])))), 1, 0)</f>
        <v>0</v>
      </c>
      <c r="P27" s="50">
        <f>IF(AND(CRC_War_Room_SIMs[[#This Row],[Excluded]] = 0, OR(CRC_War_Room_SIMs[[#This Row],[SLA Miss]] &lt;&gt; "", ISNUMBER(SEARCH("SLA", CRC_War_Room_SIMs[[#This Row],[Labels]])))), 1, 0)</f>
        <v>0</v>
      </c>
    </row>
    <row r="28" spans="1:16" x14ac:dyDescent="0.25">
      <c r="A28" t="s">
        <v>2487</v>
      </c>
      <c r="B28" t="s">
        <v>2475</v>
      </c>
      <c r="C28" t="s">
        <v>2452</v>
      </c>
      <c r="H2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28" s="49">
        <f ca="1">IFERROR(WEEKNUM(CRC_War_Room_SIMs[[#This Row],[Ops Date]]), "N/A")</f>
        <v>31</v>
      </c>
      <c r="J2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8" s="50">
        <f>IF(AND(CRC_War_Room_SIMs[[#This Row],[CI]] = 0, CRC_War_Room_SIMs[[#This Row],[Miss]] = 1), 1, 0)</f>
        <v>0</v>
      </c>
      <c r="N2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8" s="49">
        <f>IF(AND(CRC_War_Room_SIMs[[#This Row],[Excluded]] = 0, OR(CRC_War_Room_SIMs[[#This Row],[False Resolution Miss]] &lt;&gt; "", ISNUMBER(SEARCH("False Resolution", CRC_War_Room_SIMs[[#This Row],[Labels]])))), 1, 0)</f>
        <v>0</v>
      </c>
      <c r="P28" s="50">
        <f>IF(AND(CRC_War_Room_SIMs[[#This Row],[Excluded]] = 0, OR(CRC_War_Room_SIMs[[#This Row],[SLA Miss]] &lt;&gt; "", ISNUMBER(SEARCH("SLA", CRC_War_Room_SIMs[[#This Row],[Labels]])))), 1, 0)</f>
        <v>0</v>
      </c>
    </row>
    <row r="29" spans="1:16" x14ac:dyDescent="0.25">
      <c r="A29" t="s">
        <v>2488</v>
      </c>
      <c r="B29" t="s">
        <v>2458</v>
      </c>
      <c r="C29" t="s">
        <v>2489</v>
      </c>
      <c r="E29" t="s">
        <v>2490</v>
      </c>
      <c r="H2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29" s="49">
        <f ca="1">IFERROR(WEEKNUM(CRC_War_Room_SIMs[[#This Row],[Ops Date]]), "N/A")</f>
        <v>31</v>
      </c>
      <c r="J2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2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29" s="50">
        <f>IF(AND(CRC_War_Room_SIMs[[#This Row],[CI]] = 0, CRC_War_Room_SIMs[[#This Row],[Miss]] = 1), 1, 0)</f>
        <v>0</v>
      </c>
      <c r="N29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29" s="49">
        <f>IF(AND(CRC_War_Room_SIMs[[#This Row],[Excluded]] = 0, OR(CRC_War_Room_SIMs[[#This Row],[False Resolution Miss]] &lt;&gt; "", ISNUMBER(SEARCH("False Resolution", CRC_War_Room_SIMs[[#This Row],[Labels]])))), 1, 0)</f>
        <v>0</v>
      </c>
      <c r="P29" s="50">
        <f>IF(AND(CRC_War_Room_SIMs[[#This Row],[Excluded]] = 0, OR(CRC_War_Room_SIMs[[#This Row],[SLA Miss]] &lt;&gt; "", ISNUMBER(SEARCH("SLA", CRC_War_Room_SIMs[[#This Row],[Labels]])))), 1, 0)</f>
        <v>0</v>
      </c>
    </row>
    <row r="30" spans="1:16" x14ac:dyDescent="0.25">
      <c r="A30" t="s">
        <v>2491</v>
      </c>
      <c r="B30" t="s">
        <v>2481</v>
      </c>
      <c r="C30" t="s">
        <v>2452</v>
      </c>
      <c r="H3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30" s="49">
        <f ca="1">IFERROR(WEEKNUM(CRC_War_Room_SIMs[[#This Row],[Ops Date]]), "N/A")</f>
        <v>31</v>
      </c>
      <c r="J3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0" s="50">
        <f>IF(AND(CRC_War_Room_SIMs[[#This Row],[CI]] = 0, CRC_War_Room_SIMs[[#This Row],[Miss]] = 1), 1, 0)</f>
        <v>0</v>
      </c>
      <c r="N3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0" s="49">
        <f>IF(AND(CRC_War_Room_SIMs[[#This Row],[Excluded]] = 0, OR(CRC_War_Room_SIMs[[#This Row],[False Resolution Miss]] &lt;&gt; "", ISNUMBER(SEARCH("False Resolution", CRC_War_Room_SIMs[[#This Row],[Labels]])))), 1, 0)</f>
        <v>0</v>
      </c>
      <c r="P30" s="50">
        <f>IF(AND(CRC_War_Room_SIMs[[#This Row],[Excluded]] = 0, OR(CRC_War_Room_SIMs[[#This Row],[SLA Miss]] &lt;&gt; "", ISNUMBER(SEARCH("SLA", CRC_War_Room_SIMs[[#This Row],[Labels]])))), 1, 0)</f>
        <v>0</v>
      </c>
    </row>
    <row r="31" spans="1:16" x14ac:dyDescent="0.25">
      <c r="A31" t="s">
        <v>2492</v>
      </c>
      <c r="B31" t="s">
        <v>2481</v>
      </c>
      <c r="C31" t="s">
        <v>2452</v>
      </c>
      <c r="H3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31" s="49">
        <f ca="1">IFERROR(WEEKNUM(CRC_War_Room_SIMs[[#This Row],[Ops Date]]), "N/A")</f>
        <v>31</v>
      </c>
      <c r="J3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1" s="50">
        <f>IF(AND(CRC_War_Room_SIMs[[#This Row],[CI]] = 0, CRC_War_Room_SIMs[[#This Row],[Miss]] = 1), 1, 0)</f>
        <v>0</v>
      </c>
      <c r="N3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1" s="49">
        <f>IF(AND(CRC_War_Room_SIMs[[#This Row],[Excluded]] = 0, OR(CRC_War_Room_SIMs[[#This Row],[False Resolution Miss]] &lt;&gt; "", ISNUMBER(SEARCH("False Resolution", CRC_War_Room_SIMs[[#This Row],[Labels]])))), 1, 0)</f>
        <v>0</v>
      </c>
      <c r="P31" s="50">
        <f>IF(AND(CRC_War_Room_SIMs[[#This Row],[Excluded]] = 0, OR(CRC_War_Room_SIMs[[#This Row],[SLA Miss]] &lt;&gt; "", ISNUMBER(SEARCH("SLA", CRC_War_Room_SIMs[[#This Row],[Labels]])))), 1, 0)</f>
        <v>0</v>
      </c>
    </row>
    <row r="32" spans="1:16" x14ac:dyDescent="0.25">
      <c r="A32" t="s">
        <v>2493</v>
      </c>
      <c r="B32" t="s">
        <v>2481</v>
      </c>
      <c r="C32" t="s">
        <v>2462</v>
      </c>
      <c r="H3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32" s="49">
        <f ca="1">IFERROR(WEEKNUM(CRC_War_Room_SIMs[[#This Row],[Ops Date]]), "N/A")</f>
        <v>31</v>
      </c>
      <c r="J3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3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32" s="50">
        <f>IF(AND(CRC_War_Room_SIMs[[#This Row],[CI]] = 0, CRC_War_Room_SIMs[[#This Row],[Miss]] = 1), 1, 0)</f>
        <v>0</v>
      </c>
      <c r="N3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2" s="49">
        <f>IF(AND(CRC_War_Room_SIMs[[#This Row],[Excluded]] = 0, OR(CRC_War_Room_SIMs[[#This Row],[False Resolution Miss]] &lt;&gt; "", ISNUMBER(SEARCH("False Resolution", CRC_War_Room_SIMs[[#This Row],[Labels]])))), 1, 0)</f>
        <v>0</v>
      </c>
      <c r="P32" s="50">
        <f>IF(AND(CRC_War_Room_SIMs[[#This Row],[Excluded]] = 0, OR(CRC_War_Room_SIMs[[#This Row],[SLA Miss]] &lt;&gt; "", ISNUMBER(SEARCH("SLA", CRC_War_Room_SIMs[[#This Row],[Labels]])))), 1, 0)</f>
        <v>0</v>
      </c>
    </row>
    <row r="33" spans="1:16" x14ac:dyDescent="0.25">
      <c r="A33" t="s">
        <v>2494</v>
      </c>
      <c r="B33" t="s">
        <v>2458</v>
      </c>
      <c r="C33" t="s">
        <v>2452</v>
      </c>
      <c r="H3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33" s="49">
        <f ca="1">IFERROR(WEEKNUM(CRC_War_Room_SIMs[[#This Row],[Ops Date]]), "N/A")</f>
        <v>31</v>
      </c>
      <c r="J3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3" s="50">
        <f>IF(AND(CRC_War_Room_SIMs[[#This Row],[CI]] = 0, CRC_War_Room_SIMs[[#This Row],[Miss]] = 1), 1, 0)</f>
        <v>0</v>
      </c>
      <c r="N3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3" s="49">
        <f>IF(AND(CRC_War_Room_SIMs[[#This Row],[Excluded]] = 0, OR(CRC_War_Room_SIMs[[#This Row],[False Resolution Miss]] &lt;&gt; "", ISNUMBER(SEARCH("False Resolution", CRC_War_Room_SIMs[[#This Row],[Labels]])))), 1, 0)</f>
        <v>0</v>
      </c>
      <c r="P33" s="50">
        <f>IF(AND(CRC_War_Room_SIMs[[#This Row],[Excluded]] = 0, OR(CRC_War_Room_SIMs[[#This Row],[SLA Miss]] &lt;&gt; "", ISNUMBER(SEARCH("SLA", CRC_War_Room_SIMs[[#This Row],[Labels]])))), 1, 0)</f>
        <v>0</v>
      </c>
    </row>
    <row r="34" spans="1:16" x14ac:dyDescent="0.25">
      <c r="A34" t="s">
        <v>2495</v>
      </c>
      <c r="B34" t="s">
        <v>2456</v>
      </c>
      <c r="C34" t="s">
        <v>2462</v>
      </c>
      <c r="E34" t="s">
        <v>2496</v>
      </c>
      <c r="H3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34" s="49">
        <f ca="1">IFERROR(WEEKNUM(CRC_War_Room_SIMs[[#This Row],[Ops Date]]), "N/A")</f>
        <v>31</v>
      </c>
      <c r="J3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3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34" s="50">
        <f>IF(AND(CRC_War_Room_SIMs[[#This Row],[CI]] = 0, CRC_War_Room_SIMs[[#This Row],[Miss]] = 1), 1, 0)</f>
        <v>0</v>
      </c>
      <c r="N34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34" s="49">
        <f>IF(AND(CRC_War_Room_SIMs[[#This Row],[Excluded]] = 0, OR(CRC_War_Room_SIMs[[#This Row],[False Resolution Miss]] &lt;&gt; "", ISNUMBER(SEARCH("False Resolution", CRC_War_Room_SIMs[[#This Row],[Labels]])))), 1, 0)</f>
        <v>0</v>
      </c>
      <c r="P34" s="50">
        <f>IF(AND(CRC_War_Room_SIMs[[#This Row],[Excluded]] = 0, OR(CRC_War_Room_SIMs[[#This Row],[SLA Miss]] &lt;&gt; "", ISNUMBER(SEARCH("SLA", CRC_War_Room_SIMs[[#This Row],[Labels]])))), 1, 0)</f>
        <v>0</v>
      </c>
    </row>
    <row r="35" spans="1:16" x14ac:dyDescent="0.25">
      <c r="A35" t="s">
        <v>2497</v>
      </c>
      <c r="B35" t="s">
        <v>2481</v>
      </c>
      <c r="C35" t="s">
        <v>2452</v>
      </c>
      <c r="H3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35" s="49">
        <f ca="1">IFERROR(WEEKNUM(CRC_War_Room_SIMs[[#This Row],[Ops Date]]), "N/A")</f>
        <v>31</v>
      </c>
      <c r="J3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5" s="50">
        <f>IF(AND(CRC_War_Room_SIMs[[#This Row],[CI]] = 0, CRC_War_Room_SIMs[[#This Row],[Miss]] = 1), 1, 0)</f>
        <v>0</v>
      </c>
      <c r="N3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5" s="49">
        <f>IF(AND(CRC_War_Room_SIMs[[#This Row],[Excluded]] = 0, OR(CRC_War_Room_SIMs[[#This Row],[False Resolution Miss]] &lt;&gt; "", ISNUMBER(SEARCH("False Resolution", CRC_War_Room_SIMs[[#This Row],[Labels]])))), 1, 0)</f>
        <v>0</v>
      </c>
      <c r="P35" s="50">
        <f>IF(AND(CRC_War_Room_SIMs[[#This Row],[Excluded]] = 0, OR(CRC_War_Room_SIMs[[#This Row],[SLA Miss]] &lt;&gt; "", ISNUMBER(SEARCH("SLA", CRC_War_Room_SIMs[[#This Row],[Labels]])))), 1, 0)</f>
        <v>0</v>
      </c>
    </row>
    <row r="36" spans="1:16" x14ac:dyDescent="0.25">
      <c r="A36" t="s">
        <v>2498</v>
      </c>
      <c r="B36" t="s">
        <v>2481</v>
      </c>
      <c r="C36" t="s">
        <v>2452</v>
      </c>
      <c r="H3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36" s="49">
        <f ca="1">IFERROR(WEEKNUM(CRC_War_Room_SIMs[[#This Row],[Ops Date]]), "N/A")</f>
        <v>31</v>
      </c>
      <c r="J3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6" s="50">
        <f>IF(AND(CRC_War_Room_SIMs[[#This Row],[CI]] = 0, CRC_War_Room_SIMs[[#This Row],[Miss]] = 1), 1, 0)</f>
        <v>0</v>
      </c>
      <c r="N3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6" s="49">
        <f>IF(AND(CRC_War_Room_SIMs[[#This Row],[Excluded]] = 0, OR(CRC_War_Room_SIMs[[#This Row],[False Resolution Miss]] &lt;&gt; "", ISNUMBER(SEARCH("False Resolution", CRC_War_Room_SIMs[[#This Row],[Labels]])))), 1, 0)</f>
        <v>0</v>
      </c>
      <c r="P36" s="50">
        <f>IF(AND(CRC_War_Room_SIMs[[#This Row],[Excluded]] = 0, OR(CRC_War_Room_SIMs[[#This Row],[SLA Miss]] &lt;&gt; "", ISNUMBER(SEARCH("SLA", CRC_War_Room_SIMs[[#This Row],[Labels]])))), 1, 0)</f>
        <v>0</v>
      </c>
    </row>
    <row r="37" spans="1:16" x14ac:dyDescent="0.25">
      <c r="A37" t="s">
        <v>2499</v>
      </c>
      <c r="B37" t="s">
        <v>2481</v>
      </c>
      <c r="C37" t="s">
        <v>2452</v>
      </c>
      <c r="H3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37" s="49">
        <f ca="1">IFERROR(WEEKNUM(CRC_War_Room_SIMs[[#This Row],[Ops Date]]), "N/A")</f>
        <v>31</v>
      </c>
      <c r="J3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7" s="50">
        <f>IF(AND(CRC_War_Room_SIMs[[#This Row],[CI]] = 0, CRC_War_Room_SIMs[[#This Row],[Miss]] = 1), 1, 0)</f>
        <v>0</v>
      </c>
      <c r="N3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7" s="49">
        <f>IF(AND(CRC_War_Room_SIMs[[#This Row],[Excluded]] = 0, OR(CRC_War_Room_SIMs[[#This Row],[False Resolution Miss]] &lt;&gt; "", ISNUMBER(SEARCH("False Resolution", CRC_War_Room_SIMs[[#This Row],[Labels]])))), 1, 0)</f>
        <v>0</v>
      </c>
      <c r="P37" s="50">
        <f>IF(AND(CRC_War_Room_SIMs[[#This Row],[Excluded]] = 0, OR(CRC_War_Room_SIMs[[#This Row],[SLA Miss]] &lt;&gt; "", ISNUMBER(SEARCH("SLA", CRC_War_Room_SIMs[[#This Row],[Labels]])))), 1, 0)</f>
        <v>0</v>
      </c>
    </row>
    <row r="38" spans="1:16" x14ac:dyDescent="0.25">
      <c r="A38" t="s">
        <v>2500</v>
      </c>
      <c r="B38" t="s">
        <v>2451</v>
      </c>
      <c r="C38" t="s">
        <v>2452</v>
      </c>
      <c r="H3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38" s="49">
        <f ca="1">IFERROR(WEEKNUM(CRC_War_Room_SIMs[[#This Row],[Ops Date]]), "N/A")</f>
        <v>31</v>
      </c>
      <c r="J3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8" s="50">
        <f>IF(AND(CRC_War_Room_SIMs[[#This Row],[CI]] = 0, CRC_War_Room_SIMs[[#This Row],[Miss]] = 1), 1, 0)</f>
        <v>0</v>
      </c>
      <c r="N3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8" s="49">
        <f>IF(AND(CRC_War_Room_SIMs[[#This Row],[Excluded]] = 0, OR(CRC_War_Room_SIMs[[#This Row],[False Resolution Miss]] &lt;&gt; "", ISNUMBER(SEARCH("False Resolution", CRC_War_Room_SIMs[[#This Row],[Labels]])))), 1, 0)</f>
        <v>0</v>
      </c>
      <c r="P38" s="50">
        <f>IF(AND(CRC_War_Room_SIMs[[#This Row],[Excluded]] = 0, OR(CRC_War_Room_SIMs[[#This Row],[SLA Miss]] &lt;&gt; "", ISNUMBER(SEARCH("SLA", CRC_War_Room_SIMs[[#This Row],[Labels]])))), 1, 0)</f>
        <v>0</v>
      </c>
    </row>
    <row r="39" spans="1:16" x14ac:dyDescent="0.25">
      <c r="A39" t="s">
        <v>2501</v>
      </c>
      <c r="B39" t="s">
        <v>2481</v>
      </c>
      <c r="C39" t="s">
        <v>2452</v>
      </c>
      <c r="H3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39" s="49">
        <f ca="1">IFERROR(WEEKNUM(CRC_War_Room_SIMs[[#This Row],[Ops Date]]), "N/A")</f>
        <v>31</v>
      </c>
      <c r="J3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9" s="50">
        <f>IF(AND(CRC_War_Room_SIMs[[#This Row],[CI]] = 0, CRC_War_Room_SIMs[[#This Row],[Miss]] = 1), 1, 0)</f>
        <v>0</v>
      </c>
      <c r="N3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9" s="49">
        <f>IF(AND(CRC_War_Room_SIMs[[#This Row],[Excluded]] = 0, OR(CRC_War_Room_SIMs[[#This Row],[False Resolution Miss]] &lt;&gt; "", ISNUMBER(SEARCH("False Resolution", CRC_War_Room_SIMs[[#This Row],[Labels]])))), 1, 0)</f>
        <v>0</v>
      </c>
      <c r="P39" s="50">
        <f>IF(AND(CRC_War_Room_SIMs[[#This Row],[Excluded]] = 0, OR(CRC_War_Room_SIMs[[#This Row],[SLA Miss]] &lt;&gt; "", ISNUMBER(SEARCH("SLA", CRC_War_Room_SIMs[[#This Row],[Labels]])))), 1, 0)</f>
        <v>0</v>
      </c>
    </row>
    <row r="40" spans="1:16" x14ac:dyDescent="0.25">
      <c r="A40" t="s">
        <v>2502</v>
      </c>
      <c r="B40" t="s">
        <v>2481</v>
      </c>
      <c r="C40" t="s">
        <v>2452</v>
      </c>
      <c r="H4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40" s="49">
        <f ca="1">IFERROR(WEEKNUM(CRC_War_Room_SIMs[[#This Row],[Ops Date]]), "N/A")</f>
        <v>31</v>
      </c>
      <c r="J4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0" s="50">
        <f>IF(AND(CRC_War_Room_SIMs[[#This Row],[CI]] = 0, CRC_War_Room_SIMs[[#This Row],[Miss]] = 1), 1, 0)</f>
        <v>0</v>
      </c>
      <c r="N4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0" s="49">
        <f>IF(AND(CRC_War_Room_SIMs[[#This Row],[Excluded]] = 0, OR(CRC_War_Room_SIMs[[#This Row],[False Resolution Miss]] &lt;&gt; "", ISNUMBER(SEARCH("False Resolution", CRC_War_Room_SIMs[[#This Row],[Labels]])))), 1, 0)</f>
        <v>0</v>
      </c>
      <c r="P40" s="50">
        <f>IF(AND(CRC_War_Room_SIMs[[#This Row],[Excluded]] = 0, OR(CRC_War_Room_SIMs[[#This Row],[SLA Miss]] &lt;&gt; "", ISNUMBER(SEARCH("SLA", CRC_War_Room_SIMs[[#This Row],[Labels]])))), 1, 0)</f>
        <v>0</v>
      </c>
    </row>
    <row r="41" spans="1:16" x14ac:dyDescent="0.25">
      <c r="A41" t="s">
        <v>2503</v>
      </c>
      <c r="B41" t="s">
        <v>2504</v>
      </c>
      <c r="C41" t="s">
        <v>2452</v>
      </c>
      <c r="H4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41" s="49">
        <f ca="1">IFERROR(WEEKNUM(CRC_War_Room_SIMs[[#This Row],[Ops Date]]), "N/A")</f>
        <v>31</v>
      </c>
      <c r="J4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1" s="50">
        <f>IF(AND(CRC_War_Room_SIMs[[#This Row],[CI]] = 0, CRC_War_Room_SIMs[[#This Row],[Miss]] = 1), 1, 0)</f>
        <v>0</v>
      </c>
      <c r="N4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1" s="49">
        <f>IF(AND(CRC_War_Room_SIMs[[#This Row],[Excluded]] = 0, OR(CRC_War_Room_SIMs[[#This Row],[False Resolution Miss]] &lt;&gt; "", ISNUMBER(SEARCH("False Resolution", CRC_War_Room_SIMs[[#This Row],[Labels]])))), 1, 0)</f>
        <v>0</v>
      </c>
      <c r="P41" s="50">
        <f>IF(AND(CRC_War_Room_SIMs[[#This Row],[Excluded]] = 0, OR(CRC_War_Room_SIMs[[#This Row],[SLA Miss]] &lt;&gt; "", ISNUMBER(SEARCH("SLA", CRC_War_Room_SIMs[[#This Row],[Labels]])))), 1, 0)</f>
        <v>0</v>
      </c>
    </row>
    <row r="42" spans="1:16" x14ac:dyDescent="0.25">
      <c r="A42" t="s">
        <v>2505</v>
      </c>
      <c r="B42" t="s">
        <v>2451</v>
      </c>
      <c r="C42" t="s">
        <v>2452</v>
      </c>
      <c r="H4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42" s="49">
        <f ca="1">IFERROR(WEEKNUM(CRC_War_Room_SIMs[[#This Row],[Ops Date]]), "N/A")</f>
        <v>31</v>
      </c>
      <c r="J4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2" s="50">
        <f>IF(AND(CRC_War_Room_SIMs[[#This Row],[CI]] = 0, CRC_War_Room_SIMs[[#This Row],[Miss]] = 1), 1, 0)</f>
        <v>0</v>
      </c>
      <c r="N4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2" s="49">
        <f>IF(AND(CRC_War_Room_SIMs[[#This Row],[Excluded]] = 0, OR(CRC_War_Room_SIMs[[#This Row],[False Resolution Miss]] &lt;&gt; "", ISNUMBER(SEARCH("False Resolution", CRC_War_Room_SIMs[[#This Row],[Labels]])))), 1, 0)</f>
        <v>0</v>
      </c>
      <c r="P42" s="50">
        <f>IF(AND(CRC_War_Room_SIMs[[#This Row],[Excluded]] = 0, OR(CRC_War_Room_SIMs[[#This Row],[SLA Miss]] &lt;&gt; "", ISNUMBER(SEARCH("SLA", CRC_War_Room_SIMs[[#This Row],[Labels]])))), 1, 0)</f>
        <v>0</v>
      </c>
    </row>
    <row r="43" spans="1:16" x14ac:dyDescent="0.25">
      <c r="A43" t="s">
        <v>2506</v>
      </c>
      <c r="B43" t="s">
        <v>2504</v>
      </c>
      <c r="C43" t="s">
        <v>2452</v>
      </c>
      <c r="H4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43" s="49">
        <f ca="1">IFERROR(WEEKNUM(CRC_War_Room_SIMs[[#This Row],[Ops Date]]), "N/A")</f>
        <v>31</v>
      </c>
      <c r="J4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3" s="50">
        <f>IF(AND(CRC_War_Room_SIMs[[#This Row],[CI]] = 0, CRC_War_Room_SIMs[[#This Row],[Miss]] = 1), 1, 0)</f>
        <v>0</v>
      </c>
      <c r="N4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3" s="49">
        <f>IF(AND(CRC_War_Room_SIMs[[#This Row],[Excluded]] = 0, OR(CRC_War_Room_SIMs[[#This Row],[False Resolution Miss]] &lt;&gt; "", ISNUMBER(SEARCH("False Resolution", CRC_War_Room_SIMs[[#This Row],[Labels]])))), 1, 0)</f>
        <v>0</v>
      </c>
      <c r="P43" s="50">
        <f>IF(AND(CRC_War_Room_SIMs[[#This Row],[Excluded]] = 0, OR(CRC_War_Room_SIMs[[#This Row],[SLA Miss]] &lt;&gt; "", ISNUMBER(SEARCH("SLA", CRC_War_Room_SIMs[[#This Row],[Labels]])))), 1, 0)</f>
        <v>0</v>
      </c>
    </row>
    <row r="44" spans="1:16" x14ac:dyDescent="0.25">
      <c r="A44" t="s">
        <v>2507</v>
      </c>
      <c r="B44" t="s">
        <v>2504</v>
      </c>
      <c r="C44" t="s">
        <v>2452</v>
      </c>
      <c r="H4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44" s="49">
        <f ca="1">IFERROR(WEEKNUM(CRC_War_Room_SIMs[[#This Row],[Ops Date]]), "N/A")</f>
        <v>31</v>
      </c>
      <c r="J4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4" s="50">
        <f>IF(AND(CRC_War_Room_SIMs[[#This Row],[CI]] = 0, CRC_War_Room_SIMs[[#This Row],[Miss]] = 1), 1, 0)</f>
        <v>0</v>
      </c>
      <c r="N4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4" s="49">
        <f>IF(AND(CRC_War_Room_SIMs[[#This Row],[Excluded]] = 0, OR(CRC_War_Room_SIMs[[#This Row],[False Resolution Miss]] &lt;&gt; "", ISNUMBER(SEARCH("False Resolution", CRC_War_Room_SIMs[[#This Row],[Labels]])))), 1, 0)</f>
        <v>0</v>
      </c>
      <c r="P44" s="50">
        <f>IF(AND(CRC_War_Room_SIMs[[#This Row],[Excluded]] = 0, OR(CRC_War_Room_SIMs[[#This Row],[SLA Miss]] &lt;&gt; "", ISNUMBER(SEARCH("SLA", CRC_War_Room_SIMs[[#This Row],[Labels]])))), 1, 0)</f>
        <v>0</v>
      </c>
    </row>
    <row r="45" spans="1:16" x14ac:dyDescent="0.25">
      <c r="A45" t="s">
        <v>2508</v>
      </c>
      <c r="B45" t="s">
        <v>2451</v>
      </c>
      <c r="C45" t="s">
        <v>2452</v>
      </c>
      <c r="H4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45" s="49">
        <f ca="1">IFERROR(WEEKNUM(CRC_War_Room_SIMs[[#This Row],[Ops Date]]), "N/A")</f>
        <v>31</v>
      </c>
      <c r="J4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5" s="50">
        <f>IF(AND(CRC_War_Room_SIMs[[#This Row],[CI]] = 0, CRC_War_Room_SIMs[[#This Row],[Miss]] = 1), 1, 0)</f>
        <v>0</v>
      </c>
      <c r="N4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5" s="49">
        <f>IF(AND(CRC_War_Room_SIMs[[#This Row],[Excluded]] = 0, OR(CRC_War_Room_SIMs[[#This Row],[False Resolution Miss]] &lt;&gt; "", ISNUMBER(SEARCH("False Resolution", CRC_War_Room_SIMs[[#This Row],[Labels]])))), 1, 0)</f>
        <v>0</v>
      </c>
      <c r="P45" s="50">
        <f>IF(AND(CRC_War_Room_SIMs[[#This Row],[Excluded]] = 0, OR(CRC_War_Room_SIMs[[#This Row],[SLA Miss]] &lt;&gt; "", ISNUMBER(SEARCH("SLA", CRC_War_Room_SIMs[[#This Row],[Labels]])))), 1, 0)</f>
        <v>0</v>
      </c>
    </row>
    <row r="46" spans="1:16" x14ac:dyDescent="0.25">
      <c r="A46" t="s">
        <v>2509</v>
      </c>
      <c r="B46" t="s">
        <v>2504</v>
      </c>
      <c r="C46" t="s">
        <v>2452</v>
      </c>
      <c r="H4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46" s="49">
        <f ca="1">IFERROR(WEEKNUM(CRC_War_Room_SIMs[[#This Row],[Ops Date]]), "N/A")</f>
        <v>31</v>
      </c>
      <c r="J4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6" s="50">
        <f>IF(AND(CRC_War_Room_SIMs[[#This Row],[CI]] = 0, CRC_War_Room_SIMs[[#This Row],[Miss]] = 1), 1, 0)</f>
        <v>0</v>
      </c>
      <c r="N4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6" s="49">
        <f>IF(AND(CRC_War_Room_SIMs[[#This Row],[Excluded]] = 0, OR(CRC_War_Room_SIMs[[#This Row],[False Resolution Miss]] &lt;&gt; "", ISNUMBER(SEARCH("False Resolution", CRC_War_Room_SIMs[[#This Row],[Labels]])))), 1, 0)</f>
        <v>0</v>
      </c>
      <c r="P46" s="50">
        <f>IF(AND(CRC_War_Room_SIMs[[#This Row],[Excluded]] = 0, OR(CRC_War_Room_SIMs[[#This Row],[SLA Miss]] &lt;&gt; "", ISNUMBER(SEARCH("SLA", CRC_War_Room_SIMs[[#This Row],[Labels]])))), 1, 0)</f>
        <v>0</v>
      </c>
    </row>
    <row r="47" spans="1:16" x14ac:dyDescent="0.25">
      <c r="A47" t="s">
        <v>2510</v>
      </c>
      <c r="B47" t="s">
        <v>2504</v>
      </c>
      <c r="C47" t="s">
        <v>2452</v>
      </c>
      <c r="H4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47" s="49">
        <f ca="1">IFERROR(WEEKNUM(CRC_War_Room_SIMs[[#This Row],[Ops Date]]), "N/A")</f>
        <v>31</v>
      </c>
      <c r="J4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7" s="50">
        <f>IF(AND(CRC_War_Room_SIMs[[#This Row],[CI]] = 0, CRC_War_Room_SIMs[[#This Row],[Miss]] = 1), 1, 0)</f>
        <v>0</v>
      </c>
      <c r="N4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7" s="49">
        <f>IF(AND(CRC_War_Room_SIMs[[#This Row],[Excluded]] = 0, OR(CRC_War_Room_SIMs[[#This Row],[False Resolution Miss]] &lt;&gt; "", ISNUMBER(SEARCH("False Resolution", CRC_War_Room_SIMs[[#This Row],[Labels]])))), 1, 0)</f>
        <v>0</v>
      </c>
      <c r="P47" s="50">
        <f>IF(AND(CRC_War_Room_SIMs[[#This Row],[Excluded]] = 0, OR(CRC_War_Room_SIMs[[#This Row],[SLA Miss]] &lt;&gt; "", ISNUMBER(SEARCH("SLA", CRC_War_Room_SIMs[[#This Row],[Labels]])))), 1, 0)</f>
        <v>0</v>
      </c>
    </row>
    <row r="48" spans="1:16" x14ac:dyDescent="0.25">
      <c r="A48" t="s">
        <v>2511</v>
      </c>
      <c r="B48" t="s">
        <v>2451</v>
      </c>
      <c r="C48" t="s">
        <v>2452</v>
      </c>
      <c r="H4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48" s="49">
        <f ca="1">IFERROR(WEEKNUM(CRC_War_Room_SIMs[[#This Row],[Ops Date]]), "N/A")</f>
        <v>31</v>
      </c>
      <c r="J4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8" s="50">
        <f>IF(AND(CRC_War_Room_SIMs[[#This Row],[CI]] = 0, CRC_War_Room_SIMs[[#This Row],[Miss]] = 1), 1, 0)</f>
        <v>0</v>
      </c>
      <c r="N4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8" s="49">
        <f>IF(AND(CRC_War_Room_SIMs[[#This Row],[Excluded]] = 0, OR(CRC_War_Room_SIMs[[#This Row],[False Resolution Miss]] &lt;&gt; "", ISNUMBER(SEARCH("False Resolution", CRC_War_Room_SIMs[[#This Row],[Labels]])))), 1, 0)</f>
        <v>0</v>
      </c>
      <c r="P48" s="50">
        <f>IF(AND(CRC_War_Room_SIMs[[#This Row],[Excluded]] = 0, OR(CRC_War_Room_SIMs[[#This Row],[SLA Miss]] &lt;&gt; "", ISNUMBER(SEARCH("SLA", CRC_War_Room_SIMs[[#This Row],[Labels]])))), 1, 0)</f>
        <v>0</v>
      </c>
    </row>
    <row r="49" spans="1:16" x14ac:dyDescent="0.25">
      <c r="A49" t="s">
        <v>2512</v>
      </c>
      <c r="B49" t="s">
        <v>2451</v>
      </c>
      <c r="C49" t="s">
        <v>2452</v>
      </c>
      <c r="H4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49" s="49">
        <f ca="1">IFERROR(WEEKNUM(CRC_War_Room_SIMs[[#This Row],[Ops Date]]), "N/A")</f>
        <v>31</v>
      </c>
      <c r="J4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9" s="50">
        <f>IF(AND(CRC_War_Room_SIMs[[#This Row],[CI]] = 0, CRC_War_Room_SIMs[[#This Row],[Miss]] = 1), 1, 0)</f>
        <v>0</v>
      </c>
      <c r="N4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9" s="49">
        <f>IF(AND(CRC_War_Room_SIMs[[#This Row],[Excluded]] = 0, OR(CRC_War_Room_SIMs[[#This Row],[False Resolution Miss]] &lt;&gt; "", ISNUMBER(SEARCH("False Resolution", CRC_War_Room_SIMs[[#This Row],[Labels]])))), 1, 0)</f>
        <v>0</v>
      </c>
      <c r="P49" s="50">
        <f>IF(AND(CRC_War_Room_SIMs[[#This Row],[Excluded]] = 0, OR(CRC_War_Room_SIMs[[#This Row],[SLA Miss]] &lt;&gt; "", ISNUMBER(SEARCH("SLA", CRC_War_Room_SIMs[[#This Row],[Labels]])))), 1, 0)</f>
        <v>0</v>
      </c>
    </row>
    <row r="50" spans="1:16" x14ac:dyDescent="0.25">
      <c r="A50" t="s">
        <v>2513</v>
      </c>
      <c r="B50" t="s">
        <v>2451</v>
      </c>
      <c r="C50" t="s">
        <v>2462</v>
      </c>
      <c r="E50" t="s">
        <v>2514</v>
      </c>
      <c r="H5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50" s="49">
        <f ca="1">IFERROR(WEEKNUM(CRC_War_Room_SIMs[[#This Row],[Ops Date]]), "N/A")</f>
        <v>31</v>
      </c>
      <c r="J5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5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50" s="50">
        <f>IF(AND(CRC_War_Room_SIMs[[#This Row],[CI]] = 0, CRC_War_Room_SIMs[[#This Row],[Miss]] = 1), 1, 0)</f>
        <v>0</v>
      </c>
      <c r="N50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50" s="49">
        <f>IF(AND(CRC_War_Room_SIMs[[#This Row],[Excluded]] = 0, OR(CRC_War_Room_SIMs[[#This Row],[False Resolution Miss]] &lt;&gt; "", ISNUMBER(SEARCH("False Resolution", CRC_War_Room_SIMs[[#This Row],[Labels]])))), 1, 0)</f>
        <v>0</v>
      </c>
      <c r="P50" s="50">
        <f>IF(AND(CRC_War_Room_SIMs[[#This Row],[Excluded]] = 0, OR(CRC_War_Room_SIMs[[#This Row],[SLA Miss]] &lt;&gt; "", ISNUMBER(SEARCH("SLA", CRC_War_Room_SIMs[[#This Row],[Labels]])))), 1, 0)</f>
        <v>0</v>
      </c>
    </row>
    <row r="51" spans="1:16" x14ac:dyDescent="0.25">
      <c r="A51" t="s">
        <v>2515</v>
      </c>
      <c r="B51" t="s">
        <v>2451</v>
      </c>
      <c r="C51" t="s">
        <v>2452</v>
      </c>
      <c r="H5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51" s="49">
        <f ca="1">IFERROR(WEEKNUM(CRC_War_Room_SIMs[[#This Row],[Ops Date]]), "N/A")</f>
        <v>31</v>
      </c>
      <c r="J5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1" s="50">
        <f>IF(AND(CRC_War_Room_SIMs[[#This Row],[CI]] = 0, CRC_War_Room_SIMs[[#This Row],[Miss]] = 1), 1, 0)</f>
        <v>0</v>
      </c>
      <c r="N5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1" s="49">
        <f>IF(AND(CRC_War_Room_SIMs[[#This Row],[Excluded]] = 0, OR(CRC_War_Room_SIMs[[#This Row],[False Resolution Miss]] &lt;&gt; "", ISNUMBER(SEARCH("False Resolution", CRC_War_Room_SIMs[[#This Row],[Labels]])))), 1, 0)</f>
        <v>0</v>
      </c>
      <c r="P51" s="50">
        <f>IF(AND(CRC_War_Room_SIMs[[#This Row],[Excluded]] = 0, OR(CRC_War_Room_SIMs[[#This Row],[SLA Miss]] &lt;&gt; "", ISNUMBER(SEARCH("SLA", CRC_War_Room_SIMs[[#This Row],[Labels]])))), 1, 0)</f>
        <v>0</v>
      </c>
    </row>
    <row r="52" spans="1:16" x14ac:dyDescent="0.25">
      <c r="A52" t="s">
        <v>2516</v>
      </c>
      <c r="B52" t="s">
        <v>2451</v>
      </c>
      <c r="C52" t="s">
        <v>2462</v>
      </c>
      <c r="E52" t="s">
        <v>2463</v>
      </c>
      <c r="H5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52" s="49">
        <f ca="1">IFERROR(WEEKNUM(CRC_War_Room_SIMs[[#This Row],[Ops Date]]), "N/A")</f>
        <v>31</v>
      </c>
      <c r="J5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5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52" s="50">
        <f>IF(AND(CRC_War_Room_SIMs[[#This Row],[CI]] = 0, CRC_War_Room_SIMs[[#This Row],[Miss]] = 1), 1, 0)</f>
        <v>0</v>
      </c>
      <c r="N52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52" s="49">
        <f>IF(AND(CRC_War_Room_SIMs[[#This Row],[Excluded]] = 0, OR(CRC_War_Room_SIMs[[#This Row],[False Resolution Miss]] &lt;&gt; "", ISNUMBER(SEARCH("False Resolution", CRC_War_Room_SIMs[[#This Row],[Labels]])))), 1, 0)</f>
        <v>0</v>
      </c>
      <c r="P52" s="50">
        <f>IF(AND(CRC_War_Room_SIMs[[#This Row],[Excluded]] = 0, OR(CRC_War_Room_SIMs[[#This Row],[SLA Miss]] &lt;&gt; "", ISNUMBER(SEARCH("SLA", CRC_War_Room_SIMs[[#This Row],[Labels]])))), 1, 0)</f>
        <v>0</v>
      </c>
    </row>
    <row r="53" spans="1:16" x14ac:dyDescent="0.25">
      <c r="A53" t="s">
        <v>2517</v>
      </c>
      <c r="B53" t="s">
        <v>2451</v>
      </c>
      <c r="C53" t="s">
        <v>2452</v>
      </c>
      <c r="H5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53" s="49">
        <f ca="1">IFERROR(WEEKNUM(CRC_War_Room_SIMs[[#This Row],[Ops Date]]), "N/A")</f>
        <v>31</v>
      </c>
      <c r="J5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3" s="50">
        <f>IF(AND(CRC_War_Room_SIMs[[#This Row],[CI]] = 0, CRC_War_Room_SIMs[[#This Row],[Miss]] = 1), 1, 0)</f>
        <v>0</v>
      </c>
      <c r="N5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3" s="49">
        <f>IF(AND(CRC_War_Room_SIMs[[#This Row],[Excluded]] = 0, OR(CRC_War_Room_SIMs[[#This Row],[False Resolution Miss]] &lt;&gt; "", ISNUMBER(SEARCH("False Resolution", CRC_War_Room_SIMs[[#This Row],[Labels]])))), 1, 0)</f>
        <v>0</v>
      </c>
      <c r="P53" s="50">
        <f>IF(AND(CRC_War_Room_SIMs[[#This Row],[Excluded]] = 0, OR(CRC_War_Room_SIMs[[#This Row],[SLA Miss]] &lt;&gt; "", ISNUMBER(SEARCH("SLA", CRC_War_Room_SIMs[[#This Row],[Labels]])))), 1, 0)</f>
        <v>0</v>
      </c>
    </row>
    <row r="54" spans="1:16" x14ac:dyDescent="0.25">
      <c r="A54" t="s">
        <v>2518</v>
      </c>
      <c r="B54" t="s">
        <v>2451</v>
      </c>
      <c r="C54" t="s">
        <v>2452</v>
      </c>
      <c r="H5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45505</v>
      </c>
      <c r="I54" s="49">
        <f ca="1">IFERROR(WEEKNUM(CRC_War_Room_SIMs[[#This Row],[Ops Date]]), "N/A")</f>
        <v>31</v>
      </c>
      <c r="J5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4" s="50">
        <f>IF(AND(CRC_War_Room_SIMs[[#This Row],[CI]] = 0, CRC_War_Room_SIMs[[#This Row],[Miss]] = 1), 1, 0)</f>
        <v>0</v>
      </c>
      <c r="N5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4" s="49">
        <f>IF(AND(CRC_War_Room_SIMs[[#This Row],[Excluded]] = 0, OR(CRC_War_Room_SIMs[[#This Row],[False Resolution Miss]] &lt;&gt; "", ISNUMBER(SEARCH("False Resolution", CRC_War_Room_SIMs[[#This Row],[Labels]])))), 1, 0)</f>
        <v>0</v>
      </c>
      <c r="P54" s="50">
        <f>IF(AND(CRC_War_Room_SIMs[[#This Row],[Excluded]] = 0, OR(CRC_War_Room_SIMs[[#This Row],[SLA Miss]] &lt;&gt; "", ISNUMBER(SEARCH("SLA", CRC_War_Room_SIMs[[#This Row],[Labels]])))), 1, 0)</f>
        <v>0</v>
      </c>
    </row>
    <row r="55" spans="1:16" x14ac:dyDescent="0.25">
      <c r="A55" t="s">
        <v>2519</v>
      </c>
      <c r="B55" t="s">
        <v>2520</v>
      </c>
      <c r="C55" t="s">
        <v>2521</v>
      </c>
      <c r="H5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55" s="49">
        <f ca="1">IFERROR(WEEKNUM(CRC_War_Room_SIMs[[#This Row],[Ops Date]]), "N/A")</f>
        <v>31</v>
      </c>
      <c r="J5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5" s="50">
        <f>IF(AND(CRC_War_Room_SIMs[[#This Row],[CI]] = 0, CRC_War_Room_SIMs[[#This Row],[Miss]] = 1), 1, 0)</f>
        <v>0</v>
      </c>
      <c r="N5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5" s="49">
        <f>IF(AND(CRC_War_Room_SIMs[[#This Row],[Excluded]] = 0, OR(CRC_War_Room_SIMs[[#This Row],[False Resolution Miss]] &lt;&gt; "", ISNUMBER(SEARCH("False Resolution", CRC_War_Room_SIMs[[#This Row],[Labels]])))), 1, 0)</f>
        <v>0</v>
      </c>
      <c r="P55" s="50">
        <f>IF(AND(CRC_War_Room_SIMs[[#This Row],[Excluded]] = 0, OR(CRC_War_Room_SIMs[[#This Row],[SLA Miss]] &lt;&gt; "", ISNUMBER(SEARCH("SLA", CRC_War_Room_SIMs[[#This Row],[Labels]])))), 1, 0)</f>
        <v>0</v>
      </c>
    </row>
    <row r="56" spans="1:16" x14ac:dyDescent="0.25">
      <c r="A56" t="s">
        <v>2522</v>
      </c>
      <c r="B56" t="s">
        <v>2523</v>
      </c>
      <c r="C56" t="s">
        <v>2524</v>
      </c>
      <c r="E56" t="s">
        <v>2473</v>
      </c>
      <c r="H5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56" s="49">
        <f ca="1">IFERROR(WEEKNUM(CRC_War_Room_SIMs[[#This Row],[Ops Date]]), "N/A")</f>
        <v>31</v>
      </c>
      <c r="J5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5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56" s="50">
        <f>IF(AND(CRC_War_Room_SIMs[[#This Row],[CI]] = 0, CRC_War_Room_SIMs[[#This Row],[Miss]] = 1), 1, 0)</f>
        <v>0</v>
      </c>
      <c r="N56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56" s="49">
        <f>IF(AND(CRC_War_Room_SIMs[[#This Row],[Excluded]] = 0, OR(CRC_War_Room_SIMs[[#This Row],[False Resolution Miss]] &lt;&gt; "", ISNUMBER(SEARCH("False Resolution", CRC_War_Room_SIMs[[#This Row],[Labels]])))), 1, 0)</f>
        <v>0</v>
      </c>
      <c r="P56" s="50">
        <f>IF(AND(CRC_War_Room_SIMs[[#This Row],[Excluded]] = 0, OR(CRC_War_Room_SIMs[[#This Row],[SLA Miss]] &lt;&gt; "", ISNUMBER(SEARCH("SLA", CRC_War_Room_SIMs[[#This Row],[Labels]])))), 1, 0)</f>
        <v>0</v>
      </c>
    </row>
    <row r="57" spans="1:16" x14ac:dyDescent="0.25">
      <c r="A57" t="s">
        <v>2525</v>
      </c>
      <c r="B57" t="s">
        <v>2526</v>
      </c>
      <c r="C57" t="s">
        <v>2521</v>
      </c>
      <c r="H5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57" s="49">
        <f ca="1">IFERROR(WEEKNUM(CRC_War_Room_SIMs[[#This Row],[Ops Date]]), "N/A")</f>
        <v>31</v>
      </c>
      <c r="J5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7" s="50">
        <f>IF(AND(CRC_War_Room_SIMs[[#This Row],[CI]] = 0, CRC_War_Room_SIMs[[#This Row],[Miss]] = 1), 1, 0)</f>
        <v>0</v>
      </c>
      <c r="N5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7" s="49">
        <f>IF(AND(CRC_War_Room_SIMs[[#This Row],[Excluded]] = 0, OR(CRC_War_Room_SIMs[[#This Row],[False Resolution Miss]] &lt;&gt; "", ISNUMBER(SEARCH("False Resolution", CRC_War_Room_SIMs[[#This Row],[Labels]])))), 1, 0)</f>
        <v>0</v>
      </c>
      <c r="P57" s="50">
        <f>IF(AND(CRC_War_Room_SIMs[[#This Row],[Excluded]] = 0, OR(CRC_War_Room_SIMs[[#This Row],[SLA Miss]] &lt;&gt; "", ISNUMBER(SEARCH("SLA", CRC_War_Room_SIMs[[#This Row],[Labels]])))), 1, 0)</f>
        <v>0</v>
      </c>
    </row>
    <row r="58" spans="1:16" x14ac:dyDescent="0.25">
      <c r="A58" t="s">
        <v>2527</v>
      </c>
      <c r="B58" t="s">
        <v>2528</v>
      </c>
      <c r="C58" t="s">
        <v>2521</v>
      </c>
      <c r="H5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58" s="49">
        <f ca="1">IFERROR(WEEKNUM(CRC_War_Room_SIMs[[#This Row],[Ops Date]]), "N/A")</f>
        <v>31</v>
      </c>
      <c r="J5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8" s="50">
        <f>IF(AND(CRC_War_Room_SIMs[[#This Row],[CI]] = 0, CRC_War_Room_SIMs[[#This Row],[Miss]] = 1), 1, 0)</f>
        <v>0</v>
      </c>
      <c r="N5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8" s="49">
        <f>IF(AND(CRC_War_Room_SIMs[[#This Row],[Excluded]] = 0, OR(CRC_War_Room_SIMs[[#This Row],[False Resolution Miss]] &lt;&gt; "", ISNUMBER(SEARCH("False Resolution", CRC_War_Room_SIMs[[#This Row],[Labels]])))), 1, 0)</f>
        <v>0</v>
      </c>
      <c r="P58" s="50">
        <f>IF(AND(CRC_War_Room_SIMs[[#This Row],[Excluded]] = 0, OR(CRC_War_Room_SIMs[[#This Row],[SLA Miss]] &lt;&gt; "", ISNUMBER(SEARCH("SLA", CRC_War_Room_SIMs[[#This Row],[Labels]])))), 1, 0)</f>
        <v>0</v>
      </c>
    </row>
    <row r="59" spans="1:16" x14ac:dyDescent="0.25">
      <c r="A59" t="s">
        <v>2529</v>
      </c>
      <c r="B59" t="s">
        <v>2523</v>
      </c>
      <c r="C59" t="s">
        <v>2521</v>
      </c>
      <c r="H5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59" s="49">
        <f ca="1">IFERROR(WEEKNUM(CRC_War_Room_SIMs[[#This Row],[Ops Date]]), "N/A")</f>
        <v>31</v>
      </c>
      <c r="J5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9" s="50">
        <f>IF(AND(CRC_War_Room_SIMs[[#This Row],[CI]] = 0, CRC_War_Room_SIMs[[#This Row],[Miss]] = 1), 1, 0)</f>
        <v>0</v>
      </c>
      <c r="N5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9" s="49">
        <f>IF(AND(CRC_War_Room_SIMs[[#This Row],[Excluded]] = 0, OR(CRC_War_Room_SIMs[[#This Row],[False Resolution Miss]] &lt;&gt; "", ISNUMBER(SEARCH("False Resolution", CRC_War_Room_SIMs[[#This Row],[Labels]])))), 1, 0)</f>
        <v>0</v>
      </c>
      <c r="P59" s="50">
        <f>IF(AND(CRC_War_Room_SIMs[[#This Row],[Excluded]] = 0, OR(CRC_War_Room_SIMs[[#This Row],[SLA Miss]] &lt;&gt; "", ISNUMBER(SEARCH("SLA", CRC_War_Room_SIMs[[#This Row],[Labels]])))), 1, 0)</f>
        <v>0</v>
      </c>
    </row>
    <row r="60" spans="1:16" x14ac:dyDescent="0.25">
      <c r="A60" t="s">
        <v>2530</v>
      </c>
      <c r="B60" t="s">
        <v>2528</v>
      </c>
      <c r="C60" t="s">
        <v>2521</v>
      </c>
      <c r="H6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60" s="49">
        <f ca="1">IFERROR(WEEKNUM(CRC_War_Room_SIMs[[#This Row],[Ops Date]]), "N/A")</f>
        <v>31</v>
      </c>
      <c r="J6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0" s="50">
        <f>IF(AND(CRC_War_Room_SIMs[[#This Row],[CI]] = 0, CRC_War_Room_SIMs[[#This Row],[Miss]] = 1), 1, 0)</f>
        <v>0</v>
      </c>
      <c r="N6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0" s="49">
        <f>IF(AND(CRC_War_Room_SIMs[[#This Row],[Excluded]] = 0, OR(CRC_War_Room_SIMs[[#This Row],[False Resolution Miss]] &lt;&gt; "", ISNUMBER(SEARCH("False Resolution", CRC_War_Room_SIMs[[#This Row],[Labels]])))), 1, 0)</f>
        <v>0</v>
      </c>
      <c r="P60" s="50">
        <f>IF(AND(CRC_War_Room_SIMs[[#This Row],[Excluded]] = 0, OR(CRC_War_Room_SIMs[[#This Row],[SLA Miss]] &lt;&gt; "", ISNUMBER(SEARCH("SLA", CRC_War_Room_SIMs[[#This Row],[Labels]])))), 1, 0)</f>
        <v>0</v>
      </c>
    </row>
    <row r="61" spans="1:16" x14ac:dyDescent="0.25">
      <c r="A61" t="s">
        <v>2531</v>
      </c>
      <c r="B61" t="s">
        <v>2520</v>
      </c>
      <c r="C61" t="s">
        <v>2521</v>
      </c>
      <c r="H6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61" s="49">
        <f ca="1">IFERROR(WEEKNUM(CRC_War_Room_SIMs[[#This Row],[Ops Date]]), "N/A")</f>
        <v>31</v>
      </c>
      <c r="J6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1" s="50">
        <f>IF(AND(CRC_War_Room_SIMs[[#This Row],[CI]] = 0, CRC_War_Room_SIMs[[#This Row],[Miss]] = 1), 1, 0)</f>
        <v>0</v>
      </c>
      <c r="N6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1" s="49">
        <f>IF(AND(CRC_War_Room_SIMs[[#This Row],[Excluded]] = 0, OR(CRC_War_Room_SIMs[[#This Row],[False Resolution Miss]] &lt;&gt; "", ISNUMBER(SEARCH("False Resolution", CRC_War_Room_SIMs[[#This Row],[Labels]])))), 1, 0)</f>
        <v>0</v>
      </c>
      <c r="P61" s="50">
        <f>IF(AND(CRC_War_Room_SIMs[[#This Row],[Excluded]] = 0, OR(CRC_War_Room_SIMs[[#This Row],[SLA Miss]] &lt;&gt; "", ISNUMBER(SEARCH("SLA", CRC_War_Room_SIMs[[#This Row],[Labels]])))), 1, 0)</f>
        <v>0</v>
      </c>
    </row>
    <row r="62" spans="1:16" x14ac:dyDescent="0.25">
      <c r="A62" t="s">
        <v>2532</v>
      </c>
      <c r="B62" t="s">
        <v>2520</v>
      </c>
      <c r="C62" t="s">
        <v>2521</v>
      </c>
      <c r="H6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62" s="49">
        <f ca="1">IFERROR(WEEKNUM(CRC_War_Room_SIMs[[#This Row],[Ops Date]]), "N/A")</f>
        <v>31</v>
      </c>
      <c r="J6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2" s="50">
        <f>IF(AND(CRC_War_Room_SIMs[[#This Row],[CI]] = 0, CRC_War_Room_SIMs[[#This Row],[Miss]] = 1), 1, 0)</f>
        <v>0</v>
      </c>
      <c r="N6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2" s="49">
        <f>IF(AND(CRC_War_Room_SIMs[[#This Row],[Excluded]] = 0, OR(CRC_War_Room_SIMs[[#This Row],[False Resolution Miss]] &lt;&gt; "", ISNUMBER(SEARCH("False Resolution", CRC_War_Room_SIMs[[#This Row],[Labels]])))), 1, 0)</f>
        <v>0</v>
      </c>
      <c r="P62" s="50">
        <f>IF(AND(CRC_War_Room_SIMs[[#This Row],[Excluded]] = 0, OR(CRC_War_Room_SIMs[[#This Row],[SLA Miss]] &lt;&gt; "", ISNUMBER(SEARCH("SLA", CRC_War_Room_SIMs[[#This Row],[Labels]])))), 1, 0)</f>
        <v>0</v>
      </c>
    </row>
    <row r="63" spans="1:16" x14ac:dyDescent="0.25">
      <c r="A63" t="s">
        <v>2533</v>
      </c>
      <c r="B63" t="s">
        <v>2528</v>
      </c>
      <c r="C63" t="s">
        <v>2521</v>
      </c>
      <c r="H6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63" s="49">
        <f ca="1">IFERROR(WEEKNUM(CRC_War_Room_SIMs[[#This Row],[Ops Date]]), "N/A")</f>
        <v>31</v>
      </c>
      <c r="J6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3" s="50">
        <f>IF(AND(CRC_War_Room_SIMs[[#This Row],[CI]] = 0, CRC_War_Room_SIMs[[#This Row],[Miss]] = 1), 1, 0)</f>
        <v>0</v>
      </c>
      <c r="N6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3" s="49">
        <f>IF(AND(CRC_War_Room_SIMs[[#This Row],[Excluded]] = 0, OR(CRC_War_Room_SIMs[[#This Row],[False Resolution Miss]] &lt;&gt; "", ISNUMBER(SEARCH("False Resolution", CRC_War_Room_SIMs[[#This Row],[Labels]])))), 1, 0)</f>
        <v>0</v>
      </c>
      <c r="P63" s="50">
        <f>IF(AND(CRC_War_Room_SIMs[[#This Row],[Excluded]] = 0, OR(CRC_War_Room_SIMs[[#This Row],[SLA Miss]] &lt;&gt; "", ISNUMBER(SEARCH("SLA", CRC_War_Room_SIMs[[#This Row],[Labels]])))), 1, 0)</f>
        <v>0</v>
      </c>
    </row>
    <row r="64" spans="1:16" x14ac:dyDescent="0.25">
      <c r="A64" t="s">
        <v>2534</v>
      </c>
      <c r="B64" t="s">
        <v>2523</v>
      </c>
      <c r="C64" t="s">
        <v>2521</v>
      </c>
      <c r="H6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64" s="49">
        <f ca="1">IFERROR(WEEKNUM(CRC_War_Room_SIMs[[#This Row],[Ops Date]]), "N/A")</f>
        <v>31</v>
      </c>
      <c r="J6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4" s="50">
        <f>IF(AND(CRC_War_Room_SIMs[[#This Row],[CI]] = 0, CRC_War_Room_SIMs[[#This Row],[Miss]] = 1), 1, 0)</f>
        <v>0</v>
      </c>
      <c r="N6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4" s="49">
        <f>IF(AND(CRC_War_Room_SIMs[[#This Row],[Excluded]] = 0, OR(CRC_War_Room_SIMs[[#This Row],[False Resolution Miss]] &lt;&gt; "", ISNUMBER(SEARCH("False Resolution", CRC_War_Room_SIMs[[#This Row],[Labels]])))), 1, 0)</f>
        <v>0</v>
      </c>
      <c r="P64" s="50">
        <f>IF(AND(CRC_War_Room_SIMs[[#This Row],[Excluded]] = 0, OR(CRC_War_Room_SIMs[[#This Row],[SLA Miss]] &lt;&gt; "", ISNUMBER(SEARCH("SLA", CRC_War_Room_SIMs[[#This Row],[Labels]])))), 1, 0)</f>
        <v>0</v>
      </c>
    </row>
    <row r="65" spans="1:16" x14ac:dyDescent="0.25">
      <c r="A65" t="s">
        <v>2535</v>
      </c>
      <c r="B65" t="s">
        <v>2520</v>
      </c>
      <c r="C65" t="s">
        <v>2521</v>
      </c>
      <c r="H6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65" s="49">
        <f ca="1">IFERROR(WEEKNUM(CRC_War_Room_SIMs[[#This Row],[Ops Date]]), "N/A")</f>
        <v>31</v>
      </c>
      <c r="J6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5" s="50">
        <f>IF(AND(CRC_War_Room_SIMs[[#This Row],[CI]] = 0, CRC_War_Room_SIMs[[#This Row],[Miss]] = 1), 1, 0)</f>
        <v>0</v>
      </c>
      <c r="N6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5" s="49">
        <f>IF(AND(CRC_War_Room_SIMs[[#This Row],[Excluded]] = 0, OR(CRC_War_Room_SIMs[[#This Row],[False Resolution Miss]] &lt;&gt; "", ISNUMBER(SEARCH("False Resolution", CRC_War_Room_SIMs[[#This Row],[Labels]])))), 1, 0)</f>
        <v>0</v>
      </c>
      <c r="P65" s="50">
        <f>IF(AND(CRC_War_Room_SIMs[[#This Row],[Excluded]] = 0, OR(CRC_War_Room_SIMs[[#This Row],[SLA Miss]] &lt;&gt; "", ISNUMBER(SEARCH("SLA", CRC_War_Room_SIMs[[#This Row],[Labels]])))), 1, 0)</f>
        <v>0</v>
      </c>
    </row>
    <row r="66" spans="1:16" x14ac:dyDescent="0.25">
      <c r="A66" t="s">
        <v>2536</v>
      </c>
      <c r="B66" t="s">
        <v>2520</v>
      </c>
      <c r="C66" t="s">
        <v>2521</v>
      </c>
      <c r="H6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66" s="49">
        <f ca="1">IFERROR(WEEKNUM(CRC_War_Room_SIMs[[#This Row],[Ops Date]]), "N/A")</f>
        <v>31</v>
      </c>
      <c r="J6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6" s="50">
        <f>IF(AND(CRC_War_Room_SIMs[[#This Row],[CI]] = 0, CRC_War_Room_SIMs[[#This Row],[Miss]] = 1), 1, 0)</f>
        <v>0</v>
      </c>
      <c r="N6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6" s="49">
        <f>IF(AND(CRC_War_Room_SIMs[[#This Row],[Excluded]] = 0, OR(CRC_War_Room_SIMs[[#This Row],[False Resolution Miss]] &lt;&gt; "", ISNUMBER(SEARCH("False Resolution", CRC_War_Room_SIMs[[#This Row],[Labels]])))), 1, 0)</f>
        <v>0</v>
      </c>
      <c r="P66" s="50">
        <f>IF(AND(CRC_War_Room_SIMs[[#This Row],[Excluded]] = 0, OR(CRC_War_Room_SIMs[[#This Row],[SLA Miss]] &lt;&gt; "", ISNUMBER(SEARCH("SLA", CRC_War_Room_SIMs[[#This Row],[Labels]])))), 1, 0)</f>
        <v>0</v>
      </c>
    </row>
    <row r="67" spans="1:16" x14ac:dyDescent="0.25">
      <c r="A67" t="s">
        <v>2537</v>
      </c>
      <c r="B67" t="s">
        <v>2523</v>
      </c>
      <c r="C67" t="s">
        <v>2521</v>
      </c>
      <c r="H6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67" s="49">
        <f ca="1">IFERROR(WEEKNUM(CRC_War_Room_SIMs[[#This Row],[Ops Date]]), "N/A")</f>
        <v>31</v>
      </c>
      <c r="J6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7" s="50">
        <f>IF(AND(CRC_War_Room_SIMs[[#This Row],[CI]] = 0, CRC_War_Room_SIMs[[#This Row],[Miss]] = 1), 1, 0)</f>
        <v>0</v>
      </c>
      <c r="N6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7" s="49">
        <f>IF(AND(CRC_War_Room_SIMs[[#This Row],[Excluded]] = 0, OR(CRC_War_Room_SIMs[[#This Row],[False Resolution Miss]] &lt;&gt; "", ISNUMBER(SEARCH("False Resolution", CRC_War_Room_SIMs[[#This Row],[Labels]])))), 1, 0)</f>
        <v>0</v>
      </c>
      <c r="P67" s="50">
        <f>IF(AND(CRC_War_Room_SIMs[[#This Row],[Excluded]] = 0, OR(CRC_War_Room_SIMs[[#This Row],[SLA Miss]] &lt;&gt; "", ISNUMBER(SEARCH("SLA", CRC_War_Room_SIMs[[#This Row],[Labels]])))), 1, 0)</f>
        <v>0</v>
      </c>
    </row>
    <row r="68" spans="1:16" x14ac:dyDescent="0.25">
      <c r="A68" t="s">
        <v>2538</v>
      </c>
      <c r="B68" t="s">
        <v>2523</v>
      </c>
      <c r="C68" t="s">
        <v>2521</v>
      </c>
      <c r="H6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68" s="49">
        <f ca="1">IFERROR(WEEKNUM(CRC_War_Room_SIMs[[#This Row],[Ops Date]]), "N/A")</f>
        <v>31</v>
      </c>
      <c r="J6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8" s="50">
        <f>IF(AND(CRC_War_Room_SIMs[[#This Row],[CI]] = 0, CRC_War_Room_SIMs[[#This Row],[Miss]] = 1), 1, 0)</f>
        <v>0</v>
      </c>
      <c r="N6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8" s="49">
        <f>IF(AND(CRC_War_Room_SIMs[[#This Row],[Excluded]] = 0, OR(CRC_War_Room_SIMs[[#This Row],[False Resolution Miss]] &lt;&gt; "", ISNUMBER(SEARCH("False Resolution", CRC_War_Room_SIMs[[#This Row],[Labels]])))), 1, 0)</f>
        <v>0</v>
      </c>
      <c r="P68" s="50">
        <f>IF(AND(CRC_War_Room_SIMs[[#This Row],[Excluded]] = 0, OR(CRC_War_Room_SIMs[[#This Row],[SLA Miss]] &lt;&gt; "", ISNUMBER(SEARCH("SLA", CRC_War_Room_SIMs[[#This Row],[Labels]])))), 1, 0)</f>
        <v>0</v>
      </c>
    </row>
    <row r="69" spans="1:16" x14ac:dyDescent="0.25">
      <c r="A69" t="s">
        <v>2539</v>
      </c>
      <c r="B69" t="s">
        <v>2528</v>
      </c>
      <c r="C69" t="s">
        <v>2521</v>
      </c>
      <c r="H6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69" s="49">
        <f ca="1">IFERROR(WEEKNUM(CRC_War_Room_SIMs[[#This Row],[Ops Date]]), "N/A")</f>
        <v>31</v>
      </c>
      <c r="J6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9" s="50">
        <f>IF(AND(CRC_War_Room_SIMs[[#This Row],[CI]] = 0, CRC_War_Room_SIMs[[#This Row],[Miss]] = 1), 1, 0)</f>
        <v>0</v>
      </c>
      <c r="N6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9" s="49">
        <f>IF(AND(CRC_War_Room_SIMs[[#This Row],[Excluded]] = 0, OR(CRC_War_Room_SIMs[[#This Row],[False Resolution Miss]] &lt;&gt; "", ISNUMBER(SEARCH("False Resolution", CRC_War_Room_SIMs[[#This Row],[Labels]])))), 1, 0)</f>
        <v>0</v>
      </c>
      <c r="P69" s="50">
        <f>IF(AND(CRC_War_Room_SIMs[[#This Row],[Excluded]] = 0, OR(CRC_War_Room_SIMs[[#This Row],[SLA Miss]] &lt;&gt; "", ISNUMBER(SEARCH("SLA", CRC_War_Room_SIMs[[#This Row],[Labels]])))), 1, 0)</f>
        <v>0</v>
      </c>
    </row>
    <row r="70" spans="1:16" x14ac:dyDescent="0.25">
      <c r="A70" t="s">
        <v>2540</v>
      </c>
      <c r="B70" t="s">
        <v>2528</v>
      </c>
      <c r="C70" t="s">
        <v>2524</v>
      </c>
      <c r="E70" t="s">
        <v>2490</v>
      </c>
      <c r="H7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70" s="49">
        <f ca="1">IFERROR(WEEKNUM(CRC_War_Room_SIMs[[#This Row],[Ops Date]]), "N/A")</f>
        <v>31</v>
      </c>
      <c r="J7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7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70" s="50">
        <f>IF(AND(CRC_War_Room_SIMs[[#This Row],[CI]] = 0, CRC_War_Room_SIMs[[#This Row],[Miss]] = 1), 1, 0)</f>
        <v>0</v>
      </c>
      <c r="N70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70" s="49">
        <f>IF(AND(CRC_War_Room_SIMs[[#This Row],[Excluded]] = 0, OR(CRC_War_Room_SIMs[[#This Row],[False Resolution Miss]] &lt;&gt; "", ISNUMBER(SEARCH("False Resolution", CRC_War_Room_SIMs[[#This Row],[Labels]])))), 1, 0)</f>
        <v>0</v>
      </c>
      <c r="P70" s="50">
        <f>IF(AND(CRC_War_Room_SIMs[[#This Row],[Excluded]] = 0, OR(CRC_War_Room_SIMs[[#This Row],[SLA Miss]] &lt;&gt; "", ISNUMBER(SEARCH("SLA", CRC_War_Room_SIMs[[#This Row],[Labels]])))), 1, 0)</f>
        <v>0</v>
      </c>
    </row>
    <row r="71" spans="1:16" x14ac:dyDescent="0.25">
      <c r="A71" t="s">
        <v>2541</v>
      </c>
      <c r="B71" t="s">
        <v>2526</v>
      </c>
      <c r="C71" t="s">
        <v>2521</v>
      </c>
      <c r="H7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71" s="49">
        <f ca="1">IFERROR(WEEKNUM(CRC_War_Room_SIMs[[#This Row],[Ops Date]]), "N/A")</f>
        <v>31</v>
      </c>
      <c r="J7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1" s="50">
        <f>IF(AND(CRC_War_Room_SIMs[[#This Row],[CI]] = 0, CRC_War_Room_SIMs[[#This Row],[Miss]] = 1), 1, 0)</f>
        <v>0</v>
      </c>
      <c r="N7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1" s="49">
        <f>IF(AND(CRC_War_Room_SIMs[[#This Row],[Excluded]] = 0, OR(CRC_War_Room_SIMs[[#This Row],[False Resolution Miss]] &lt;&gt; "", ISNUMBER(SEARCH("False Resolution", CRC_War_Room_SIMs[[#This Row],[Labels]])))), 1, 0)</f>
        <v>0</v>
      </c>
      <c r="P71" s="50">
        <f>IF(AND(CRC_War_Room_SIMs[[#This Row],[Excluded]] = 0, OR(CRC_War_Room_SIMs[[#This Row],[SLA Miss]] &lt;&gt; "", ISNUMBER(SEARCH("SLA", CRC_War_Room_SIMs[[#This Row],[Labels]])))), 1, 0)</f>
        <v>0</v>
      </c>
    </row>
    <row r="72" spans="1:16" x14ac:dyDescent="0.25">
      <c r="A72" t="s">
        <v>2542</v>
      </c>
      <c r="B72" t="s">
        <v>2526</v>
      </c>
      <c r="C72" t="s">
        <v>2521</v>
      </c>
      <c r="H7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72" s="49">
        <f ca="1">IFERROR(WEEKNUM(CRC_War_Room_SIMs[[#This Row],[Ops Date]]), "N/A")</f>
        <v>31</v>
      </c>
      <c r="J7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2" s="50">
        <f>IF(AND(CRC_War_Room_SIMs[[#This Row],[CI]] = 0, CRC_War_Room_SIMs[[#This Row],[Miss]] = 1), 1, 0)</f>
        <v>0</v>
      </c>
      <c r="N7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2" s="49">
        <f>IF(AND(CRC_War_Room_SIMs[[#This Row],[Excluded]] = 0, OR(CRC_War_Room_SIMs[[#This Row],[False Resolution Miss]] &lt;&gt; "", ISNUMBER(SEARCH("False Resolution", CRC_War_Room_SIMs[[#This Row],[Labels]])))), 1, 0)</f>
        <v>0</v>
      </c>
      <c r="P72" s="50">
        <f>IF(AND(CRC_War_Room_SIMs[[#This Row],[Excluded]] = 0, OR(CRC_War_Room_SIMs[[#This Row],[SLA Miss]] &lt;&gt; "", ISNUMBER(SEARCH("SLA", CRC_War_Room_SIMs[[#This Row],[Labels]])))), 1, 0)</f>
        <v>0</v>
      </c>
    </row>
    <row r="73" spans="1:16" x14ac:dyDescent="0.25">
      <c r="A73" t="s">
        <v>2543</v>
      </c>
      <c r="B73" t="s">
        <v>2526</v>
      </c>
      <c r="C73" t="s">
        <v>2521</v>
      </c>
      <c r="H7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73" s="49">
        <f ca="1">IFERROR(WEEKNUM(CRC_War_Room_SIMs[[#This Row],[Ops Date]]), "N/A")</f>
        <v>31</v>
      </c>
      <c r="J7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3" s="50">
        <f>IF(AND(CRC_War_Room_SIMs[[#This Row],[CI]] = 0, CRC_War_Room_SIMs[[#This Row],[Miss]] = 1), 1, 0)</f>
        <v>0</v>
      </c>
      <c r="N7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3" s="49">
        <f>IF(AND(CRC_War_Room_SIMs[[#This Row],[Excluded]] = 0, OR(CRC_War_Room_SIMs[[#This Row],[False Resolution Miss]] &lt;&gt; "", ISNUMBER(SEARCH("False Resolution", CRC_War_Room_SIMs[[#This Row],[Labels]])))), 1, 0)</f>
        <v>0</v>
      </c>
      <c r="P73" s="50">
        <f>IF(AND(CRC_War_Room_SIMs[[#This Row],[Excluded]] = 0, OR(CRC_War_Room_SIMs[[#This Row],[SLA Miss]] &lt;&gt; "", ISNUMBER(SEARCH("SLA", CRC_War_Room_SIMs[[#This Row],[Labels]])))), 1, 0)</f>
        <v>0</v>
      </c>
    </row>
    <row r="74" spans="1:16" x14ac:dyDescent="0.25">
      <c r="A74" t="s">
        <v>2544</v>
      </c>
      <c r="B74" t="s">
        <v>2526</v>
      </c>
      <c r="C74" t="s">
        <v>2521</v>
      </c>
      <c r="H7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74" s="49">
        <f ca="1">IFERROR(WEEKNUM(CRC_War_Room_SIMs[[#This Row],[Ops Date]]), "N/A")</f>
        <v>31</v>
      </c>
      <c r="J7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4" s="50">
        <f>IF(AND(CRC_War_Room_SIMs[[#This Row],[CI]] = 0, CRC_War_Room_SIMs[[#This Row],[Miss]] = 1), 1, 0)</f>
        <v>0</v>
      </c>
      <c r="N7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4" s="49">
        <f>IF(AND(CRC_War_Room_SIMs[[#This Row],[Excluded]] = 0, OR(CRC_War_Room_SIMs[[#This Row],[False Resolution Miss]] &lt;&gt; "", ISNUMBER(SEARCH("False Resolution", CRC_War_Room_SIMs[[#This Row],[Labels]])))), 1, 0)</f>
        <v>0</v>
      </c>
      <c r="P74" s="50">
        <f>IF(AND(CRC_War_Room_SIMs[[#This Row],[Excluded]] = 0, OR(CRC_War_Room_SIMs[[#This Row],[SLA Miss]] &lt;&gt; "", ISNUMBER(SEARCH("SLA", CRC_War_Room_SIMs[[#This Row],[Labels]])))), 1, 0)</f>
        <v>0</v>
      </c>
    </row>
    <row r="75" spans="1:16" x14ac:dyDescent="0.25">
      <c r="A75" t="s">
        <v>2545</v>
      </c>
      <c r="B75" t="s">
        <v>2526</v>
      </c>
      <c r="C75" t="s">
        <v>2521</v>
      </c>
      <c r="H7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75" s="49">
        <f ca="1">IFERROR(WEEKNUM(CRC_War_Room_SIMs[[#This Row],[Ops Date]]), "N/A")</f>
        <v>31</v>
      </c>
      <c r="J7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5" s="50">
        <f>IF(AND(CRC_War_Room_SIMs[[#This Row],[CI]] = 0, CRC_War_Room_SIMs[[#This Row],[Miss]] = 1), 1, 0)</f>
        <v>0</v>
      </c>
      <c r="N7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5" s="49">
        <f>IF(AND(CRC_War_Room_SIMs[[#This Row],[Excluded]] = 0, OR(CRC_War_Room_SIMs[[#This Row],[False Resolution Miss]] &lt;&gt; "", ISNUMBER(SEARCH("False Resolution", CRC_War_Room_SIMs[[#This Row],[Labels]])))), 1, 0)</f>
        <v>0</v>
      </c>
      <c r="P75" s="50">
        <f>IF(AND(CRC_War_Room_SIMs[[#This Row],[Excluded]] = 0, OR(CRC_War_Room_SIMs[[#This Row],[SLA Miss]] &lt;&gt; "", ISNUMBER(SEARCH("SLA", CRC_War_Room_SIMs[[#This Row],[Labels]])))), 1, 0)</f>
        <v>0</v>
      </c>
    </row>
    <row r="76" spans="1:16" x14ac:dyDescent="0.25">
      <c r="A76" t="s">
        <v>2546</v>
      </c>
      <c r="B76" t="s">
        <v>2547</v>
      </c>
      <c r="C76" t="s">
        <v>2524</v>
      </c>
      <c r="E76" t="s">
        <v>2548</v>
      </c>
      <c r="H7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76" s="49">
        <f ca="1">IFERROR(WEEKNUM(CRC_War_Room_SIMs[[#This Row],[Ops Date]]), "N/A")</f>
        <v>31</v>
      </c>
      <c r="J7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7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76" s="50">
        <f>IF(AND(CRC_War_Room_SIMs[[#This Row],[CI]] = 0, CRC_War_Room_SIMs[[#This Row],[Miss]] = 1), 1, 0)</f>
        <v>0</v>
      </c>
      <c r="N76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76" s="49">
        <f>IF(AND(CRC_War_Room_SIMs[[#This Row],[Excluded]] = 0, OR(CRC_War_Room_SIMs[[#This Row],[False Resolution Miss]] &lt;&gt; "", ISNUMBER(SEARCH("False Resolution", CRC_War_Room_SIMs[[#This Row],[Labels]])))), 1, 0)</f>
        <v>0</v>
      </c>
      <c r="P76" s="50">
        <f>IF(AND(CRC_War_Room_SIMs[[#This Row],[Excluded]] = 0, OR(CRC_War_Room_SIMs[[#This Row],[SLA Miss]] &lt;&gt; "", ISNUMBER(SEARCH("SLA", CRC_War_Room_SIMs[[#This Row],[Labels]])))), 1, 0)</f>
        <v>0</v>
      </c>
    </row>
    <row r="77" spans="1:16" x14ac:dyDescent="0.25">
      <c r="A77" t="s">
        <v>2549</v>
      </c>
      <c r="B77" t="s">
        <v>2547</v>
      </c>
      <c r="C77" t="s">
        <v>2521</v>
      </c>
      <c r="H7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77" s="49">
        <f ca="1">IFERROR(WEEKNUM(CRC_War_Room_SIMs[[#This Row],[Ops Date]]), "N/A")</f>
        <v>31</v>
      </c>
      <c r="J7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7" s="50">
        <f>IF(AND(CRC_War_Room_SIMs[[#This Row],[CI]] = 0, CRC_War_Room_SIMs[[#This Row],[Miss]] = 1), 1, 0)</f>
        <v>0</v>
      </c>
      <c r="N7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7" s="49">
        <f>IF(AND(CRC_War_Room_SIMs[[#This Row],[Excluded]] = 0, OR(CRC_War_Room_SIMs[[#This Row],[False Resolution Miss]] &lt;&gt; "", ISNUMBER(SEARCH("False Resolution", CRC_War_Room_SIMs[[#This Row],[Labels]])))), 1, 0)</f>
        <v>0</v>
      </c>
      <c r="P77" s="50">
        <f>IF(AND(CRC_War_Room_SIMs[[#This Row],[Excluded]] = 0, OR(CRC_War_Room_SIMs[[#This Row],[SLA Miss]] &lt;&gt; "", ISNUMBER(SEARCH("SLA", CRC_War_Room_SIMs[[#This Row],[Labels]])))), 1, 0)</f>
        <v>0</v>
      </c>
    </row>
    <row r="78" spans="1:16" x14ac:dyDescent="0.25">
      <c r="A78" t="s">
        <v>2550</v>
      </c>
      <c r="B78" t="s">
        <v>2547</v>
      </c>
      <c r="C78" t="s">
        <v>2524</v>
      </c>
      <c r="E78" t="s">
        <v>2548</v>
      </c>
      <c r="H7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78" s="49">
        <f ca="1">IFERROR(WEEKNUM(CRC_War_Room_SIMs[[#This Row],[Ops Date]]), "N/A")</f>
        <v>31</v>
      </c>
      <c r="J7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7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78" s="50">
        <f>IF(AND(CRC_War_Room_SIMs[[#This Row],[CI]] = 0, CRC_War_Room_SIMs[[#This Row],[Miss]] = 1), 1, 0)</f>
        <v>0</v>
      </c>
      <c r="N78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78" s="49">
        <f>IF(AND(CRC_War_Room_SIMs[[#This Row],[Excluded]] = 0, OR(CRC_War_Room_SIMs[[#This Row],[False Resolution Miss]] &lt;&gt; "", ISNUMBER(SEARCH("False Resolution", CRC_War_Room_SIMs[[#This Row],[Labels]])))), 1, 0)</f>
        <v>0</v>
      </c>
      <c r="P78" s="50">
        <f>IF(AND(CRC_War_Room_SIMs[[#This Row],[Excluded]] = 0, OR(CRC_War_Room_SIMs[[#This Row],[SLA Miss]] &lt;&gt; "", ISNUMBER(SEARCH("SLA", CRC_War_Room_SIMs[[#This Row],[Labels]])))), 1, 0)</f>
        <v>0</v>
      </c>
    </row>
    <row r="79" spans="1:16" x14ac:dyDescent="0.25">
      <c r="A79" t="s">
        <v>2551</v>
      </c>
      <c r="B79" t="s">
        <v>2547</v>
      </c>
      <c r="C79" t="s">
        <v>2521</v>
      </c>
      <c r="H7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79" s="49">
        <f ca="1">IFERROR(WEEKNUM(CRC_War_Room_SIMs[[#This Row],[Ops Date]]), "N/A")</f>
        <v>31</v>
      </c>
      <c r="J7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9" s="50">
        <f>IF(AND(CRC_War_Room_SIMs[[#This Row],[CI]] = 0, CRC_War_Room_SIMs[[#This Row],[Miss]] = 1), 1, 0)</f>
        <v>0</v>
      </c>
      <c r="N7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9" s="49">
        <f>IF(AND(CRC_War_Room_SIMs[[#This Row],[Excluded]] = 0, OR(CRC_War_Room_SIMs[[#This Row],[False Resolution Miss]] &lt;&gt; "", ISNUMBER(SEARCH("False Resolution", CRC_War_Room_SIMs[[#This Row],[Labels]])))), 1, 0)</f>
        <v>0</v>
      </c>
      <c r="P79" s="50">
        <f>IF(AND(CRC_War_Room_SIMs[[#This Row],[Excluded]] = 0, OR(CRC_War_Room_SIMs[[#This Row],[SLA Miss]] &lt;&gt; "", ISNUMBER(SEARCH("SLA", CRC_War_Room_SIMs[[#This Row],[Labels]])))), 1, 0)</f>
        <v>0</v>
      </c>
    </row>
    <row r="80" spans="1:16" x14ac:dyDescent="0.25">
      <c r="A80" t="s">
        <v>2552</v>
      </c>
      <c r="B80" t="s">
        <v>2547</v>
      </c>
      <c r="C80" t="s">
        <v>2521</v>
      </c>
      <c r="H8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80" s="49">
        <f ca="1">IFERROR(WEEKNUM(CRC_War_Room_SIMs[[#This Row],[Ops Date]]), "N/A")</f>
        <v>31</v>
      </c>
      <c r="J8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0" s="50">
        <f>IF(AND(CRC_War_Room_SIMs[[#This Row],[CI]] = 0, CRC_War_Room_SIMs[[#This Row],[Miss]] = 1), 1, 0)</f>
        <v>0</v>
      </c>
      <c r="N8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0" s="49">
        <f>IF(AND(CRC_War_Room_SIMs[[#This Row],[Excluded]] = 0, OR(CRC_War_Room_SIMs[[#This Row],[False Resolution Miss]] &lt;&gt; "", ISNUMBER(SEARCH("False Resolution", CRC_War_Room_SIMs[[#This Row],[Labels]])))), 1, 0)</f>
        <v>0</v>
      </c>
      <c r="P80" s="50">
        <f>IF(AND(CRC_War_Room_SIMs[[#This Row],[Excluded]] = 0, OR(CRC_War_Room_SIMs[[#This Row],[SLA Miss]] &lt;&gt; "", ISNUMBER(SEARCH("SLA", CRC_War_Room_SIMs[[#This Row],[Labels]])))), 1, 0)</f>
        <v>0</v>
      </c>
    </row>
    <row r="81" spans="1:16" x14ac:dyDescent="0.25">
      <c r="A81" t="s">
        <v>2553</v>
      </c>
      <c r="B81" t="s">
        <v>2554</v>
      </c>
      <c r="C81" t="s">
        <v>2521</v>
      </c>
      <c r="H8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81" s="49">
        <f ca="1">IFERROR(WEEKNUM(CRC_War_Room_SIMs[[#This Row],[Ops Date]]), "N/A")</f>
        <v>31</v>
      </c>
      <c r="J8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1" s="50">
        <f>IF(AND(CRC_War_Room_SIMs[[#This Row],[CI]] = 0, CRC_War_Room_SIMs[[#This Row],[Miss]] = 1), 1, 0)</f>
        <v>0</v>
      </c>
      <c r="N8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1" s="49">
        <f>IF(AND(CRC_War_Room_SIMs[[#This Row],[Excluded]] = 0, OR(CRC_War_Room_SIMs[[#This Row],[False Resolution Miss]] &lt;&gt; "", ISNUMBER(SEARCH("False Resolution", CRC_War_Room_SIMs[[#This Row],[Labels]])))), 1, 0)</f>
        <v>0</v>
      </c>
      <c r="P81" s="50">
        <f>IF(AND(CRC_War_Room_SIMs[[#This Row],[Excluded]] = 0, OR(CRC_War_Room_SIMs[[#This Row],[SLA Miss]] &lt;&gt; "", ISNUMBER(SEARCH("SLA", CRC_War_Room_SIMs[[#This Row],[Labels]])))), 1, 0)</f>
        <v>0</v>
      </c>
    </row>
    <row r="82" spans="1:16" x14ac:dyDescent="0.25">
      <c r="A82" t="s">
        <v>2555</v>
      </c>
      <c r="B82" t="s">
        <v>2554</v>
      </c>
      <c r="C82" t="s">
        <v>2521</v>
      </c>
      <c r="H8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82" s="49">
        <f ca="1">IFERROR(WEEKNUM(CRC_War_Room_SIMs[[#This Row],[Ops Date]]), "N/A")</f>
        <v>31</v>
      </c>
      <c r="J8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2" s="50">
        <f>IF(AND(CRC_War_Room_SIMs[[#This Row],[CI]] = 0, CRC_War_Room_SIMs[[#This Row],[Miss]] = 1), 1, 0)</f>
        <v>0</v>
      </c>
      <c r="N8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2" s="49">
        <f>IF(AND(CRC_War_Room_SIMs[[#This Row],[Excluded]] = 0, OR(CRC_War_Room_SIMs[[#This Row],[False Resolution Miss]] &lt;&gt; "", ISNUMBER(SEARCH("False Resolution", CRC_War_Room_SIMs[[#This Row],[Labels]])))), 1, 0)</f>
        <v>0</v>
      </c>
      <c r="P82" s="50">
        <f>IF(AND(CRC_War_Room_SIMs[[#This Row],[Excluded]] = 0, OR(CRC_War_Room_SIMs[[#This Row],[SLA Miss]] &lt;&gt; "", ISNUMBER(SEARCH("SLA", CRC_War_Room_SIMs[[#This Row],[Labels]])))), 1, 0)</f>
        <v>0</v>
      </c>
    </row>
    <row r="83" spans="1:16" x14ac:dyDescent="0.25">
      <c r="A83" t="s">
        <v>2556</v>
      </c>
      <c r="B83" t="s">
        <v>2554</v>
      </c>
      <c r="C83" t="s">
        <v>2521</v>
      </c>
      <c r="H8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83" s="49">
        <f ca="1">IFERROR(WEEKNUM(CRC_War_Room_SIMs[[#This Row],[Ops Date]]), "N/A")</f>
        <v>31</v>
      </c>
      <c r="J8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3" s="50">
        <f>IF(AND(CRC_War_Room_SIMs[[#This Row],[CI]] = 0, CRC_War_Room_SIMs[[#This Row],[Miss]] = 1), 1, 0)</f>
        <v>0</v>
      </c>
      <c r="N8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3" s="49">
        <f>IF(AND(CRC_War_Room_SIMs[[#This Row],[Excluded]] = 0, OR(CRC_War_Room_SIMs[[#This Row],[False Resolution Miss]] &lt;&gt; "", ISNUMBER(SEARCH("False Resolution", CRC_War_Room_SIMs[[#This Row],[Labels]])))), 1, 0)</f>
        <v>0</v>
      </c>
      <c r="P83" s="50">
        <f>IF(AND(CRC_War_Room_SIMs[[#This Row],[Excluded]] = 0, OR(CRC_War_Room_SIMs[[#This Row],[SLA Miss]] &lt;&gt; "", ISNUMBER(SEARCH("SLA", CRC_War_Room_SIMs[[#This Row],[Labels]])))), 1, 0)</f>
        <v>0</v>
      </c>
    </row>
    <row r="84" spans="1:16" x14ac:dyDescent="0.25">
      <c r="A84" t="s">
        <v>2557</v>
      </c>
      <c r="B84" t="s">
        <v>2554</v>
      </c>
      <c r="C84" t="s">
        <v>2521</v>
      </c>
      <c r="H8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84" s="49">
        <f ca="1">IFERROR(WEEKNUM(CRC_War_Room_SIMs[[#This Row],[Ops Date]]), "N/A")</f>
        <v>31</v>
      </c>
      <c r="J8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4" s="50">
        <f>IF(AND(CRC_War_Room_SIMs[[#This Row],[CI]] = 0, CRC_War_Room_SIMs[[#This Row],[Miss]] = 1), 1, 0)</f>
        <v>0</v>
      </c>
      <c r="N8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4" s="49">
        <f>IF(AND(CRC_War_Room_SIMs[[#This Row],[Excluded]] = 0, OR(CRC_War_Room_SIMs[[#This Row],[False Resolution Miss]] &lt;&gt; "", ISNUMBER(SEARCH("False Resolution", CRC_War_Room_SIMs[[#This Row],[Labels]])))), 1, 0)</f>
        <v>0</v>
      </c>
      <c r="P84" s="50">
        <f>IF(AND(CRC_War_Room_SIMs[[#This Row],[Excluded]] = 0, OR(CRC_War_Room_SIMs[[#This Row],[SLA Miss]] &lt;&gt; "", ISNUMBER(SEARCH("SLA", CRC_War_Room_SIMs[[#This Row],[Labels]])))), 1, 0)</f>
        <v>0</v>
      </c>
    </row>
    <row r="85" spans="1:16" x14ac:dyDescent="0.25">
      <c r="A85" t="s">
        <v>2558</v>
      </c>
      <c r="B85" t="s">
        <v>2554</v>
      </c>
      <c r="C85" t="s">
        <v>2521</v>
      </c>
      <c r="H8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85" s="49">
        <f ca="1">IFERROR(WEEKNUM(CRC_War_Room_SIMs[[#This Row],[Ops Date]]), "N/A")</f>
        <v>31</v>
      </c>
      <c r="J8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5" s="50">
        <f>IF(AND(CRC_War_Room_SIMs[[#This Row],[CI]] = 0, CRC_War_Room_SIMs[[#This Row],[Miss]] = 1), 1, 0)</f>
        <v>0</v>
      </c>
      <c r="N8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5" s="49">
        <f>IF(AND(CRC_War_Room_SIMs[[#This Row],[Excluded]] = 0, OR(CRC_War_Room_SIMs[[#This Row],[False Resolution Miss]] &lt;&gt; "", ISNUMBER(SEARCH("False Resolution", CRC_War_Room_SIMs[[#This Row],[Labels]])))), 1, 0)</f>
        <v>0</v>
      </c>
      <c r="P85" s="50">
        <f>IF(AND(CRC_War_Room_SIMs[[#This Row],[Excluded]] = 0, OR(CRC_War_Room_SIMs[[#This Row],[SLA Miss]] &lt;&gt; "", ISNUMBER(SEARCH("SLA", CRC_War_Room_SIMs[[#This Row],[Labels]])))), 1, 0)</f>
        <v>0</v>
      </c>
    </row>
    <row r="86" spans="1:16" x14ac:dyDescent="0.25">
      <c r="A86" t="s">
        <v>2559</v>
      </c>
      <c r="B86" t="s">
        <v>2554</v>
      </c>
      <c r="C86" t="s">
        <v>2521</v>
      </c>
      <c r="H8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86" s="49">
        <f ca="1">IFERROR(WEEKNUM(CRC_War_Room_SIMs[[#This Row],[Ops Date]]), "N/A")</f>
        <v>31</v>
      </c>
      <c r="J8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6" s="50">
        <f>IF(AND(CRC_War_Room_SIMs[[#This Row],[CI]] = 0, CRC_War_Room_SIMs[[#This Row],[Miss]] = 1), 1, 0)</f>
        <v>0</v>
      </c>
      <c r="N8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6" s="49">
        <f>IF(AND(CRC_War_Room_SIMs[[#This Row],[Excluded]] = 0, OR(CRC_War_Room_SIMs[[#This Row],[False Resolution Miss]] &lt;&gt; "", ISNUMBER(SEARCH("False Resolution", CRC_War_Room_SIMs[[#This Row],[Labels]])))), 1, 0)</f>
        <v>0</v>
      </c>
      <c r="P86" s="50">
        <f>IF(AND(CRC_War_Room_SIMs[[#This Row],[Excluded]] = 0, OR(CRC_War_Room_SIMs[[#This Row],[SLA Miss]] &lt;&gt; "", ISNUMBER(SEARCH("SLA", CRC_War_Room_SIMs[[#This Row],[Labels]])))), 1, 0)</f>
        <v>0</v>
      </c>
    </row>
    <row r="87" spans="1:16" x14ac:dyDescent="0.25">
      <c r="A87" t="s">
        <v>2560</v>
      </c>
      <c r="B87" t="s">
        <v>2561</v>
      </c>
      <c r="C87" t="s">
        <v>2521</v>
      </c>
      <c r="H8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87" s="49">
        <f ca="1">IFERROR(WEEKNUM(CRC_War_Room_SIMs[[#This Row],[Ops Date]]), "N/A")</f>
        <v>31</v>
      </c>
      <c r="J8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7" s="50">
        <f>IF(AND(CRC_War_Room_SIMs[[#This Row],[CI]] = 0, CRC_War_Room_SIMs[[#This Row],[Miss]] = 1), 1, 0)</f>
        <v>0</v>
      </c>
      <c r="N8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7" s="49">
        <f>IF(AND(CRC_War_Room_SIMs[[#This Row],[Excluded]] = 0, OR(CRC_War_Room_SIMs[[#This Row],[False Resolution Miss]] &lt;&gt; "", ISNUMBER(SEARCH("False Resolution", CRC_War_Room_SIMs[[#This Row],[Labels]])))), 1, 0)</f>
        <v>0</v>
      </c>
      <c r="P87" s="50">
        <f>IF(AND(CRC_War_Room_SIMs[[#This Row],[Excluded]] = 0, OR(CRC_War_Room_SIMs[[#This Row],[SLA Miss]] &lt;&gt; "", ISNUMBER(SEARCH("SLA", CRC_War_Room_SIMs[[#This Row],[Labels]])))), 1, 0)</f>
        <v>0</v>
      </c>
    </row>
    <row r="88" spans="1:16" x14ac:dyDescent="0.25">
      <c r="A88" t="s">
        <v>2562</v>
      </c>
      <c r="B88" t="s">
        <v>2561</v>
      </c>
      <c r="C88" t="s">
        <v>2521</v>
      </c>
      <c r="H8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88" s="49">
        <f ca="1">IFERROR(WEEKNUM(CRC_War_Room_SIMs[[#This Row],[Ops Date]]), "N/A")</f>
        <v>31</v>
      </c>
      <c r="J8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8" s="50">
        <f>IF(AND(CRC_War_Room_SIMs[[#This Row],[CI]] = 0, CRC_War_Room_SIMs[[#This Row],[Miss]] = 1), 1, 0)</f>
        <v>0</v>
      </c>
      <c r="N8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8" s="49">
        <f>IF(AND(CRC_War_Room_SIMs[[#This Row],[Excluded]] = 0, OR(CRC_War_Room_SIMs[[#This Row],[False Resolution Miss]] &lt;&gt; "", ISNUMBER(SEARCH("False Resolution", CRC_War_Room_SIMs[[#This Row],[Labels]])))), 1, 0)</f>
        <v>0</v>
      </c>
      <c r="P88" s="50">
        <f>IF(AND(CRC_War_Room_SIMs[[#This Row],[Excluded]] = 0, OR(CRC_War_Room_SIMs[[#This Row],[SLA Miss]] &lt;&gt; "", ISNUMBER(SEARCH("SLA", CRC_War_Room_SIMs[[#This Row],[Labels]])))), 1, 0)</f>
        <v>0</v>
      </c>
    </row>
    <row r="89" spans="1:16" x14ac:dyDescent="0.25">
      <c r="A89" t="s">
        <v>2563</v>
      </c>
      <c r="B89" t="s">
        <v>2561</v>
      </c>
      <c r="C89" t="s">
        <v>2521</v>
      </c>
      <c r="H8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89" s="49">
        <f ca="1">IFERROR(WEEKNUM(CRC_War_Room_SIMs[[#This Row],[Ops Date]]), "N/A")</f>
        <v>31</v>
      </c>
      <c r="J8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9" s="50">
        <f>IF(AND(CRC_War_Room_SIMs[[#This Row],[CI]] = 0, CRC_War_Room_SIMs[[#This Row],[Miss]] = 1), 1, 0)</f>
        <v>0</v>
      </c>
      <c r="N8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9" s="49">
        <f>IF(AND(CRC_War_Room_SIMs[[#This Row],[Excluded]] = 0, OR(CRC_War_Room_SIMs[[#This Row],[False Resolution Miss]] &lt;&gt; "", ISNUMBER(SEARCH("False Resolution", CRC_War_Room_SIMs[[#This Row],[Labels]])))), 1, 0)</f>
        <v>0</v>
      </c>
      <c r="P89" s="50">
        <f>IF(AND(CRC_War_Room_SIMs[[#This Row],[Excluded]] = 0, OR(CRC_War_Room_SIMs[[#This Row],[SLA Miss]] &lt;&gt; "", ISNUMBER(SEARCH("SLA", CRC_War_Room_SIMs[[#This Row],[Labels]])))), 1, 0)</f>
        <v>0</v>
      </c>
    </row>
    <row r="90" spans="1:16" x14ac:dyDescent="0.25">
      <c r="A90" t="s">
        <v>2564</v>
      </c>
      <c r="B90" t="s">
        <v>2561</v>
      </c>
      <c r="C90" t="s">
        <v>2521</v>
      </c>
      <c r="H9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90" s="49">
        <f ca="1">IFERROR(WEEKNUM(CRC_War_Room_SIMs[[#This Row],[Ops Date]]), "N/A")</f>
        <v>31</v>
      </c>
      <c r="J9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0" s="50">
        <f>IF(AND(CRC_War_Room_SIMs[[#This Row],[CI]] = 0, CRC_War_Room_SIMs[[#This Row],[Miss]] = 1), 1, 0)</f>
        <v>0</v>
      </c>
      <c r="N9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0" s="49">
        <f>IF(AND(CRC_War_Room_SIMs[[#This Row],[Excluded]] = 0, OR(CRC_War_Room_SIMs[[#This Row],[False Resolution Miss]] &lt;&gt; "", ISNUMBER(SEARCH("False Resolution", CRC_War_Room_SIMs[[#This Row],[Labels]])))), 1, 0)</f>
        <v>0</v>
      </c>
      <c r="P90" s="50">
        <f>IF(AND(CRC_War_Room_SIMs[[#This Row],[Excluded]] = 0, OR(CRC_War_Room_SIMs[[#This Row],[SLA Miss]] &lt;&gt; "", ISNUMBER(SEARCH("SLA", CRC_War_Room_SIMs[[#This Row],[Labels]])))), 1, 0)</f>
        <v>0</v>
      </c>
    </row>
    <row r="91" spans="1:16" x14ac:dyDescent="0.25">
      <c r="A91" t="s">
        <v>2565</v>
      </c>
      <c r="B91" t="s">
        <v>2561</v>
      </c>
      <c r="C91" t="s">
        <v>2521</v>
      </c>
      <c r="H9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91" s="49">
        <f ca="1">IFERROR(WEEKNUM(CRC_War_Room_SIMs[[#This Row],[Ops Date]]), "N/A")</f>
        <v>31</v>
      </c>
      <c r="J9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1" s="50">
        <f>IF(AND(CRC_War_Room_SIMs[[#This Row],[CI]] = 0, CRC_War_Room_SIMs[[#This Row],[Miss]] = 1), 1, 0)</f>
        <v>0</v>
      </c>
      <c r="N9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1" s="49">
        <f>IF(AND(CRC_War_Room_SIMs[[#This Row],[Excluded]] = 0, OR(CRC_War_Room_SIMs[[#This Row],[False Resolution Miss]] &lt;&gt; "", ISNUMBER(SEARCH("False Resolution", CRC_War_Room_SIMs[[#This Row],[Labels]])))), 1, 0)</f>
        <v>0</v>
      </c>
      <c r="P91" s="50">
        <f>IF(AND(CRC_War_Room_SIMs[[#This Row],[Excluded]] = 0, OR(CRC_War_Room_SIMs[[#This Row],[SLA Miss]] &lt;&gt; "", ISNUMBER(SEARCH("SLA", CRC_War_Room_SIMs[[#This Row],[Labels]])))), 1, 0)</f>
        <v>0</v>
      </c>
    </row>
    <row r="92" spans="1:16" x14ac:dyDescent="0.25">
      <c r="A92" t="s">
        <v>2566</v>
      </c>
      <c r="B92" t="s">
        <v>2567</v>
      </c>
      <c r="C92" t="s">
        <v>2521</v>
      </c>
      <c r="H9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92" s="49">
        <f ca="1">IFERROR(WEEKNUM(CRC_War_Room_SIMs[[#This Row],[Ops Date]]), "N/A")</f>
        <v>31</v>
      </c>
      <c r="J9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2" s="50">
        <f>IF(AND(CRC_War_Room_SIMs[[#This Row],[CI]] = 0, CRC_War_Room_SIMs[[#This Row],[Miss]] = 1), 1, 0)</f>
        <v>0</v>
      </c>
      <c r="N9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2" s="49">
        <f>IF(AND(CRC_War_Room_SIMs[[#This Row],[Excluded]] = 0, OR(CRC_War_Room_SIMs[[#This Row],[False Resolution Miss]] &lt;&gt; "", ISNUMBER(SEARCH("False Resolution", CRC_War_Room_SIMs[[#This Row],[Labels]])))), 1, 0)</f>
        <v>0</v>
      </c>
      <c r="P92" s="50">
        <f>IF(AND(CRC_War_Room_SIMs[[#This Row],[Excluded]] = 0, OR(CRC_War_Room_SIMs[[#This Row],[SLA Miss]] &lt;&gt; "", ISNUMBER(SEARCH("SLA", CRC_War_Room_SIMs[[#This Row],[Labels]])))), 1, 0)</f>
        <v>0</v>
      </c>
    </row>
    <row r="93" spans="1:16" x14ac:dyDescent="0.25">
      <c r="A93" t="s">
        <v>2568</v>
      </c>
      <c r="B93" t="s">
        <v>2567</v>
      </c>
      <c r="C93" t="s">
        <v>2521</v>
      </c>
      <c r="H9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93" s="49">
        <f ca="1">IFERROR(WEEKNUM(CRC_War_Room_SIMs[[#This Row],[Ops Date]]), "N/A")</f>
        <v>31</v>
      </c>
      <c r="J9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3" s="50">
        <f>IF(AND(CRC_War_Room_SIMs[[#This Row],[CI]] = 0, CRC_War_Room_SIMs[[#This Row],[Miss]] = 1), 1, 0)</f>
        <v>0</v>
      </c>
      <c r="N9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3" s="49">
        <f>IF(AND(CRC_War_Room_SIMs[[#This Row],[Excluded]] = 0, OR(CRC_War_Room_SIMs[[#This Row],[False Resolution Miss]] &lt;&gt; "", ISNUMBER(SEARCH("False Resolution", CRC_War_Room_SIMs[[#This Row],[Labels]])))), 1, 0)</f>
        <v>0</v>
      </c>
      <c r="P93" s="50">
        <f>IF(AND(CRC_War_Room_SIMs[[#This Row],[Excluded]] = 0, OR(CRC_War_Room_SIMs[[#This Row],[SLA Miss]] &lt;&gt; "", ISNUMBER(SEARCH("SLA", CRC_War_Room_SIMs[[#This Row],[Labels]])))), 1, 0)</f>
        <v>0</v>
      </c>
    </row>
    <row r="94" spans="1:16" x14ac:dyDescent="0.25">
      <c r="A94" t="s">
        <v>2569</v>
      </c>
      <c r="B94" t="s">
        <v>2567</v>
      </c>
      <c r="C94" t="s">
        <v>2521</v>
      </c>
      <c r="H9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94" s="49">
        <f ca="1">IFERROR(WEEKNUM(CRC_War_Room_SIMs[[#This Row],[Ops Date]]), "N/A")</f>
        <v>31</v>
      </c>
      <c r="J9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4" s="50">
        <f>IF(AND(CRC_War_Room_SIMs[[#This Row],[CI]] = 0, CRC_War_Room_SIMs[[#This Row],[Miss]] = 1), 1, 0)</f>
        <v>0</v>
      </c>
      <c r="N9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4" s="49">
        <f>IF(AND(CRC_War_Room_SIMs[[#This Row],[Excluded]] = 0, OR(CRC_War_Room_SIMs[[#This Row],[False Resolution Miss]] &lt;&gt; "", ISNUMBER(SEARCH("False Resolution", CRC_War_Room_SIMs[[#This Row],[Labels]])))), 1, 0)</f>
        <v>0</v>
      </c>
      <c r="P94" s="50">
        <f>IF(AND(CRC_War_Room_SIMs[[#This Row],[Excluded]] = 0, OR(CRC_War_Room_SIMs[[#This Row],[SLA Miss]] &lt;&gt; "", ISNUMBER(SEARCH("SLA", CRC_War_Room_SIMs[[#This Row],[Labels]])))), 1, 0)</f>
        <v>0</v>
      </c>
    </row>
    <row r="95" spans="1:16" x14ac:dyDescent="0.25">
      <c r="A95" t="s">
        <v>2570</v>
      </c>
      <c r="B95" t="s">
        <v>2567</v>
      </c>
      <c r="C95" t="s">
        <v>2521</v>
      </c>
      <c r="H9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95" s="49">
        <f ca="1">IFERROR(WEEKNUM(CRC_War_Room_SIMs[[#This Row],[Ops Date]]), "N/A")</f>
        <v>31</v>
      </c>
      <c r="J9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5" s="50">
        <f>IF(AND(CRC_War_Room_SIMs[[#This Row],[CI]] = 0, CRC_War_Room_SIMs[[#This Row],[Miss]] = 1), 1, 0)</f>
        <v>0</v>
      </c>
      <c r="N9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5" s="49">
        <f>IF(AND(CRC_War_Room_SIMs[[#This Row],[Excluded]] = 0, OR(CRC_War_Room_SIMs[[#This Row],[False Resolution Miss]] &lt;&gt; "", ISNUMBER(SEARCH("False Resolution", CRC_War_Room_SIMs[[#This Row],[Labels]])))), 1, 0)</f>
        <v>0</v>
      </c>
      <c r="P95" s="50">
        <f>IF(AND(CRC_War_Room_SIMs[[#This Row],[Excluded]] = 0, OR(CRC_War_Room_SIMs[[#This Row],[SLA Miss]] &lt;&gt; "", ISNUMBER(SEARCH("SLA", CRC_War_Room_SIMs[[#This Row],[Labels]])))), 1, 0)</f>
        <v>0</v>
      </c>
    </row>
    <row r="96" spans="1:16" x14ac:dyDescent="0.25">
      <c r="A96" t="s">
        <v>2571</v>
      </c>
      <c r="B96" t="s">
        <v>2567</v>
      </c>
      <c r="C96" t="s">
        <v>2521</v>
      </c>
      <c r="H9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96" s="49">
        <f ca="1">IFERROR(WEEKNUM(CRC_War_Room_SIMs[[#This Row],[Ops Date]]), "N/A")</f>
        <v>31</v>
      </c>
      <c r="J9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6" s="50">
        <f>IF(AND(CRC_War_Room_SIMs[[#This Row],[CI]] = 0, CRC_War_Room_SIMs[[#This Row],[Miss]] = 1), 1, 0)</f>
        <v>0</v>
      </c>
      <c r="N9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6" s="49">
        <f>IF(AND(CRC_War_Room_SIMs[[#This Row],[Excluded]] = 0, OR(CRC_War_Room_SIMs[[#This Row],[False Resolution Miss]] &lt;&gt; "", ISNUMBER(SEARCH("False Resolution", CRC_War_Room_SIMs[[#This Row],[Labels]])))), 1, 0)</f>
        <v>0</v>
      </c>
      <c r="P96" s="50">
        <f>IF(AND(CRC_War_Room_SIMs[[#This Row],[Excluded]] = 0, OR(CRC_War_Room_SIMs[[#This Row],[SLA Miss]] &lt;&gt; "", ISNUMBER(SEARCH("SLA", CRC_War_Room_SIMs[[#This Row],[Labels]])))), 1, 0)</f>
        <v>0</v>
      </c>
    </row>
    <row r="97" spans="1:16" x14ac:dyDescent="0.25">
      <c r="A97" t="s">
        <v>2572</v>
      </c>
      <c r="B97" t="s">
        <v>2567</v>
      </c>
      <c r="C97" t="s">
        <v>2521</v>
      </c>
      <c r="H9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45504</v>
      </c>
      <c r="I97" s="49">
        <f ca="1">IFERROR(WEEKNUM(CRC_War_Room_SIMs[[#This Row],[Ops Date]]), "N/A")</f>
        <v>31</v>
      </c>
      <c r="J9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7" s="50">
        <f>IF(AND(CRC_War_Room_SIMs[[#This Row],[CI]] = 0, CRC_War_Room_SIMs[[#This Row],[Miss]] = 1), 1, 0)</f>
        <v>0</v>
      </c>
      <c r="N9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7" s="49">
        <f>IF(AND(CRC_War_Room_SIMs[[#This Row],[Excluded]] = 0, OR(CRC_War_Room_SIMs[[#This Row],[False Resolution Miss]] &lt;&gt; "", ISNUMBER(SEARCH("False Resolution", CRC_War_Room_SIMs[[#This Row],[Labels]])))), 1, 0)</f>
        <v>0</v>
      </c>
      <c r="P97" s="50">
        <f>IF(AND(CRC_War_Room_SIMs[[#This Row],[Excluded]] = 0, OR(CRC_War_Room_SIMs[[#This Row],[SLA Miss]] &lt;&gt; "", ISNUMBER(SEARCH("SLA", CRC_War_Room_SIMs[[#This Row],[Labels]])))), 1, 0)</f>
        <v>0</v>
      </c>
    </row>
    <row r="98" spans="1:16" x14ac:dyDescent="0.25">
      <c r="A98" t="s">
        <v>2573</v>
      </c>
      <c r="B98" t="s">
        <v>2574</v>
      </c>
      <c r="C98" t="s">
        <v>2575</v>
      </c>
      <c r="E98" t="s">
        <v>2576</v>
      </c>
      <c r="H9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98" s="49">
        <f ca="1">IFERROR(WEEKNUM(CRC_War_Room_SIMs[[#This Row],[Ops Date]]), "N/A")</f>
        <v>31</v>
      </c>
      <c r="J9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9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98" s="50">
        <f>IF(AND(CRC_War_Room_SIMs[[#This Row],[CI]] = 0, CRC_War_Room_SIMs[[#This Row],[Miss]] = 1), 1, 0)</f>
        <v>0</v>
      </c>
      <c r="N98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98" s="49">
        <f>IF(AND(CRC_War_Room_SIMs[[#This Row],[Excluded]] = 0, OR(CRC_War_Room_SIMs[[#This Row],[False Resolution Miss]] &lt;&gt; "", ISNUMBER(SEARCH("False Resolution", CRC_War_Room_SIMs[[#This Row],[Labels]])))), 1, 0)</f>
        <v>0</v>
      </c>
      <c r="P98" s="50">
        <f>IF(AND(CRC_War_Room_SIMs[[#This Row],[Excluded]] = 0, OR(CRC_War_Room_SIMs[[#This Row],[SLA Miss]] &lt;&gt; "", ISNUMBER(SEARCH("SLA", CRC_War_Room_SIMs[[#This Row],[Labels]])))), 1, 0)</f>
        <v>0</v>
      </c>
    </row>
    <row r="99" spans="1:16" x14ac:dyDescent="0.25">
      <c r="A99" t="s">
        <v>2577</v>
      </c>
      <c r="B99" t="s">
        <v>2578</v>
      </c>
      <c r="C99" t="s">
        <v>2579</v>
      </c>
      <c r="D99" t="s">
        <v>1453</v>
      </c>
      <c r="E99" t="s">
        <v>2548</v>
      </c>
      <c r="H9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99" s="49">
        <f ca="1">IFERROR(WEEKNUM(CRC_War_Room_SIMs[[#This Row],[Ops Date]]), "N/A")</f>
        <v>30</v>
      </c>
      <c r="J99" s="49">
        <f>IF(OR(ISNUMBER(SEARCH("Excluded", CRC_War_Room_SIMs[[#This Row],[Labels]])), ISNUMBER(SEARCH("Quality", CRC_War_Room_SIMs[[#This Row],[Data Status]])), ISNUMBER(SEARCH("Exception", CRC_War_Room_SIMs[[#This Row],[Data Status]]))), 1, 0)</f>
        <v>1</v>
      </c>
      <c r="K9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9" s="50">
        <f>IF(AND(CRC_War_Room_SIMs[[#This Row],[CI]] = 0, CRC_War_Room_SIMs[[#This Row],[Miss]] = 1), 1, 0)</f>
        <v>0</v>
      </c>
      <c r="N9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9" s="49">
        <f>IF(AND(CRC_War_Room_SIMs[[#This Row],[Excluded]] = 0, OR(CRC_War_Room_SIMs[[#This Row],[False Resolution Miss]] &lt;&gt; "", ISNUMBER(SEARCH("False Resolution", CRC_War_Room_SIMs[[#This Row],[Labels]])))), 1, 0)</f>
        <v>0</v>
      </c>
      <c r="P99" s="50">
        <f>IF(AND(CRC_War_Room_SIMs[[#This Row],[Excluded]] = 0, OR(CRC_War_Room_SIMs[[#This Row],[SLA Miss]] &lt;&gt; "", ISNUMBER(SEARCH("SLA", CRC_War_Room_SIMs[[#This Row],[Labels]])))), 1, 0)</f>
        <v>0</v>
      </c>
    </row>
    <row r="100" spans="1:16" x14ac:dyDescent="0.25">
      <c r="A100" t="s">
        <v>2580</v>
      </c>
      <c r="B100" t="s">
        <v>2578</v>
      </c>
      <c r="C100" t="s">
        <v>2579</v>
      </c>
      <c r="D100" t="s">
        <v>1453</v>
      </c>
      <c r="E100" t="s">
        <v>2548</v>
      </c>
      <c r="H10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100" s="49">
        <f ca="1">IFERROR(WEEKNUM(CRC_War_Room_SIMs[[#This Row],[Ops Date]]), "N/A")</f>
        <v>30</v>
      </c>
      <c r="J100" s="49">
        <f>IF(OR(ISNUMBER(SEARCH("Excluded", CRC_War_Room_SIMs[[#This Row],[Labels]])), ISNUMBER(SEARCH("Quality", CRC_War_Room_SIMs[[#This Row],[Data Status]])), ISNUMBER(SEARCH("Exception", CRC_War_Room_SIMs[[#This Row],[Data Status]]))), 1, 0)</f>
        <v>1</v>
      </c>
      <c r="K10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0" s="50">
        <f>IF(AND(CRC_War_Room_SIMs[[#This Row],[CI]] = 0, CRC_War_Room_SIMs[[#This Row],[Miss]] = 1), 1, 0)</f>
        <v>0</v>
      </c>
      <c r="N10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0" s="50">
        <f>IF(AND(CRC_War_Room_SIMs[[#This Row],[Excluded]] = 0, OR(CRC_War_Room_SIMs[[#This Row],[SLA Miss]] &lt;&gt; "", ISNUMBER(SEARCH("SLA", CRC_War_Room_SIMs[[#This Row],[Labels]])))), 1, 0)</f>
        <v>0</v>
      </c>
    </row>
    <row r="101" spans="1:16" x14ac:dyDescent="0.25">
      <c r="A101" t="s">
        <v>2581</v>
      </c>
      <c r="B101" t="s">
        <v>2582</v>
      </c>
      <c r="C101" t="s">
        <v>2583</v>
      </c>
      <c r="H10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01" s="49">
        <f ca="1">IFERROR(WEEKNUM(CRC_War_Room_SIMs[[#This Row],[Ops Date]]), "N/A")</f>
        <v>31</v>
      </c>
      <c r="J10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1" s="50">
        <f>IF(AND(CRC_War_Room_SIMs[[#This Row],[CI]] = 0, CRC_War_Room_SIMs[[#This Row],[Miss]] = 1), 1, 0)</f>
        <v>0</v>
      </c>
      <c r="N10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1" s="50">
        <f>IF(AND(CRC_War_Room_SIMs[[#This Row],[Excluded]] = 0, OR(CRC_War_Room_SIMs[[#This Row],[SLA Miss]] &lt;&gt; "", ISNUMBER(SEARCH("SLA", CRC_War_Room_SIMs[[#This Row],[Labels]])))), 1, 0)</f>
        <v>0</v>
      </c>
    </row>
    <row r="102" spans="1:16" x14ac:dyDescent="0.25">
      <c r="A102" t="s">
        <v>2584</v>
      </c>
      <c r="B102" t="s">
        <v>2574</v>
      </c>
      <c r="C102" t="s">
        <v>2583</v>
      </c>
      <c r="H10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02" s="49">
        <f ca="1">IFERROR(WEEKNUM(CRC_War_Room_SIMs[[#This Row],[Ops Date]]), "N/A")</f>
        <v>31</v>
      </c>
      <c r="J10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2" s="50">
        <f>IF(AND(CRC_War_Room_SIMs[[#This Row],[CI]] = 0, CRC_War_Room_SIMs[[#This Row],[Miss]] = 1), 1, 0)</f>
        <v>0</v>
      </c>
      <c r="N10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2" s="50">
        <f>IF(AND(CRC_War_Room_SIMs[[#This Row],[Excluded]] = 0, OR(CRC_War_Room_SIMs[[#This Row],[SLA Miss]] &lt;&gt; "", ISNUMBER(SEARCH("SLA", CRC_War_Room_SIMs[[#This Row],[Labels]])))), 1, 0)</f>
        <v>0</v>
      </c>
    </row>
    <row r="103" spans="1:16" x14ac:dyDescent="0.25">
      <c r="A103" t="s">
        <v>2585</v>
      </c>
      <c r="B103" t="s">
        <v>2586</v>
      </c>
      <c r="C103" t="s">
        <v>2583</v>
      </c>
      <c r="H10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03" s="49">
        <f ca="1">IFERROR(WEEKNUM(CRC_War_Room_SIMs[[#This Row],[Ops Date]]), "N/A")</f>
        <v>31</v>
      </c>
      <c r="J10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3" s="50">
        <f>IF(AND(CRC_War_Room_SIMs[[#This Row],[CI]] = 0, CRC_War_Room_SIMs[[#This Row],[Miss]] = 1), 1, 0)</f>
        <v>0</v>
      </c>
      <c r="N10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3" s="50">
        <f>IF(AND(CRC_War_Room_SIMs[[#This Row],[Excluded]] = 0, OR(CRC_War_Room_SIMs[[#This Row],[SLA Miss]] &lt;&gt; "", ISNUMBER(SEARCH("SLA", CRC_War_Room_SIMs[[#This Row],[Labels]])))), 1, 0)</f>
        <v>0</v>
      </c>
    </row>
    <row r="104" spans="1:16" x14ac:dyDescent="0.25">
      <c r="A104" t="s">
        <v>2587</v>
      </c>
      <c r="B104" t="s">
        <v>2574</v>
      </c>
      <c r="C104" t="s">
        <v>2583</v>
      </c>
      <c r="H10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04" s="49">
        <f ca="1">IFERROR(WEEKNUM(CRC_War_Room_SIMs[[#This Row],[Ops Date]]), "N/A")</f>
        <v>31</v>
      </c>
      <c r="J10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4" s="50">
        <f>IF(AND(CRC_War_Room_SIMs[[#This Row],[CI]] = 0, CRC_War_Room_SIMs[[#This Row],[Miss]] = 1), 1, 0)</f>
        <v>0</v>
      </c>
      <c r="N10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4" s="50">
        <f>IF(AND(CRC_War_Room_SIMs[[#This Row],[Excluded]] = 0, OR(CRC_War_Room_SIMs[[#This Row],[SLA Miss]] &lt;&gt; "", ISNUMBER(SEARCH("SLA", CRC_War_Room_SIMs[[#This Row],[Labels]])))), 1, 0)</f>
        <v>0</v>
      </c>
    </row>
    <row r="105" spans="1:16" x14ac:dyDescent="0.25">
      <c r="A105" t="s">
        <v>2588</v>
      </c>
      <c r="B105" t="s">
        <v>2589</v>
      </c>
      <c r="C105" t="s">
        <v>2583</v>
      </c>
      <c r="H10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05" s="49">
        <f ca="1">IFERROR(WEEKNUM(CRC_War_Room_SIMs[[#This Row],[Ops Date]]), "N/A")</f>
        <v>31</v>
      </c>
      <c r="J10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5" s="50">
        <f>IF(AND(CRC_War_Room_SIMs[[#This Row],[CI]] = 0, CRC_War_Room_SIMs[[#This Row],[Miss]] = 1), 1, 0)</f>
        <v>0</v>
      </c>
      <c r="N10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5" s="50">
        <f>IF(AND(CRC_War_Room_SIMs[[#This Row],[Excluded]] = 0, OR(CRC_War_Room_SIMs[[#This Row],[SLA Miss]] &lt;&gt; "", ISNUMBER(SEARCH("SLA", CRC_War_Room_SIMs[[#This Row],[Labels]])))), 1, 0)</f>
        <v>0</v>
      </c>
    </row>
    <row r="106" spans="1:16" x14ac:dyDescent="0.25">
      <c r="A106" t="s">
        <v>2590</v>
      </c>
      <c r="B106" t="s">
        <v>2591</v>
      </c>
      <c r="C106" t="s">
        <v>2583</v>
      </c>
      <c r="H10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06" s="49">
        <f ca="1">IFERROR(WEEKNUM(CRC_War_Room_SIMs[[#This Row],[Ops Date]]), "N/A")</f>
        <v>31</v>
      </c>
      <c r="J10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6" s="50">
        <f>IF(AND(CRC_War_Room_SIMs[[#This Row],[CI]] = 0, CRC_War_Room_SIMs[[#This Row],[Miss]] = 1), 1, 0)</f>
        <v>0</v>
      </c>
      <c r="N10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6" s="50">
        <f>IF(AND(CRC_War_Room_SIMs[[#This Row],[Excluded]] = 0, OR(CRC_War_Room_SIMs[[#This Row],[SLA Miss]] &lt;&gt; "", ISNUMBER(SEARCH("SLA", CRC_War_Room_SIMs[[#This Row],[Labels]])))), 1, 0)</f>
        <v>0</v>
      </c>
    </row>
    <row r="107" spans="1:16" x14ac:dyDescent="0.25">
      <c r="A107" t="s">
        <v>2592</v>
      </c>
      <c r="B107" t="s">
        <v>2582</v>
      </c>
      <c r="C107" t="s">
        <v>2583</v>
      </c>
      <c r="H10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07" s="49">
        <f ca="1">IFERROR(WEEKNUM(CRC_War_Room_SIMs[[#This Row],[Ops Date]]), "N/A")</f>
        <v>31</v>
      </c>
      <c r="J10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7" s="50">
        <f>IF(AND(CRC_War_Room_SIMs[[#This Row],[CI]] = 0, CRC_War_Room_SIMs[[#This Row],[Miss]] = 1), 1, 0)</f>
        <v>0</v>
      </c>
      <c r="N10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7" s="50">
        <f>IF(AND(CRC_War_Room_SIMs[[#This Row],[Excluded]] = 0, OR(CRC_War_Room_SIMs[[#This Row],[SLA Miss]] &lt;&gt; "", ISNUMBER(SEARCH("SLA", CRC_War_Room_SIMs[[#This Row],[Labels]])))), 1, 0)</f>
        <v>0</v>
      </c>
    </row>
    <row r="108" spans="1:16" x14ac:dyDescent="0.25">
      <c r="A108" t="s">
        <v>2593</v>
      </c>
      <c r="B108" t="s">
        <v>2582</v>
      </c>
      <c r="C108" t="s">
        <v>2583</v>
      </c>
      <c r="H10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08" s="49">
        <f ca="1">IFERROR(WEEKNUM(CRC_War_Room_SIMs[[#This Row],[Ops Date]]), "N/A")</f>
        <v>31</v>
      </c>
      <c r="J10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8" s="50">
        <f>IF(AND(CRC_War_Room_SIMs[[#This Row],[CI]] = 0, CRC_War_Room_SIMs[[#This Row],[Miss]] = 1), 1, 0)</f>
        <v>0</v>
      </c>
      <c r="N10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8" s="50">
        <f>IF(AND(CRC_War_Room_SIMs[[#This Row],[Excluded]] = 0, OR(CRC_War_Room_SIMs[[#This Row],[SLA Miss]] &lt;&gt; "", ISNUMBER(SEARCH("SLA", CRC_War_Room_SIMs[[#This Row],[Labels]])))), 1, 0)</f>
        <v>0</v>
      </c>
    </row>
    <row r="109" spans="1:16" x14ac:dyDescent="0.25">
      <c r="A109" t="s">
        <v>2594</v>
      </c>
      <c r="B109" t="s">
        <v>2582</v>
      </c>
      <c r="C109" t="s">
        <v>2583</v>
      </c>
      <c r="H10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09" s="49">
        <f ca="1">IFERROR(WEEKNUM(CRC_War_Room_SIMs[[#This Row],[Ops Date]]), "N/A")</f>
        <v>31</v>
      </c>
      <c r="J10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9" s="50">
        <f>IF(AND(CRC_War_Room_SIMs[[#This Row],[CI]] = 0, CRC_War_Room_SIMs[[#This Row],[Miss]] = 1), 1, 0)</f>
        <v>0</v>
      </c>
      <c r="N10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9" s="50">
        <f>IF(AND(CRC_War_Room_SIMs[[#This Row],[Excluded]] = 0, OR(CRC_War_Room_SIMs[[#This Row],[SLA Miss]] &lt;&gt; "", ISNUMBER(SEARCH("SLA", CRC_War_Room_SIMs[[#This Row],[Labels]])))), 1, 0)</f>
        <v>0</v>
      </c>
    </row>
    <row r="110" spans="1:16" x14ac:dyDescent="0.25">
      <c r="A110" t="s">
        <v>2595</v>
      </c>
      <c r="B110" t="s">
        <v>2586</v>
      </c>
      <c r="C110" t="s">
        <v>2583</v>
      </c>
      <c r="H11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10" s="49">
        <f ca="1">IFERROR(WEEKNUM(CRC_War_Room_SIMs[[#This Row],[Ops Date]]), "N/A")</f>
        <v>31</v>
      </c>
      <c r="J11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0" s="50">
        <f>IF(AND(CRC_War_Room_SIMs[[#This Row],[CI]] = 0, CRC_War_Room_SIMs[[#This Row],[Miss]] = 1), 1, 0)</f>
        <v>0</v>
      </c>
      <c r="N11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0" s="50">
        <f>IF(AND(CRC_War_Room_SIMs[[#This Row],[Excluded]] = 0, OR(CRC_War_Room_SIMs[[#This Row],[SLA Miss]] &lt;&gt; "", ISNUMBER(SEARCH("SLA", CRC_War_Room_SIMs[[#This Row],[Labels]])))), 1, 0)</f>
        <v>0</v>
      </c>
    </row>
    <row r="111" spans="1:16" x14ac:dyDescent="0.25">
      <c r="A111" t="s">
        <v>2596</v>
      </c>
      <c r="B111" t="s">
        <v>2582</v>
      </c>
      <c r="C111" t="s">
        <v>2583</v>
      </c>
      <c r="H11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11" s="49">
        <f ca="1">IFERROR(WEEKNUM(CRC_War_Room_SIMs[[#This Row],[Ops Date]]), "N/A")</f>
        <v>31</v>
      </c>
      <c r="J11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1" s="50">
        <f>IF(AND(CRC_War_Room_SIMs[[#This Row],[CI]] = 0, CRC_War_Room_SIMs[[#This Row],[Miss]] = 1), 1, 0)</f>
        <v>0</v>
      </c>
      <c r="N11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1" s="50">
        <f>IF(AND(CRC_War_Room_SIMs[[#This Row],[Excluded]] = 0, OR(CRC_War_Room_SIMs[[#This Row],[SLA Miss]] &lt;&gt; "", ISNUMBER(SEARCH("SLA", CRC_War_Room_SIMs[[#This Row],[Labels]])))), 1, 0)</f>
        <v>0</v>
      </c>
    </row>
    <row r="112" spans="1:16" x14ac:dyDescent="0.25">
      <c r="A112" t="s">
        <v>2597</v>
      </c>
      <c r="B112" t="s">
        <v>2582</v>
      </c>
      <c r="C112" t="s">
        <v>2583</v>
      </c>
      <c r="H11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12" s="49">
        <f ca="1">IFERROR(WEEKNUM(CRC_War_Room_SIMs[[#This Row],[Ops Date]]), "N/A")</f>
        <v>31</v>
      </c>
      <c r="J11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2" s="50">
        <f>IF(AND(CRC_War_Room_SIMs[[#This Row],[CI]] = 0, CRC_War_Room_SIMs[[#This Row],[Miss]] = 1), 1, 0)</f>
        <v>0</v>
      </c>
      <c r="N11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2" s="50">
        <f>IF(AND(CRC_War_Room_SIMs[[#This Row],[Excluded]] = 0, OR(CRC_War_Room_SIMs[[#This Row],[SLA Miss]] &lt;&gt; "", ISNUMBER(SEARCH("SLA", CRC_War_Room_SIMs[[#This Row],[Labels]])))), 1, 0)</f>
        <v>0</v>
      </c>
    </row>
    <row r="113" spans="1:16" x14ac:dyDescent="0.25">
      <c r="A113" t="s">
        <v>2598</v>
      </c>
      <c r="B113" t="s">
        <v>2591</v>
      </c>
      <c r="C113" t="s">
        <v>2583</v>
      </c>
      <c r="H11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13" s="49">
        <f ca="1">IFERROR(WEEKNUM(CRC_War_Room_SIMs[[#This Row],[Ops Date]]), "N/A")</f>
        <v>31</v>
      </c>
      <c r="J11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3" s="50">
        <f>IF(AND(CRC_War_Room_SIMs[[#This Row],[CI]] = 0, CRC_War_Room_SIMs[[#This Row],[Miss]] = 1), 1, 0)</f>
        <v>0</v>
      </c>
      <c r="N11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3" s="50">
        <f>IF(AND(CRC_War_Room_SIMs[[#This Row],[Excluded]] = 0, OR(CRC_War_Room_SIMs[[#This Row],[SLA Miss]] &lt;&gt; "", ISNUMBER(SEARCH("SLA", CRC_War_Room_SIMs[[#This Row],[Labels]])))), 1, 0)</f>
        <v>0</v>
      </c>
    </row>
    <row r="114" spans="1:16" x14ac:dyDescent="0.25">
      <c r="A114" t="s">
        <v>2599</v>
      </c>
      <c r="B114" t="s">
        <v>2591</v>
      </c>
      <c r="C114" t="s">
        <v>2583</v>
      </c>
      <c r="H11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14" s="49">
        <f ca="1">IFERROR(WEEKNUM(CRC_War_Room_SIMs[[#This Row],[Ops Date]]), "N/A")</f>
        <v>31</v>
      </c>
      <c r="J11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4" s="50">
        <f>IF(AND(CRC_War_Room_SIMs[[#This Row],[CI]] = 0, CRC_War_Room_SIMs[[#This Row],[Miss]] = 1), 1, 0)</f>
        <v>0</v>
      </c>
      <c r="N11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4" s="50">
        <f>IF(AND(CRC_War_Room_SIMs[[#This Row],[Excluded]] = 0, OR(CRC_War_Room_SIMs[[#This Row],[SLA Miss]] &lt;&gt; "", ISNUMBER(SEARCH("SLA", CRC_War_Room_SIMs[[#This Row],[Labels]])))), 1, 0)</f>
        <v>0</v>
      </c>
    </row>
    <row r="115" spans="1:16" x14ac:dyDescent="0.25">
      <c r="A115" t="s">
        <v>2600</v>
      </c>
      <c r="B115" t="s">
        <v>2591</v>
      </c>
      <c r="C115" t="s">
        <v>2583</v>
      </c>
      <c r="H11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15" s="49">
        <f ca="1">IFERROR(WEEKNUM(CRC_War_Room_SIMs[[#This Row],[Ops Date]]), "N/A")</f>
        <v>31</v>
      </c>
      <c r="J11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5" s="50">
        <f>IF(AND(CRC_War_Room_SIMs[[#This Row],[CI]] = 0, CRC_War_Room_SIMs[[#This Row],[Miss]] = 1), 1, 0)</f>
        <v>0</v>
      </c>
      <c r="N11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5" s="50">
        <f>IF(AND(CRC_War_Room_SIMs[[#This Row],[Excluded]] = 0, OR(CRC_War_Room_SIMs[[#This Row],[SLA Miss]] &lt;&gt; "", ISNUMBER(SEARCH("SLA", CRC_War_Room_SIMs[[#This Row],[Labels]])))), 1, 0)</f>
        <v>0</v>
      </c>
    </row>
    <row r="116" spans="1:16" x14ac:dyDescent="0.25">
      <c r="A116" t="s">
        <v>2601</v>
      </c>
      <c r="B116" t="s">
        <v>2586</v>
      </c>
      <c r="C116" t="s">
        <v>2583</v>
      </c>
      <c r="H11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16" s="49">
        <f ca="1">IFERROR(WEEKNUM(CRC_War_Room_SIMs[[#This Row],[Ops Date]]), "N/A")</f>
        <v>31</v>
      </c>
      <c r="J11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6" s="50">
        <f>IF(AND(CRC_War_Room_SIMs[[#This Row],[CI]] = 0, CRC_War_Room_SIMs[[#This Row],[Miss]] = 1), 1, 0)</f>
        <v>0</v>
      </c>
      <c r="N11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6" s="50">
        <f>IF(AND(CRC_War_Room_SIMs[[#This Row],[Excluded]] = 0, OR(CRC_War_Room_SIMs[[#This Row],[SLA Miss]] &lt;&gt; "", ISNUMBER(SEARCH("SLA", CRC_War_Room_SIMs[[#This Row],[Labels]])))), 1, 0)</f>
        <v>0</v>
      </c>
    </row>
    <row r="117" spans="1:16" x14ac:dyDescent="0.25">
      <c r="A117" t="s">
        <v>2602</v>
      </c>
      <c r="B117" t="s">
        <v>2586</v>
      </c>
      <c r="C117" t="s">
        <v>2583</v>
      </c>
      <c r="H11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17" s="49">
        <f ca="1">IFERROR(WEEKNUM(CRC_War_Room_SIMs[[#This Row],[Ops Date]]), "N/A")</f>
        <v>31</v>
      </c>
      <c r="J11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7" s="50">
        <f>IF(AND(CRC_War_Room_SIMs[[#This Row],[CI]] = 0, CRC_War_Room_SIMs[[#This Row],[Miss]] = 1), 1, 0)</f>
        <v>0</v>
      </c>
      <c r="N11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7" s="50">
        <f>IF(AND(CRC_War_Room_SIMs[[#This Row],[Excluded]] = 0, OR(CRC_War_Room_SIMs[[#This Row],[SLA Miss]] &lt;&gt; "", ISNUMBER(SEARCH("SLA", CRC_War_Room_SIMs[[#This Row],[Labels]])))), 1, 0)</f>
        <v>0</v>
      </c>
    </row>
    <row r="118" spans="1:16" x14ac:dyDescent="0.25">
      <c r="A118" t="s">
        <v>2603</v>
      </c>
      <c r="B118" t="s">
        <v>2574</v>
      </c>
      <c r="C118" t="s">
        <v>2583</v>
      </c>
      <c r="H11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18" s="49">
        <f ca="1">IFERROR(WEEKNUM(CRC_War_Room_SIMs[[#This Row],[Ops Date]]), "N/A")</f>
        <v>31</v>
      </c>
      <c r="J11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8" s="50">
        <f>IF(AND(CRC_War_Room_SIMs[[#This Row],[CI]] = 0, CRC_War_Room_SIMs[[#This Row],[Miss]] = 1), 1, 0)</f>
        <v>0</v>
      </c>
      <c r="N11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8" s="50">
        <f>IF(AND(CRC_War_Room_SIMs[[#This Row],[Excluded]] = 0, OR(CRC_War_Room_SIMs[[#This Row],[SLA Miss]] &lt;&gt; "", ISNUMBER(SEARCH("SLA", CRC_War_Room_SIMs[[#This Row],[Labels]])))), 1, 0)</f>
        <v>0</v>
      </c>
    </row>
    <row r="119" spans="1:16" x14ac:dyDescent="0.25">
      <c r="A119" t="s">
        <v>2604</v>
      </c>
      <c r="B119" t="s">
        <v>2586</v>
      </c>
      <c r="C119" t="s">
        <v>2583</v>
      </c>
      <c r="H11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19" s="49">
        <f ca="1">IFERROR(WEEKNUM(CRC_War_Room_SIMs[[#This Row],[Ops Date]]), "N/A")</f>
        <v>31</v>
      </c>
      <c r="J11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9" s="50">
        <f>IF(AND(CRC_War_Room_SIMs[[#This Row],[CI]] = 0, CRC_War_Room_SIMs[[#This Row],[Miss]] = 1), 1, 0)</f>
        <v>0</v>
      </c>
      <c r="N11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9" s="50">
        <f>IF(AND(CRC_War_Room_SIMs[[#This Row],[Excluded]] = 0, OR(CRC_War_Room_SIMs[[#This Row],[SLA Miss]] &lt;&gt; "", ISNUMBER(SEARCH("SLA", CRC_War_Room_SIMs[[#This Row],[Labels]])))), 1, 0)</f>
        <v>0</v>
      </c>
    </row>
    <row r="120" spans="1:16" x14ac:dyDescent="0.25">
      <c r="A120" t="s">
        <v>2605</v>
      </c>
      <c r="B120" t="s">
        <v>2586</v>
      </c>
      <c r="C120" t="s">
        <v>2583</v>
      </c>
      <c r="H12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20" s="49">
        <f ca="1">IFERROR(WEEKNUM(CRC_War_Room_SIMs[[#This Row],[Ops Date]]), "N/A")</f>
        <v>31</v>
      </c>
      <c r="J12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0" s="50">
        <f>IF(AND(CRC_War_Room_SIMs[[#This Row],[CI]] = 0, CRC_War_Room_SIMs[[#This Row],[Miss]] = 1), 1, 0)</f>
        <v>0</v>
      </c>
      <c r="N12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0" s="50">
        <f>IF(AND(CRC_War_Room_SIMs[[#This Row],[Excluded]] = 0, OR(CRC_War_Room_SIMs[[#This Row],[SLA Miss]] &lt;&gt; "", ISNUMBER(SEARCH("SLA", CRC_War_Room_SIMs[[#This Row],[Labels]])))), 1, 0)</f>
        <v>0</v>
      </c>
    </row>
    <row r="121" spans="1:16" x14ac:dyDescent="0.25">
      <c r="A121" t="s">
        <v>2606</v>
      </c>
      <c r="B121" t="s">
        <v>2586</v>
      </c>
      <c r="C121" t="s">
        <v>2583</v>
      </c>
      <c r="H12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21" s="49">
        <f ca="1">IFERROR(WEEKNUM(CRC_War_Room_SIMs[[#This Row],[Ops Date]]), "N/A")</f>
        <v>31</v>
      </c>
      <c r="J12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1" s="50">
        <f>IF(AND(CRC_War_Room_SIMs[[#This Row],[CI]] = 0, CRC_War_Room_SIMs[[#This Row],[Miss]] = 1), 1, 0)</f>
        <v>0</v>
      </c>
      <c r="N12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1" s="50">
        <f>IF(AND(CRC_War_Room_SIMs[[#This Row],[Excluded]] = 0, OR(CRC_War_Room_SIMs[[#This Row],[SLA Miss]] &lt;&gt; "", ISNUMBER(SEARCH("SLA", CRC_War_Room_SIMs[[#This Row],[Labels]])))), 1, 0)</f>
        <v>0</v>
      </c>
    </row>
    <row r="122" spans="1:16" x14ac:dyDescent="0.25">
      <c r="A122" t="s">
        <v>2607</v>
      </c>
      <c r="B122" t="s">
        <v>2586</v>
      </c>
      <c r="C122" t="s">
        <v>2583</v>
      </c>
      <c r="H12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22" s="49">
        <f ca="1">IFERROR(WEEKNUM(CRC_War_Room_SIMs[[#This Row],[Ops Date]]), "N/A")</f>
        <v>31</v>
      </c>
      <c r="J12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2" s="50">
        <f>IF(AND(CRC_War_Room_SIMs[[#This Row],[CI]] = 0, CRC_War_Room_SIMs[[#This Row],[Miss]] = 1), 1, 0)</f>
        <v>0</v>
      </c>
      <c r="N12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2" s="50">
        <f>IF(AND(CRC_War_Room_SIMs[[#This Row],[Excluded]] = 0, OR(CRC_War_Room_SIMs[[#This Row],[SLA Miss]] &lt;&gt; "", ISNUMBER(SEARCH("SLA", CRC_War_Room_SIMs[[#This Row],[Labels]])))), 1, 0)</f>
        <v>0</v>
      </c>
    </row>
    <row r="123" spans="1:16" x14ac:dyDescent="0.25">
      <c r="A123" t="s">
        <v>2608</v>
      </c>
      <c r="B123" t="s">
        <v>2586</v>
      </c>
      <c r="C123" t="s">
        <v>2583</v>
      </c>
      <c r="H12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23" s="49">
        <f ca="1">IFERROR(WEEKNUM(CRC_War_Room_SIMs[[#This Row],[Ops Date]]), "N/A")</f>
        <v>31</v>
      </c>
      <c r="J12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3" s="50">
        <f>IF(AND(CRC_War_Room_SIMs[[#This Row],[CI]] = 0, CRC_War_Room_SIMs[[#This Row],[Miss]] = 1), 1, 0)</f>
        <v>0</v>
      </c>
      <c r="N12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3" s="50">
        <f>IF(AND(CRC_War_Room_SIMs[[#This Row],[Excluded]] = 0, OR(CRC_War_Room_SIMs[[#This Row],[SLA Miss]] &lt;&gt; "", ISNUMBER(SEARCH("SLA", CRC_War_Room_SIMs[[#This Row],[Labels]])))), 1, 0)</f>
        <v>0</v>
      </c>
    </row>
    <row r="124" spans="1:16" x14ac:dyDescent="0.25">
      <c r="A124" t="s">
        <v>2609</v>
      </c>
      <c r="B124" t="s">
        <v>2586</v>
      </c>
      <c r="C124" t="s">
        <v>2583</v>
      </c>
      <c r="H12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24" s="49">
        <f ca="1">IFERROR(WEEKNUM(CRC_War_Room_SIMs[[#This Row],[Ops Date]]), "N/A")</f>
        <v>31</v>
      </c>
      <c r="J12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4" s="50">
        <f>IF(AND(CRC_War_Room_SIMs[[#This Row],[CI]] = 0, CRC_War_Room_SIMs[[#This Row],[Miss]] = 1), 1, 0)</f>
        <v>0</v>
      </c>
      <c r="N12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4" s="50">
        <f>IF(AND(CRC_War_Room_SIMs[[#This Row],[Excluded]] = 0, OR(CRC_War_Room_SIMs[[#This Row],[SLA Miss]] &lt;&gt; "", ISNUMBER(SEARCH("SLA", CRC_War_Room_SIMs[[#This Row],[Labels]])))), 1, 0)</f>
        <v>0</v>
      </c>
    </row>
    <row r="125" spans="1:16" x14ac:dyDescent="0.25">
      <c r="A125" t="s">
        <v>2610</v>
      </c>
      <c r="B125" t="s">
        <v>2574</v>
      </c>
      <c r="C125" t="s">
        <v>2583</v>
      </c>
      <c r="H12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25" s="49">
        <f ca="1">IFERROR(WEEKNUM(CRC_War_Room_SIMs[[#This Row],[Ops Date]]), "N/A")</f>
        <v>31</v>
      </c>
      <c r="J12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5" s="50">
        <f>IF(AND(CRC_War_Room_SIMs[[#This Row],[CI]] = 0, CRC_War_Room_SIMs[[#This Row],[Miss]] = 1), 1, 0)</f>
        <v>0</v>
      </c>
      <c r="N12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5" s="50">
        <f>IF(AND(CRC_War_Room_SIMs[[#This Row],[Excluded]] = 0, OR(CRC_War_Room_SIMs[[#This Row],[SLA Miss]] &lt;&gt; "", ISNUMBER(SEARCH("SLA", CRC_War_Room_SIMs[[#This Row],[Labels]])))), 1, 0)</f>
        <v>0</v>
      </c>
    </row>
    <row r="126" spans="1:16" x14ac:dyDescent="0.25">
      <c r="A126" t="s">
        <v>2611</v>
      </c>
      <c r="B126" t="s">
        <v>2574</v>
      </c>
      <c r="C126" t="s">
        <v>2583</v>
      </c>
      <c r="H12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26" s="49">
        <f ca="1">IFERROR(WEEKNUM(CRC_War_Room_SIMs[[#This Row],[Ops Date]]), "N/A")</f>
        <v>31</v>
      </c>
      <c r="J12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6" s="50">
        <f>IF(AND(CRC_War_Room_SIMs[[#This Row],[CI]] = 0, CRC_War_Room_SIMs[[#This Row],[Miss]] = 1), 1, 0)</f>
        <v>0</v>
      </c>
      <c r="N12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6" s="50">
        <f>IF(AND(CRC_War_Room_SIMs[[#This Row],[Excluded]] = 0, OR(CRC_War_Room_SIMs[[#This Row],[SLA Miss]] &lt;&gt; "", ISNUMBER(SEARCH("SLA", CRC_War_Room_SIMs[[#This Row],[Labels]])))), 1, 0)</f>
        <v>0</v>
      </c>
    </row>
    <row r="127" spans="1:16" x14ac:dyDescent="0.25">
      <c r="A127" t="s">
        <v>2612</v>
      </c>
      <c r="B127" t="s">
        <v>2574</v>
      </c>
      <c r="C127" t="s">
        <v>2583</v>
      </c>
      <c r="H12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27" s="49">
        <f ca="1">IFERROR(WEEKNUM(CRC_War_Room_SIMs[[#This Row],[Ops Date]]), "N/A")</f>
        <v>31</v>
      </c>
      <c r="J12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7" s="50">
        <f>IF(AND(CRC_War_Room_SIMs[[#This Row],[CI]] = 0, CRC_War_Room_SIMs[[#This Row],[Miss]] = 1), 1, 0)</f>
        <v>0</v>
      </c>
      <c r="N12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7" s="50">
        <f>IF(AND(CRC_War_Room_SIMs[[#This Row],[Excluded]] = 0, OR(CRC_War_Room_SIMs[[#This Row],[SLA Miss]] &lt;&gt; "", ISNUMBER(SEARCH("SLA", CRC_War_Room_SIMs[[#This Row],[Labels]])))), 1, 0)</f>
        <v>0</v>
      </c>
    </row>
    <row r="128" spans="1:16" x14ac:dyDescent="0.25">
      <c r="A128" t="s">
        <v>2613</v>
      </c>
      <c r="B128" t="s">
        <v>2574</v>
      </c>
      <c r="C128" t="s">
        <v>2583</v>
      </c>
      <c r="H12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28" s="49">
        <f ca="1">IFERROR(WEEKNUM(CRC_War_Room_SIMs[[#This Row],[Ops Date]]), "N/A")</f>
        <v>31</v>
      </c>
      <c r="J12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8" s="50">
        <f>IF(AND(CRC_War_Room_SIMs[[#This Row],[CI]] = 0, CRC_War_Room_SIMs[[#This Row],[Miss]] = 1), 1, 0)</f>
        <v>0</v>
      </c>
      <c r="N12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8" s="50">
        <f>IF(AND(CRC_War_Room_SIMs[[#This Row],[Excluded]] = 0, OR(CRC_War_Room_SIMs[[#This Row],[SLA Miss]] &lt;&gt; "", ISNUMBER(SEARCH("SLA", CRC_War_Room_SIMs[[#This Row],[Labels]])))), 1, 0)</f>
        <v>0</v>
      </c>
    </row>
    <row r="129" spans="1:16" x14ac:dyDescent="0.25">
      <c r="A129" t="s">
        <v>2614</v>
      </c>
      <c r="B129" t="s">
        <v>2574</v>
      </c>
      <c r="C129" t="s">
        <v>2583</v>
      </c>
      <c r="H12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29" s="49">
        <f ca="1">IFERROR(WEEKNUM(CRC_War_Room_SIMs[[#This Row],[Ops Date]]), "N/A")</f>
        <v>31</v>
      </c>
      <c r="J12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9" s="50">
        <f>IF(AND(CRC_War_Room_SIMs[[#This Row],[CI]] = 0, CRC_War_Room_SIMs[[#This Row],[Miss]] = 1), 1, 0)</f>
        <v>0</v>
      </c>
      <c r="N12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9" s="50">
        <f>IF(AND(CRC_War_Room_SIMs[[#This Row],[Excluded]] = 0, OR(CRC_War_Room_SIMs[[#This Row],[SLA Miss]] &lt;&gt; "", ISNUMBER(SEARCH("SLA", CRC_War_Room_SIMs[[#This Row],[Labels]])))), 1, 0)</f>
        <v>0</v>
      </c>
    </row>
    <row r="130" spans="1:16" x14ac:dyDescent="0.25">
      <c r="A130" t="s">
        <v>2615</v>
      </c>
      <c r="B130" t="s">
        <v>2574</v>
      </c>
      <c r="C130" t="s">
        <v>2583</v>
      </c>
      <c r="H13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30" s="49">
        <f ca="1">IFERROR(WEEKNUM(CRC_War_Room_SIMs[[#This Row],[Ops Date]]), "N/A")</f>
        <v>31</v>
      </c>
      <c r="J13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0" s="50">
        <f>IF(AND(CRC_War_Room_SIMs[[#This Row],[CI]] = 0, CRC_War_Room_SIMs[[#This Row],[Miss]] = 1), 1, 0)</f>
        <v>0</v>
      </c>
      <c r="N13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0" s="50">
        <f>IF(AND(CRC_War_Room_SIMs[[#This Row],[Excluded]] = 0, OR(CRC_War_Room_SIMs[[#This Row],[SLA Miss]] &lt;&gt; "", ISNUMBER(SEARCH("SLA", CRC_War_Room_SIMs[[#This Row],[Labels]])))), 1, 0)</f>
        <v>0</v>
      </c>
    </row>
    <row r="131" spans="1:16" x14ac:dyDescent="0.25">
      <c r="A131" t="s">
        <v>2616</v>
      </c>
      <c r="B131" t="s">
        <v>2617</v>
      </c>
      <c r="C131" t="s">
        <v>2583</v>
      </c>
      <c r="H13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31" s="49">
        <f ca="1">IFERROR(WEEKNUM(CRC_War_Room_SIMs[[#This Row],[Ops Date]]), "N/A")</f>
        <v>31</v>
      </c>
      <c r="J13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1" s="50">
        <f>IF(AND(CRC_War_Room_SIMs[[#This Row],[CI]] = 0, CRC_War_Room_SIMs[[#This Row],[Miss]] = 1), 1, 0)</f>
        <v>0</v>
      </c>
      <c r="N13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1" s="50">
        <f>IF(AND(CRC_War_Room_SIMs[[#This Row],[Excluded]] = 0, OR(CRC_War_Room_SIMs[[#This Row],[SLA Miss]] &lt;&gt; "", ISNUMBER(SEARCH("SLA", CRC_War_Room_SIMs[[#This Row],[Labels]])))), 1, 0)</f>
        <v>0</v>
      </c>
    </row>
    <row r="132" spans="1:16" x14ac:dyDescent="0.25">
      <c r="A132" t="s">
        <v>2618</v>
      </c>
      <c r="B132" t="s">
        <v>2617</v>
      </c>
      <c r="C132" t="s">
        <v>2583</v>
      </c>
      <c r="H13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32" s="49">
        <f ca="1">IFERROR(WEEKNUM(CRC_War_Room_SIMs[[#This Row],[Ops Date]]), "N/A")</f>
        <v>31</v>
      </c>
      <c r="J13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2" s="50">
        <f>IF(AND(CRC_War_Room_SIMs[[#This Row],[CI]] = 0, CRC_War_Room_SIMs[[#This Row],[Miss]] = 1), 1, 0)</f>
        <v>0</v>
      </c>
      <c r="N13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2" s="50">
        <f>IF(AND(CRC_War_Room_SIMs[[#This Row],[Excluded]] = 0, OR(CRC_War_Room_SIMs[[#This Row],[SLA Miss]] &lt;&gt; "", ISNUMBER(SEARCH("SLA", CRC_War_Room_SIMs[[#This Row],[Labels]])))), 1, 0)</f>
        <v>0</v>
      </c>
    </row>
    <row r="133" spans="1:16" x14ac:dyDescent="0.25">
      <c r="A133" t="s">
        <v>2619</v>
      </c>
      <c r="B133" t="s">
        <v>2617</v>
      </c>
      <c r="C133" t="s">
        <v>2583</v>
      </c>
      <c r="H13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33" s="49">
        <f ca="1">IFERROR(WEEKNUM(CRC_War_Room_SIMs[[#This Row],[Ops Date]]), "N/A")</f>
        <v>31</v>
      </c>
      <c r="J13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3" s="50">
        <f>IF(AND(CRC_War_Room_SIMs[[#This Row],[CI]] = 0, CRC_War_Room_SIMs[[#This Row],[Miss]] = 1), 1, 0)</f>
        <v>0</v>
      </c>
      <c r="N13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3" s="50">
        <f>IF(AND(CRC_War_Room_SIMs[[#This Row],[Excluded]] = 0, OR(CRC_War_Room_SIMs[[#This Row],[SLA Miss]] &lt;&gt; "", ISNUMBER(SEARCH("SLA", CRC_War_Room_SIMs[[#This Row],[Labels]])))), 1, 0)</f>
        <v>0</v>
      </c>
    </row>
    <row r="134" spans="1:16" x14ac:dyDescent="0.25">
      <c r="A134" t="s">
        <v>2620</v>
      </c>
      <c r="B134" t="s">
        <v>2617</v>
      </c>
      <c r="C134" t="s">
        <v>2583</v>
      </c>
      <c r="H13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34" s="49">
        <f ca="1">IFERROR(WEEKNUM(CRC_War_Room_SIMs[[#This Row],[Ops Date]]), "N/A")</f>
        <v>31</v>
      </c>
      <c r="J13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4" s="50">
        <f>IF(AND(CRC_War_Room_SIMs[[#This Row],[CI]] = 0, CRC_War_Room_SIMs[[#This Row],[Miss]] = 1), 1, 0)</f>
        <v>0</v>
      </c>
      <c r="N13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4" s="50">
        <f>IF(AND(CRC_War_Room_SIMs[[#This Row],[Excluded]] = 0, OR(CRC_War_Room_SIMs[[#This Row],[SLA Miss]] &lt;&gt; "", ISNUMBER(SEARCH("SLA", CRC_War_Room_SIMs[[#This Row],[Labels]])))), 1, 0)</f>
        <v>0</v>
      </c>
    </row>
    <row r="135" spans="1:16" x14ac:dyDescent="0.25">
      <c r="A135" t="s">
        <v>2621</v>
      </c>
      <c r="B135" t="s">
        <v>2617</v>
      </c>
      <c r="C135" t="s">
        <v>2583</v>
      </c>
      <c r="H13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35" s="49">
        <f ca="1">IFERROR(WEEKNUM(CRC_War_Room_SIMs[[#This Row],[Ops Date]]), "N/A")</f>
        <v>31</v>
      </c>
      <c r="J13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5" s="50">
        <f>IF(AND(CRC_War_Room_SIMs[[#This Row],[CI]] = 0, CRC_War_Room_SIMs[[#This Row],[Miss]] = 1), 1, 0)</f>
        <v>0</v>
      </c>
      <c r="N13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5" s="50">
        <f>IF(AND(CRC_War_Room_SIMs[[#This Row],[Excluded]] = 0, OR(CRC_War_Room_SIMs[[#This Row],[SLA Miss]] &lt;&gt; "", ISNUMBER(SEARCH("SLA", CRC_War_Room_SIMs[[#This Row],[Labels]])))), 1, 0)</f>
        <v>0</v>
      </c>
    </row>
    <row r="136" spans="1:16" x14ac:dyDescent="0.25">
      <c r="A136" t="s">
        <v>2622</v>
      </c>
      <c r="B136" t="s">
        <v>2617</v>
      </c>
      <c r="C136" t="s">
        <v>2583</v>
      </c>
      <c r="H13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36" s="49">
        <f ca="1">IFERROR(WEEKNUM(CRC_War_Room_SIMs[[#This Row],[Ops Date]]), "N/A")</f>
        <v>31</v>
      </c>
      <c r="J13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6" s="50">
        <f>IF(AND(CRC_War_Room_SIMs[[#This Row],[CI]] = 0, CRC_War_Room_SIMs[[#This Row],[Miss]] = 1), 1, 0)</f>
        <v>0</v>
      </c>
      <c r="N13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6" s="50">
        <f>IF(AND(CRC_War_Room_SIMs[[#This Row],[Excluded]] = 0, OR(CRC_War_Room_SIMs[[#This Row],[SLA Miss]] &lt;&gt; "", ISNUMBER(SEARCH("SLA", CRC_War_Room_SIMs[[#This Row],[Labels]])))), 1, 0)</f>
        <v>0</v>
      </c>
    </row>
    <row r="137" spans="1:16" x14ac:dyDescent="0.25">
      <c r="A137" t="s">
        <v>2623</v>
      </c>
      <c r="B137" t="s">
        <v>2617</v>
      </c>
      <c r="C137" t="s">
        <v>2583</v>
      </c>
      <c r="H13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37" s="49">
        <f ca="1">IFERROR(WEEKNUM(CRC_War_Room_SIMs[[#This Row],[Ops Date]]), "N/A")</f>
        <v>31</v>
      </c>
      <c r="J13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7" s="50">
        <f>IF(AND(CRC_War_Room_SIMs[[#This Row],[CI]] = 0, CRC_War_Room_SIMs[[#This Row],[Miss]] = 1), 1, 0)</f>
        <v>0</v>
      </c>
      <c r="N13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7" s="50">
        <f>IF(AND(CRC_War_Room_SIMs[[#This Row],[Excluded]] = 0, OR(CRC_War_Room_SIMs[[#This Row],[SLA Miss]] &lt;&gt; "", ISNUMBER(SEARCH("SLA", CRC_War_Room_SIMs[[#This Row],[Labels]])))), 1, 0)</f>
        <v>0</v>
      </c>
    </row>
    <row r="138" spans="1:16" x14ac:dyDescent="0.25">
      <c r="A138" t="s">
        <v>2624</v>
      </c>
      <c r="B138" t="s">
        <v>2617</v>
      </c>
      <c r="C138" t="s">
        <v>2583</v>
      </c>
      <c r="H13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38" s="49">
        <f ca="1">IFERROR(WEEKNUM(CRC_War_Room_SIMs[[#This Row],[Ops Date]]), "N/A")</f>
        <v>31</v>
      </c>
      <c r="J13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8" s="50">
        <f>IF(AND(CRC_War_Room_SIMs[[#This Row],[CI]] = 0, CRC_War_Room_SIMs[[#This Row],[Miss]] = 1), 1, 0)</f>
        <v>0</v>
      </c>
      <c r="N13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8" s="50">
        <f>IF(AND(CRC_War_Room_SIMs[[#This Row],[Excluded]] = 0, OR(CRC_War_Room_SIMs[[#This Row],[SLA Miss]] &lt;&gt; "", ISNUMBER(SEARCH("SLA", CRC_War_Room_SIMs[[#This Row],[Labels]])))), 1, 0)</f>
        <v>0</v>
      </c>
    </row>
    <row r="139" spans="1:16" x14ac:dyDescent="0.25">
      <c r="A139" t="s">
        <v>2625</v>
      </c>
      <c r="B139" t="s">
        <v>2617</v>
      </c>
      <c r="C139" t="s">
        <v>2583</v>
      </c>
      <c r="H13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39" s="49">
        <f ca="1">IFERROR(WEEKNUM(CRC_War_Room_SIMs[[#This Row],[Ops Date]]), "N/A")</f>
        <v>31</v>
      </c>
      <c r="J13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9" s="50">
        <f>IF(AND(CRC_War_Room_SIMs[[#This Row],[CI]] = 0, CRC_War_Room_SIMs[[#This Row],[Miss]] = 1), 1, 0)</f>
        <v>0</v>
      </c>
      <c r="N13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9" s="50">
        <f>IF(AND(CRC_War_Room_SIMs[[#This Row],[Excluded]] = 0, OR(CRC_War_Room_SIMs[[#This Row],[SLA Miss]] &lt;&gt; "", ISNUMBER(SEARCH("SLA", CRC_War_Room_SIMs[[#This Row],[Labels]])))), 1, 0)</f>
        <v>0</v>
      </c>
    </row>
    <row r="140" spans="1:16" x14ac:dyDescent="0.25">
      <c r="A140" t="s">
        <v>2626</v>
      </c>
      <c r="B140" t="s">
        <v>2627</v>
      </c>
      <c r="C140" t="s">
        <v>2583</v>
      </c>
      <c r="H14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40" s="49">
        <f ca="1">IFERROR(WEEKNUM(CRC_War_Room_SIMs[[#This Row],[Ops Date]]), "N/A")</f>
        <v>31</v>
      </c>
      <c r="J14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0" s="50">
        <f>IF(AND(CRC_War_Room_SIMs[[#This Row],[CI]] = 0, CRC_War_Room_SIMs[[#This Row],[Miss]] = 1), 1, 0)</f>
        <v>0</v>
      </c>
      <c r="N14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0" s="50">
        <f>IF(AND(CRC_War_Room_SIMs[[#This Row],[Excluded]] = 0, OR(CRC_War_Room_SIMs[[#This Row],[SLA Miss]] &lt;&gt; "", ISNUMBER(SEARCH("SLA", CRC_War_Room_SIMs[[#This Row],[Labels]])))), 1, 0)</f>
        <v>0</v>
      </c>
    </row>
    <row r="141" spans="1:16" x14ac:dyDescent="0.25">
      <c r="A141" t="s">
        <v>2628</v>
      </c>
      <c r="B141" t="s">
        <v>2627</v>
      </c>
      <c r="C141" t="s">
        <v>2583</v>
      </c>
      <c r="H14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41" s="49">
        <f ca="1">IFERROR(WEEKNUM(CRC_War_Room_SIMs[[#This Row],[Ops Date]]), "N/A")</f>
        <v>31</v>
      </c>
      <c r="J14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1" s="50">
        <f>IF(AND(CRC_War_Room_SIMs[[#This Row],[CI]] = 0, CRC_War_Room_SIMs[[#This Row],[Miss]] = 1), 1, 0)</f>
        <v>0</v>
      </c>
      <c r="N14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1" s="50">
        <f>IF(AND(CRC_War_Room_SIMs[[#This Row],[Excluded]] = 0, OR(CRC_War_Room_SIMs[[#This Row],[SLA Miss]] &lt;&gt; "", ISNUMBER(SEARCH("SLA", CRC_War_Room_SIMs[[#This Row],[Labels]])))), 1, 0)</f>
        <v>0</v>
      </c>
    </row>
    <row r="142" spans="1:16" x14ac:dyDescent="0.25">
      <c r="A142" t="s">
        <v>2629</v>
      </c>
      <c r="B142" t="s">
        <v>2627</v>
      </c>
      <c r="C142" t="s">
        <v>2583</v>
      </c>
      <c r="H14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42" s="49">
        <f ca="1">IFERROR(WEEKNUM(CRC_War_Room_SIMs[[#This Row],[Ops Date]]), "N/A")</f>
        <v>31</v>
      </c>
      <c r="J14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2" s="50">
        <f>IF(AND(CRC_War_Room_SIMs[[#This Row],[CI]] = 0, CRC_War_Room_SIMs[[#This Row],[Miss]] = 1), 1, 0)</f>
        <v>0</v>
      </c>
      <c r="N14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2" s="50">
        <f>IF(AND(CRC_War_Room_SIMs[[#This Row],[Excluded]] = 0, OR(CRC_War_Room_SIMs[[#This Row],[SLA Miss]] &lt;&gt; "", ISNUMBER(SEARCH("SLA", CRC_War_Room_SIMs[[#This Row],[Labels]])))), 1, 0)</f>
        <v>0</v>
      </c>
    </row>
    <row r="143" spans="1:16" x14ac:dyDescent="0.25">
      <c r="A143" t="s">
        <v>2630</v>
      </c>
      <c r="B143" t="s">
        <v>2627</v>
      </c>
      <c r="C143" t="s">
        <v>2583</v>
      </c>
      <c r="H14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43" s="49">
        <f ca="1">IFERROR(WEEKNUM(CRC_War_Room_SIMs[[#This Row],[Ops Date]]), "N/A")</f>
        <v>31</v>
      </c>
      <c r="J14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3" s="50">
        <f>IF(AND(CRC_War_Room_SIMs[[#This Row],[CI]] = 0, CRC_War_Room_SIMs[[#This Row],[Miss]] = 1), 1, 0)</f>
        <v>0</v>
      </c>
      <c r="N14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3" s="50">
        <f>IF(AND(CRC_War_Room_SIMs[[#This Row],[Excluded]] = 0, OR(CRC_War_Room_SIMs[[#This Row],[SLA Miss]] &lt;&gt; "", ISNUMBER(SEARCH("SLA", CRC_War_Room_SIMs[[#This Row],[Labels]])))), 1, 0)</f>
        <v>0</v>
      </c>
    </row>
    <row r="144" spans="1:16" x14ac:dyDescent="0.25">
      <c r="A144" t="s">
        <v>2631</v>
      </c>
      <c r="B144" t="s">
        <v>2627</v>
      </c>
      <c r="C144" t="s">
        <v>2583</v>
      </c>
      <c r="H14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44" s="49">
        <f ca="1">IFERROR(WEEKNUM(CRC_War_Room_SIMs[[#This Row],[Ops Date]]), "N/A")</f>
        <v>31</v>
      </c>
      <c r="J14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4" s="50">
        <f>IF(AND(CRC_War_Room_SIMs[[#This Row],[CI]] = 0, CRC_War_Room_SIMs[[#This Row],[Miss]] = 1), 1, 0)</f>
        <v>0</v>
      </c>
      <c r="N14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4" s="50">
        <f>IF(AND(CRC_War_Room_SIMs[[#This Row],[Excluded]] = 0, OR(CRC_War_Room_SIMs[[#This Row],[SLA Miss]] &lt;&gt; "", ISNUMBER(SEARCH("SLA", CRC_War_Room_SIMs[[#This Row],[Labels]])))), 1, 0)</f>
        <v>0</v>
      </c>
    </row>
    <row r="145" spans="1:16" x14ac:dyDescent="0.25">
      <c r="A145" t="s">
        <v>2632</v>
      </c>
      <c r="B145" t="s">
        <v>2627</v>
      </c>
      <c r="C145" t="s">
        <v>2583</v>
      </c>
      <c r="H14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45" s="49">
        <f ca="1">IFERROR(WEEKNUM(CRC_War_Room_SIMs[[#This Row],[Ops Date]]), "N/A")</f>
        <v>31</v>
      </c>
      <c r="J14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5" s="50">
        <f>IF(AND(CRC_War_Room_SIMs[[#This Row],[CI]] = 0, CRC_War_Room_SIMs[[#This Row],[Miss]] = 1), 1, 0)</f>
        <v>0</v>
      </c>
      <c r="N14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5" s="50">
        <f>IF(AND(CRC_War_Room_SIMs[[#This Row],[Excluded]] = 0, OR(CRC_War_Room_SIMs[[#This Row],[SLA Miss]] &lt;&gt; "", ISNUMBER(SEARCH("SLA", CRC_War_Room_SIMs[[#This Row],[Labels]])))), 1, 0)</f>
        <v>0</v>
      </c>
    </row>
    <row r="146" spans="1:16" x14ac:dyDescent="0.25">
      <c r="A146" t="s">
        <v>2633</v>
      </c>
      <c r="B146" t="s">
        <v>2627</v>
      </c>
      <c r="C146" t="s">
        <v>2583</v>
      </c>
      <c r="H14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46" s="49">
        <f ca="1">IFERROR(WEEKNUM(CRC_War_Room_SIMs[[#This Row],[Ops Date]]), "N/A")</f>
        <v>31</v>
      </c>
      <c r="J14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6" s="50">
        <f>IF(AND(CRC_War_Room_SIMs[[#This Row],[CI]] = 0, CRC_War_Room_SIMs[[#This Row],[Miss]] = 1), 1, 0)</f>
        <v>0</v>
      </c>
      <c r="N14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6" s="50">
        <f>IF(AND(CRC_War_Room_SIMs[[#This Row],[Excluded]] = 0, OR(CRC_War_Room_SIMs[[#This Row],[SLA Miss]] &lt;&gt; "", ISNUMBER(SEARCH("SLA", CRC_War_Room_SIMs[[#This Row],[Labels]])))), 1, 0)</f>
        <v>0</v>
      </c>
    </row>
    <row r="147" spans="1:16" x14ac:dyDescent="0.25">
      <c r="A147" t="s">
        <v>2634</v>
      </c>
      <c r="B147" t="s">
        <v>2627</v>
      </c>
      <c r="C147" t="s">
        <v>2583</v>
      </c>
      <c r="H14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47" s="49">
        <f ca="1">IFERROR(WEEKNUM(CRC_War_Room_SIMs[[#This Row],[Ops Date]]), "N/A")</f>
        <v>31</v>
      </c>
      <c r="J14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7" s="50">
        <f>IF(AND(CRC_War_Room_SIMs[[#This Row],[CI]] = 0, CRC_War_Room_SIMs[[#This Row],[Miss]] = 1), 1, 0)</f>
        <v>0</v>
      </c>
      <c r="N14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7" s="50">
        <f>IF(AND(CRC_War_Room_SIMs[[#This Row],[Excluded]] = 0, OR(CRC_War_Room_SIMs[[#This Row],[SLA Miss]] &lt;&gt; "", ISNUMBER(SEARCH("SLA", CRC_War_Room_SIMs[[#This Row],[Labels]])))), 1, 0)</f>
        <v>0</v>
      </c>
    </row>
    <row r="148" spans="1:16" x14ac:dyDescent="0.25">
      <c r="A148" t="s">
        <v>2635</v>
      </c>
      <c r="B148" t="s">
        <v>2636</v>
      </c>
      <c r="C148" t="s">
        <v>2583</v>
      </c>
      <c r="H14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48" s="49">
        <f ca="1">IFERROR(WEEKNUM(CRC_War_Room_SIMs[[#This Row],[Ops Date]]), "N/A")</f>
        <v>31</v>
      </c>
      <c r="J14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8" s="50">
        <f>IF(AND(CRC_War_Room_SIMs[[#This Row],[CI]] = 0, CRC_War_Room_SIMs[[#This Row],[Miss]] = 1), 1, 0)</f>
        <v>0</v>
      </c>
      <c r="N14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8" s="50">
        <f>IF(AND(CRC_War_Room_SIMs[[#This Row],[Excluded]] = 0, OR(CRC_War_Room_SIMs[[#This Row],[SLA Miss]] &lt;&gt; "", ISNUMBER(SEARCH("SLA", CRC_War_Room_SIMs[[#This Row],[Labels]])))), 1, 0)</f>
        <v>0</v>
      </c>
    </row>
    <row r="149" spans="1:16" x14ac:dyDescent="0.25">
      <c r="A149" t="s">
        <v>2637</v>
      </c>
      <c r="B149" t="s">
        <v>2627</v>
      </c>
      <c r="C149" t="s">
        <v>2583</v>
      </c>
      <c r="H14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49" s="49">
        <f ca="1">IFERROR(WEEKNUM(CRC_War_Room_SIMs[[#This Row],[Ops Date]]), "N/A")</f>
        <v>31</v>
      </c>
      <c r="J14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9" s="50">
        <f>IF(AND(CRC_War_Room_SIMs[[#This Row],[CI]] = 0, CRC_War_Room_SIMs[[#This Row],[Miss]] = 1), 1, 0)</f>
        <v>0</v>
      </c>
      <c r="N14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9" s="50">
        <f>IF(AND(CRC_War_Room_SIMs[[#This Row],[Excluded]] = 0, OR(CRC_War_Room_SIMs[[#This Row],[SLA Miss]] &lt;&gt; "", ISNUMBER(SEARCH("SLA", CRC_War_Room_SIMs[[#This Row],[Labels]])))), 1, 0)</f>
        <v>0</v>
      </c>
    </row>
    <row r="150" spans="1:16" x14ac:dyDescent="0.25">
      <c r="A150" t="s">
        <v>2638</v>
      </c>
      <c r="B150" t="s">
        <v>2636</v>
      </c>
      <c r="C150" t="s">
        <v>2583</v>
      </c>
      <c r="H15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50" s="49">
        <f ca="1">IFERROR(WEEKNUM(CRC_War_Room_SIMs[[#This Row],[Ops Date]]), "N/A")</f>
        <v>31</v>
      </c>
      <c r="J15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0" s="50">
        <f>IF(AND(CRC_War_Room_SIMs[[#This Row],[CI]] = 0, CRC_War_Room_SIMs[[#This Row],[Miss]] = 1), 1, 0)</f>
        <v>0</v>
      </c>
      <c r="N15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0" s="50">
        <f>IF(AND(CRC_War_Room_SIMs[[#This Row],[Excluded]] = 0, OR(CRC_War_Room_SIMs[[#This Row],[SLA Miss]] &lt;&gt; "", ISNUMBER(SEARCH("SLA", CRC_War_Room_SIMs[[#This Row],[Labels]])))), 1, 0)</f>
        <v>0</v>
      </c>
    </row>
    <row r="151" spans="1:16" x14ac:dyDescent="0.25">
      <c r="A151" t="s">
        <v>2639</v>
      </c>
      <c r="B151" t="s">
        <v>2636</v>
      </c>
      <c r="C151" t="s">
        <v>2583</v>
      </c>
      <c r="H15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51" s="49">
        <f ca="1">IFERROR(WEEKNUM(CRC_War_Room_SIMs[[#This Row],[Ops Date]]), "N/A")</f>
        <v>31</v>
      </c>
      <c r="J15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1" s="50">
        <f>IF(AND(CRC_War_Room_SIMs[[#This Row],[CI]] = 0, CRC_War_Room_SIMs[[#This Row],[Miss]] = 1), 1, 0)</f>
        <v>0</v>
      </c>
      <c r="N15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1" s="50">
        <f>IF(AND(CRC_War_Room_SIMs[[#This Row],[Excluded]] = 0, OR(CRC_War_Room_SIMs[[#This Row],[SLA Miss]] &lt;&gt; "", ISNUMBER(SEARCH("SLA", CRC_War_Room_SIMs[[#This Row],[Labels]])))), 1, 0)</f>
        <v>0</v>
      </c>
    </row>
    <row r="152" spans="1:16" x14ac:dyDescent="0.25">
      <c r="A152" t="s">
        <v>2640</v>
      </c>
      <c r="B152" t="s">
        <v>2636</v>
      </c>
      <c r="C152" t="s">
        <v>2583</v>
      </c>
      <c r="H15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52" s="49">
        <f ca="1">IFERROR(WEEKNUM(CRC_War_Room_SIMs[[#This Row],[Ops Date]]), "N/A")</f>
        <v>31</v>
      </c>
      <c r="J15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2" s="50">
        <f>IF(AND(CRC_War_Room_SIMs[[#This Row],[CI]] = 0, CRC_War_Room_SIMs[[#This Row],[Miss]] = 1), 1, 0)</f>
        <v>0</v>
      </c>
      <c r="N15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2" s="50">
        <f>IF(AND(CRC_War_Room_SIMs[[#This Row],[Excluded]] = 0, OR(CRC_War_Room_SIMs[[#This Row],[SLA Miss]] &lt;&gt; "", ISNUMBER(SEARCH("SLA", CRC_War_Room_SIMs[[#This Row],[Labels]])))), 1, 0)</f>
        <v>0</v>
      </c>
    </row>
    <row r="153" spans="1:16" x14ac:dyDescent="0.25">
      <c r="A153" t="s">
        <v>2641</v>
      </c>
      <c r="B153" t="s">
        <v>2636</v>
      </c>
      <c r="C153" t="s">
        <v>2583</v>
      </c>
      <c r="H15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53" s="49">
        <f ca="1">IFERROR(WEEKNUM(CRC_War_Room_SIMs[[#This Row],[Ops Date]]), "N/A")</f>
        <v>31</v>
      </c>
      <c r="J15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3" s="50">
        <f>IF(AND(CRC_War_Room_SIMs[[#This Row],[CI]] = 0, CRC_War_Room_SIMs[[#This Row],[Miss]] = 1), 1, 0)</f>
        <v>0</v>
      </c>
      <c r="N15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3" s="50">
        <f>IF(AND(CRC_War_Room_SIMs[[#This Row],[Excluded]] = 0, OR(CRC_War_Room_SIMs[[#This Row],[SLA Miss]] &lt;&gt; "", ISNUMBER(SEARCH("SLA", CRC_War_Room_SIMs[[#This Row],[Labels]])))), 1, 0)</f>
        <v>0</v>
      </c>
    </row>
    <row r="154" spans="1:16" x14ac:dyDescent="0.25">
      <c r="A154" t="s">
        <v>2642</v>
      </c>
      <c r="B154" t="s">
        <v>2636</v>
      </c>
      <c r="C154" t="s">
        <v>2583</v>
      </c>
      <c r="H15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54" s="49">
        <f ca="1">IFERROR(WEEKNUM(CRC_War_Room_SIMs[[#This Row],[Ops Date]]), "N/A")</f>
        <v>31</v>
      </c>
      <c r="J15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4" s="50">
        <f>IF(AND(CRC_War_Room_SIMs[[#This Row],[CI]] = 0, CRC_War_Room_SIMs[[#This Row],[Miss]] = 1), 1, 0)</f>
        <v>0</v>
      </c>
      <c r="N15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4" s="50">
        <f>IF(AND(CRC_War_Room_SIMs[[#This Row],[Excluded]] = 0, OR(CRC_War_Room_SIMs[[#This Row],[SLA Miss]] &lt;&gt; "", ISNUMBER(SEARCH("SLA", CRC_War_Room_SIMs[[#This Row],[Labels]])))), 1, 0)</f>
        <v>0</v>
      </c>
    </row>
    <row r="155" spans="1:16" x14ac:dyDescent="0.25">
      <c r="A155" t="s">
        <v>2643</v>
      </c>
      <c r="B155" t="s">
        <v>2636</v>
      </c>
      <c r="C155" t="s">
        <v>2583</v>
      </c>
      <c r="H15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55" s="49">
        <f ca="1">IFERROR(WEEKNUM(CRC_War_Room_SIMs[[#This Row],[Ops Date]]), "N/A")</f>
        <v>31</v>
      </c>
      <c r="J15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5" s="50">
        <f>IF(AND(CRC_War_Room_SIMs[[#This Row],[CI]] = 0, CRC_War_Room_SIMs[[#This Row],[Miss]] = 1), 1, 0)</f>
        <v>0</v>
      </c>
      <c r="N15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5" s="50">
        <f>IF(AND(CRC_War_Room_SIMs[[#This Row],[Excluded]] = 0, OR(CRC_War_Room_SIMs[[#This Row],[SLA Miss]] &lt;&gt; "", ISNUMBER(SEARCH("SLA", CRC_War_Room_SIMs[[#This Row],[Labels]])))), 1, 0)</f>
        <v>0</v>
      </c>
    </row>
    <row r="156" spans="1:16" x14ac:dyDescent="0.25">
      <c r="A156" t="s">
        <v>2644</v>
      </c>
      <c r="B156" t="s">
        <v>2636</v>
      </c>
      <c r="C156" t="s">
        <v>2583</v>
      </c>
      <c r="H15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56" s="49">
        <f ca="1">IFERROR(WEEKNUM(CRC_War_Room_SIMs[[#This Row],[Ops Date]]), "N/A")</f>
        <v>31</v>
      </c>
      <c r="J15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6" s="50">
        <f>IF(AND(CRC_War_Room_SIMs[[#This Row],[CI]] = 0, CRC_War_Room_SIMs[[#This Row],[Miss]] = 1), 1, 0)</f>
        <v>0</v>
      </c>
      <c r="N15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6" s="50">
        <f>IF(AND(CRC_War_Room_SIMs[[#This Row],[Excluded]] = 0, OR(CRC_War_Room_SIMs[[#This Row],[SLA Miss]] &lt;&gt; "", ISNUMBER(SEARCH("SLA", CRC_War_Room_SIMs[[#This Row],[Labels]])))), 1, 0)</f>
        <v>0</v>
      </c>
    </row>
    <row r="157" spans="1:16" x14ac:dyDescent="0.25">
      <c r="A157" t="s">
        <v>2645</v>
      </c>
      <c r="B157" t="s">
        <v>2636</v>
      </c>
      <c r="C157" t="s">
        <v>2583</v>
      </c>
      <c r="H15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57" s="49">
        <f ca="1">IFERROR(WEEKNUM(CRC_War_Room_SIMs[[#This Row],[Ops Date]]), "N/A")</f>
        <v>31</v>
      </c>
      <c r="J15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7" s="50">
        <f>IF(AND(CRC_War_Room_SIMs[[#This Row],[CI]] = 0, CRC_War_Room_SIMs[[#This Row],[Miss]] = 1), 1, 0)</f>
        <v>0</v>
      </c>
      <c r="N15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7" s="50">
        <f>IF(AND(CRC_War_Room_SIMs[[#This Row],[Excluded]] = 0, OR(CRC_War_Room_SIMs[[#This Row],[SLA Miss]] &lt;&gt; "", ISNUMBER(SEARCH("SLA", CRC_War_Room_SIMs[[#This Row],[Labels]])))), 1, 0)</f>
        <v>0</v>
      </c>
    </row>
    <row r="158" spans="1:16" x14ac:dyDescent="0.25">
      <c r="A158" t="s">
        <v>2646</v>
      </c>
      <c r="B158" t="s">
        <v>2589</v>
      </c>
      <c r="C158" t="s">
        <v>2583</v>
      </c>
      <c r="H15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58" s="49">
        <f ca="1">IFERROR(WEEKNUM(CRC_War_Room_SIMs[[#This Row],[Ops Date]]), "N/A")</f>
        <v>31</v>
      </c>
      <c r="J15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8" s="50">
        <f>IF(AND(CRC_War_Room_SIMs[[#This Row],[CI]] = 0, CRC_War_Room_SIMs[[#This Row],[Miss]] = 1), 1, 0)</f>
        <v>0</v>
      </c>
      <c r="N15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8" s="50">
        <f>IF(AND(CRC_War_Room_SIMs[[#This Row],[Excluded]] = 0, OR(CRC_War_Room_SIMs[[#This Row],[SLA Miss]] &lt;&gt; "", ISNUMBER(SEARCH("SLA", CRC_War_Room_SIMs[[#This Row],[Labels]])))), 1, 0)</f>
        <v>0</v>
      </c>
    </row>
    <row r="159" spans="1:16" x14ac:dyDescent="0.25">
      <c r="A159" t="s">
        <v>2647</v>
      </c>
      <c r="B159" t="s">
        <v>2589</v>
      </c>
      <c r="C159" t="s">
        <v>2583</v>
      </c>
      <c r="H15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59" s="49">
        <f ca="1">IFERROR(WEEKNUM(CRC_War_Room_SIMs[[#This Row],[Ops Date]]), "N/A")</f>
        <v>31</v>
      </c>
      <c r="J15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9" s="50">
        <f>IF(AND(CRC_War_Room_SIMs[[#This Row],[CI]] = 0, CRC_War_Room_SIMs[[#This Row],[Miss]] = 1), 1, 0)</f>
        <v>0</v>
      </c>
      <c r="N15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9" s="50">
        <f>IF(AND(CRC_War_Room_SIMs[[#This Row],[Excluded]] = 0, OR(CRC_War_Room_SIMs[[#This Row],[SLA Miss]] &lt;&gt; "", ISNUMBER(SEARCH("SLA", CRC_War_Room_SIMs[[#This Row],[Labels]])))), 1, 0)</f>
        <v>0</v>
      </c>
    </row>
    <row r="160" spans="1:16" x14ac:dyDescent="0.25">
      <c r="A160" t="s">
        <v>2648</v>
      </c>
      <c r="B160" t="s">
        <v>2589</v>
      </c>
      <c r="C160" t="s">
        <v>2583</v>
      </c>
      <c r="H16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60" s="49">
        <f ca="1">IFERROR(WEEKNUM(CRC_War_Room_SIMs[[#This Row],[Ops Date]]), "N/A")</f>
        <v>31</v>
      </c>
      <c r="J16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0" s="50">
        <f>IF(AND(CRC_War_Room_SIMs[[#This Row],[CI]] = 0, CRC_War_Room_SIMs[[#This Row],[Miss]] = 1), 1, 0)</f>
        <v>0</v>
      </c>
      <c r="N16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0" s="50">
        <f>IF(AND(CRC_War_Room_SIMs[[#This Row],[Excluded]] = 0, OR(CRC_War_Room_SIMs[[#This Row],[SLA Miss]] &lt;&gt; "", ISNUMBER(SEARCH("SLA", CRC_War_Room_SIMs[[#This Row],[Labels]])))), 1, 0)</f>
        <v>0</v>
      </c>
    </row>
    <row r="161" spans="1:16" x14ac:dyDescent="0.25">
      <c r="A161" t="s">
        <v>2649</v>
      </c>
      <c r="B161" t="s">
        <v>2589</v>
      </c>
      <c r="C161" t="s">
        <v>2583</v>
      </c>
      <c r="H16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61" s="49">
        <f ca="1">IFERROR(WEEKNUM(CRC_War_Room_SIMs[[#This Row],[Ops Date]]), "N/A")</f>
        <v>31</v>
      </c>
      <c r="J16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1" s="50">
        <f>IF(AND(CRC_War_Room_SIMs[[#This Row],[CI]] = 0, CRC_War_Room_SIMs[[#This Row],[Miss]] = 1), 1, 0)</f>
        <v>0</v>
      </c>
      <c r="N16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1" s="50">
        <f>IF(AND(CRC_War_Room_SIMs[[#This Row],[Excluded]] = 0, OR(CRC_War_Room_SIMs[[#This Row],[SLA Miss]] &lt;&gt; "", ISNUMBER(SEARCH("SLA", CRC_War_Room_SIMs[[#This Row],[Labels]])))), 1, 0)</f>
        <v>0</v>
      </c>
    </row>
    <row r="162" spans="1:16" x14ac:dyDescent="0.25">
      <c r="A162" t="s">
        <v>2650</v>
      </c>
      <c r="B162" t="s">
        <v>2589</v>
      </c>
      <c r="C162" t="s">
        <v>2583</v>
      </c>
      <c r="H16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62" s="49">
        <f ca="1">IFERROR(WEEKNUM(CRC_War_Room_SIMs[[#This Row],[Ops Date]]), "N/A")</f>
        <v>31</v>
      </c>
      <c r="J16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2" s="50">
        <f>IF(AND(CRC_War_Room_SIMs[[#This Row],[CI]] = 0, CRC_War_Room_SIMs[[#This Row],[Miss]] = 1), 1, 0)</f>
        <v>0</v>
      </c>
      <c r="N16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2" s="50">
        <f>IF(AND(CRC_War_Room_SIMs[[#This Row],[Excluded]] = 0, OR(CRC_War_Room_SIMs[[#This Row],[SLA Miss]] &lt;&gt; "", ISNUMBER(SEARCH("SLA", CRC_War_Room_SIMs[[#This Row],[Labels]])))), 1, 0)</f>
        <v>0</v>
      </c>
    </row>
    <row r="163" spans="1:16" x14ac:dyDescent="0.25">
      <c r="A163" t="s">
        <v>2651</v>
      </c>
      <c r="B163" t="s">
        <v>2589</v>
      </c>
      <c r="C163" t="s">
        <v>2583</v>
      </c>
      <c r="H16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63" s="49">
        <f ca="1">IFERROR(WEEKNUM(CRC_War_Room_SIMs[[#This Row],[Ops Date]]), "N/A")</f>
        <v>31</v>
      </c>
      <c r="J16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3" s="50">
        <f>IF(AND(CRC_War_Room_SIMs[[#This Row],[CI]] = 0, CRC_War_Room_SIMs[[#This Row],[Miss]] = 1), 1, 0)</f>
        <v>0</v>
      </c>
      <c r="N16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3" s="50">
        <f>IF(AND(CRC_War_Room_SIMs[[#This Row],[Excluded]] = 0, OR(CRC_War_Room_SIMs[[#This Row],[SLA Miss]] &lt;&gt; "", ISNUMBER(SEARCH("SLA", CRC_War_Room_SIMs[[#This Row],[Labels]])))), 1, 0)</f>
        <v>0</v>
      </c>
    </row>
    <row r="164" spans="1:16" x14ac:dyDescent="0.25">
      <c r="A164" t="s">
        <v>2652</v>
      </c>
      <c r="B164" t="s">
        <v>2589</v>
      </c>
      <c r="C164" t="s">
        <v>2583</v>
      </c>
      <c r="H16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45503</v>
      </c>
      <c r="I164" s="49">
        <f ca="1">IFERROR(WEEKNUM(CRC_War_Room_SIMs[[#This Row],[Ops Date]]), "N/A")</f>
        <v>31</v>
      </c>
      <c r="J16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4" s="50">
        <f>IF(AND(CRC_War_Room_SIMs[[#This Row],[CI]] = 0, CRC_War_Room_SIMs[[#This Row],[Miss]] = 1), 1, 0)</f>
        <v>0</v>
      </c>
      <c r="N16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4" s="50">
        <f>IF(AND(CRC_War_Room_SIMs[[#This Row],[Excluded]] = 0, OR(CRC_War_Room_SIMs[[#This Row],[SLA Miss]] &lt;&gt; "", ISNUMBER(SEARCH("SLA", CRC_War_Room_SIMs[[#This Row],[Labels]])))), 1, 0)</f>
        <v>0</v>
      </c>
    </row>
    <row r="165" spans="1:16" x14ac:dyDescent="0.25">
      <c r="A165" t="s">
        <v>2653</v>
      </c>
      <c r="B165" t="s">
        <v>2654</v>
      </c>
      <c r="C165" t="s">
        <v>2655</v>
      </c>
      <c r="H16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65" s="49">
        <f ca="1">IFERROR(WEEKNUM(CRC_War_Room_SIMs[[#This Row],[Ops Date]]), "N/A")</f>
        <v>31</v>
      </c>
      <c r="J16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5" s="50">
        <f>IF(AND(CRC_War_Room_SIMs[[#This Row],[CI]] = 0, CRC_War_Room_SIMs[[#This Row],[Miss]] = 1), 1, 0)</f>
        <v>0</v>
      </c>
      <c r="N16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5" s="50">
        <f>IF(AND(CRC_War_Room_SIMs[[#This Row],[Excluded]] = 0, OR(CRC_War_Room_SIMs[[#This Row],[SLA Miss]] &lt;&gt; "", ISNUMBER(SEARCH("SLA", CRC_War_Room_SIMs[[#This Row],[Labels]])))), 1, 0)</f>
        <v>0</v>
      </c>
    </row>
    <row r="166" spans="1:16" x14ac:dyDescent="0.25">
      <c r="A166" t="s">
        <v>2656</v>
      </c>
      <c r="B166" t="s">
        <v>2657</v>
      </c>
      <c r="C166" t="s">
        <v>2655</v>
      </c>
      <c r="H16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66" s="49">
        <f ca="1">IFERROR(WEEKNUM(CRC_War_Room_SIMs[[#This Row],[Ops Date]]), "N/A")</f>
        <v>31</v>
      </c>
      <c r="J16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6" s="50">
        <f>IF(AND(CRC_War_Room_SIMs[[#This Row],[CI]] = 0, CRC_War_Room_SIMs[[#This Row],[Miss]] = 1), 1, 0)</f>
        <v>0</v>
      </c>
      <c r="N16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6" s="50">
        <f>IF(AND(CRC_War_Room_SIMs[[#This Row],[Excluded]] = 0, OR(CRC_War_Room_SIMs[[#This Row],[SLA Miss]] &lt;&gt; "", ISNUMBER(SEARCH("SLA", CRC_War_Room_SIMs[[#This Row],[Labels]])))), 1, 0)</f>
        <v>0</v>
      </c>
    </row>
    <row r="167" spans="1:16" x14ac:dyDescent="0.25">
      <c r="A167" t="s">
        <v>2658</v>
      </c>
      <c r="B167" t="s">
        <v>2659</v>
      </c>
      <c r="C167" t="s">
        <v>2655</v>
      </c>
      <c r="H16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67" s="49">
        <f ca="1">IFERROR(WEEKNUM(CRC_War_Room_SIMs[[#This Row],[Ops Date]]), "N/A")</f>
        <v>31</v>
      </c>
      <c r="J16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7" s="50">
        <f>IF(AND(CRC_War_Room_SIMs[[#This Row],[CI]] = 0, CRC_War_Room_SIMs[[#This Row],[Miss]] = 1), 1, 0)</f>
        <v>0</v>
      </c>
      <c r="N16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7" s="50">
        <f>IF(AND(CRC_War_Room_SIMs[[#This Row],[Excluded]] = 0, OR(CRC_War_Room_SIMs[[#This Row],[SLA Miss]] &lt;&gt; "", ISNUMBER(SEARCH("SLA", CRC_War_Room_SIMs[[#This Row],[Labels]])))), 1, 0)</f>
        <v>0</v>
      </c>
    </row>
    <row r="168" spans="1:16" x14ac:dyDescent="0.25">
      <c r="A168" t="s">
        <v>2660</v>
      </c>
      <c r="B168" t="s">
        <v>2661</v>
      </c>
      <c r="C168" t="s">
        <v>2655</v>
      </c>
      <c r="H16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68" s="49">
        <f ca="1">IFERROR(WEEKNUM(CRC_War_Room_SIMs[[#This Row],[Ops Date]]), "N/A")</f>
        <v>31</v>
      </c>
      <c r="J16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8" s="50">
        <f>IF(AND(CRC_War_Room_SIMs[[#This Row],[CI]] = 0, CRC_War_Room_SIMs[[#This Row],[Miss]] = 1), 1, 0)</f>
        <v>0</v>
      </c>
      <c r="N16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8" s="50">
        <f>IF(AND(CRC_War_Room_SIMs[[#This Row],[Excluded]] = 0, OR(CRC_War_Room_SIMs[[#This Row],[SLA Miss]] &lt;&gt; "", ISNUMBER(SEARCH("SLA", CRC_War_Room_SIMs[[#This Row],[Labels]])))), 1, 0)</f>
        <v>0</v>
      </c>
    </row>
    <row r="169" spans="1:16" x14ac:dyDescent="0.25">
      <c r="A169" t="s">
        <v>2662</v>
      </c>
      <c r="B169" t="s">
        <v>2661</v>
      </c>
      <c r="C169" t="s">
        <v>2655</v>
      </c>
      <c r="H16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69" s="49">
        <f ca="1">IFERROR(WEEKNUM(CRC_War_Room_SIMs[[#This Row],[Ops Date]]), "N/A")</f>
        <v>31</v>
      </c>
      <c r="J16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9" s="50">
        <f>IF(AND(CRC_War_Room_SIMs[[#This Row],[CI]] = 0, CRC_War_Room_SIMs[[#This Row],[Miss]] = 1), 1, 0)</f>
        <v>0</v>
      </c>
      <c r="N16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9" s="50">
        <f>IF(AND(CRC_War_Room_SIMs[[#This Row],[Excluded]] = 0, OR(CRC_War_Room_SIMs[[#This Row],[SLA Miss]] &lt;&gt; "", ISNUMBER(SEARCH("SLA", CRC_War_Room_SIMs[[#This Row],[Labels]])))), 1, 0)</f>
        <v>0</v>
      </c>
    </row>
    <row r="170" spans="1:16" x14ac:dyDescent="0.25">
      <c r="A170" t="s">
        <v>2663</v>
      </c>
      <c r="B170" t="s">
        <v>2661</v>
      </c>
      <c r="C170" t="s">
        <v>2655</v>
      </c>
      <c r="H17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70" s="49">
        <f ca="1">IFERROR(WEEKNUM(CRC_War_Room_SIMs[[#This Row],[Ops Date]]), "N/A")</f>
        <v>31</v>
      </c>
      <c r="J17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7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7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70" s="50">
        <f>IF(AND(CRC_War_Room_SIMs[[#This Row],[CI]] = 0, CRC_War_Room_SIMs[[#This Row],[Miss]] = 1), 1, 0)</f>
        <v>0</v>
      </c>
      <c r="N17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7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70" s="50">
        <f>IF(AND(CRC_War_Room_SIMs[[#This Row],[Excluded]] = 0, OR(CRC_War_Room_SIMs[[#This Row],[SLA Miss]] &lt;&gt; "", ISNUMBER(SEARCH("SLA", CRC_War_Room_SIMs[[#This Row],[Labels]])))), 1, 0)</f>
        <v>0</v>
      </c>
    </row>
    <row r="171" spans="1:16" x14ac:dyDescent="0.25">
      <c r="A171" t="s">
        <v>2664</v>
      </c>
      <c r="B171" t="s">
        <v>2661</v>
      </c>
      <c r="C171" t="s">
        <v>2655</v>
      </c>
      <c r="H17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71" s="49">
        <f ca="1">IFERROR(WEEKNUM(CRC_War_Room_SIMs[[#This Row],[Ops Date]]), "N/A")</f>
        <v>31</v>
      </c>
      <c r="J17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7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7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71" s="50">
        <f>IF(AND(CRC_War_Room_SIMs[[#This Row],[CI]] = 0, CRC_War_Room_SIMs[[#This Row],[Miss]] = 1), 1, 0)</f>
        <v>0</v>
      </c>
      <c r="N17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7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71" s="50">
        <f>IF(AND(CRC_War_Room_SIMs[[#This Row],[Excluded]] = 0, OR(CRC_War_Room_SIMs[[#This Row],[SLA Miss]] &lt;&gt; "", ISNUMBER(SEARCH("SLA", CRC_War_Room_SIMs[[#This Row],[Labels]])))), 1, 0)</f>
        <v>0</v>
      </c>
    </row>
    <row r="172" spans="1:16" x14ac:dyDescent="0.25">
      <c r="A172" t="s">
        <v>2665</v>
      </c>
      <c r="B172" t="s">
        <v>2661</v>
      </c>
      <c r="C172" t="s">
        <v>2655</v>
      </c>
      <c r="H17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72" s="49">
        <f ca="1">IFERROR(WEEKNUM(CRC_War_Room_SIMs[[#This Row],[Ops Date]]), "N/A")</f>
        <v>31</v>
      </c>
      <c r="J17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7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7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72" s="50">
        <f>IF(AND(CRC_War_Room_SIMs[[#This Row],[CI]] = 0, CRC_War_Room_SIMs[[#This Row],[Miss]] = 1), 1, 0)</f>
        <v>0</v>
      </c>
      <c r="N17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7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72" s="50">
        <f>IF(AND(CRC_War_Room_SIMs[[#This Row],[Excluded]] = 0, OR(CRC_War_Room_SIMs[[#This Row],[SLA Miss]] &lt;&gt; "", ISNUMBER(SEARCH("SLA", CRC_War_Room_SIMs[[#This Row],[Labels]])))), 1, 0)</f>
        <v>0</v>
      </c>
    </row>
    <row r="173" spans="1:16" x14ac:dyDescent="0.25">
      <c r="A173" t="s">
        <v>2666</v>
      </c>
      <c r="B173" t="s">
        <v>2661</v>
      </c>
      <c r="C173" t="s">
        <v>2655</v>
      </c>
      <c r="H17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73" s="49">
        <f ca="1">IFERROR(WEEKNUM(CRC_War_Room_SIMs[[#This Row],[Ops Date]]), "N/A")</f>
        <v>31</v>
      </c>
      <c r="J17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7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7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73" s="50">
        <f>IF(AND(CRC_War_Room_SIMs[[#This Row],[CI]] = 0, CRC_War_Room_SIMs[[#This Row],[Miss]] = 1), 1, 0)</f>
        <v>0</v>
      </c>
      <c r="N17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7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73" s="50">
        <f>IF(AND(CRC_War_Room_SIMs[[#This Row],[Excluded]] = 0, OR(CRC_War_Room_SIMs[[#This Row],[SLA Miss]] &lt;&gt; "", ISNUMBER(SEARCH("SLA", CRC_War_Room_SIMs[[#This Row],[Labels]])))), 1, 0)</f>
        <v>0</v>
      </c>
    </row>
    <row r="174" spans="1:16" x14ac:dyDescent="0.25">
      <c r="A174" t="s">
        <v>2667</v>
      </c>
      <c r="B174" t="s">
        <v>2654</v>
      </c>
      <c r="C174" t="s">
        <v>2655</v>
      </c>
      <c r="H17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74" s="49">
        <f ca="1">IFERROR(WEEKNUM(CRC_War_Room_SIMs[[#This Row],[Ops Date]]), "N/A")</f>
        <v>31</v>
      </c>
      <c r="J17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7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7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74" s="50">
        <f>IF(AND(CRC_War_Room_SIMs[[#This Row],[CI]] = 0, CRC_War_Room_SIMs[[#This Row],[Miss]] = 1), 1, 0)</f>
        <v>0</v>
      </c>
      <c r="N17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7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74" s="50">
        <f>IF(AND(CRC_War_Room_SIMs[[#This Row],[Excluded]] = 0, OR(CRC_War_Room_SIMs[[#This Row],[SLA Miss]] &lt;&gt; "", ISNUMBER(SEARCH("SLA", CRC_War_Room_SIMs[[#This Row],[Labels]])))), 1, 0)</f>
        <v>0</v>
      </c>
    </row>
    <row r="175" spans="1:16" x14ac:dyDescent="0.25">
      <c r="A175" t="s">
        <v>2668</v>
      </c>
      <c r="B175" t="s">
        <v>2654</v>
      </c>
      <c r="C175" t="s">
        <v>2655</v>
      </c>
      <c r="E175" t="s">
        <v>2473</v>
      </c>
      <c r="H17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75" s="49">
        <f ca="1">IFERROR(WEEKNUM(CRC_War_Room_SIMs[[#This Row],[Ops Date]]), "N/A")</f>
        <v>31</v>
      </c>
      <c r="J17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7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7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75" s="50">
        <f>IF(AND(CRC_War_Room_SIMs[[#This Row],[CI]] = 0, CRC_War_Room_SIMs[[#This Row],[Miss]] = 1), 1, 0)</f>
        <v>0</v>
      </c>
      <c r="N175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17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75" s="50">
        <f>IF(AND(CRC_War_Room_SIMs[[#This Row],[Excluded]] = 0, OR(CRC_War_Room_SIMs[[#This Row],[SLA Miss]] &lt;&gt; "", ISNUMBER(SEARCH("SLA", CRC_War_Room_SIMs[[#This Row],[Labels]])))), 1, 0)</f>
        <v>0</v>
      </c>
    </row>
    <row r="176" spans="1:16" x14ac:dyDescent="0.25">
      <c r="A176" t="s">
        <v>2669</v>
      </c>
      <c r="B176" t="s">
        <v>2654</v>
      </c>
      <c r="C176" t="s">
        <v>2655</v>
      </c>
      <c r="H17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76" s="49">
        <f ca="1">IFERROR(WEEKNUM(CRC_War_Room_SIMs[[#This Row],[Ops Date]]), "N/A")</f>
        <v>31</v>
      </c>
      <c r="J17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7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7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76" s="50">
        <f>IF(AND(CRC_War_Room_SIMs[[#This Row],[CI]] = 0, CRC_War_Room_SIMs[[#This Row],[Miss]] = 1), 1, 0)</f>
        <v>0</v>
      </c>
      <c r="N17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7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76" s="50">
        <f>IF(AND(CRC_War_Room_SIMs[[#This Row],[Excluded]] = 0, OR(CRC_War_Room_SIMs[[#This Row],[SLA Miss]] &lt;&gt; "", ISNUMBER(SEARCH("SLA", CRC_War_Room_SIMs[[#This Row],[Labels]])))), 1, 0)</f>
        <v>0</v>
      </c>
    </row>
    <row r="177" spans="1:16" x14ac:dyDescent="0.25">
      <c r="A177" t="s">
        <v>2670</v>
      </c>
      <c r="B177" t="s">
        <v>2671</v>
      </c>
      <c r="C177" t="s">
        <v>2655</v>
      </c>
      <c r="H17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77" s="49">
        <f ca="1">IFERROR(WEEKNUM(CRC_War_Room_SIMs[[#This Row],[Ops Date]]), "N/A")</f>
        <v>31</v>
      </c>
      <c r="J17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7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7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77" s="50">
        <f>IF(AND(CRC_War_Room_SIMs[[#This Row],[CI]] = 0, CRC_War_Room_SIMs[[#This Row],[Miss]] = 1), 1, 0)</f>
        <v>0</v>
      </c>
      <c r="N17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7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77" s="50">
        <f>IF(AND(CRC_War_Room_SIMs[[#This Row],[Excluded]] = 0, OR(CRC_War_Room_SIMs[[#This Row],[SLA Miss]] &lt;&gt; "", ISNUMBER(SEARCH("SLA", CRC_War_Room_SIMs[[#This Row],[Labels]])))), 1, 0)</f>
        <v>0</v>
      </c>
    </row>
    <row r="178" spans="1:16" x14ac:dyDescent="0.25">
      <c r="A178" t="s">
        <v>2672</v>
      </c>
      <c r="B178" t="s">
        <v>2671</v>
      </c>
      <c r="C178" t="s">
        <v>2655</v>
      </c>
      <c r="H17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78" s="49">
        <f ca="1">IFERROR(WEEKNUM(CRC_War_Room_SIMs[[#This Row],[Ops Date]]), "N/A")</f>
        <v>31</v>
      </c>
      <c r="J17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7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7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78" s="50">
        <f>IF(AND(CRC_War_Room_SIMs[[#This Row],[CI]] = 0, CRC_War_Room_SIMs[[#This Row],[Miss]] = 1), 1, 0)</f>
        <v>0</v>
      </c>
      <c r="N17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7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78" s="50">
        <f>IF(AND(CRC_War_Room_SIMs[[#This Row],[Excluded]] = 0, OR(CRC_War_Room_SIMs[[#This Row],[SLA Miss]] &lt;&gt; "", ISNUMBER(SEARCH("SLA", CRC_War_Room_SIMs[[#This Row],[Labels]])))), 1, 0)</f>
        <v>0</v>
      </c>
    </row>
    <row r="179" spans="1:16" x14ac:dyDescent="0.25">
      <c r="A179" t="s">
        <v>2673</v>
      </c>
      <c r="B179" t="s">
        <v>2671</v>
      </c>
      <c r="C179" t="s">
        <v>2655</v>
      </c>
      <c r="H17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79" s="49">
        <f ca="1">IFERROR(WEEKNUM(CRC_War_Room_SIMs[[#This Row],[Ops Date]]), "N/A")</f>
        <v>31</v>
      </c>
      <c r="J17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7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7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79" s="50">
        <f>IF(AND(CRC_War_Room_SIMs[[#This Row],[CI]] = 0, CRC_War_Room_SIMs[[#This Row],[Miss]] = 1), 1, 0)</f>
        <v>0</v>
      </c>
      <c r="N17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7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79" s="50">
        <f>IF(AND(CRC_War_Room_SIMs[[#This Row],[Excluded]] = 0, OR(CRC_War_Room_SIMs[[#This Row],[SLA Miss]] &lt;&gt; "", ISNUMBER(SEARCH("SLA", CRC_War_Room_SIMs[[#This Row],[Labels]])))), 1, 0)</f>
        <v>0</v>
      </c>
    </row>
    <row r="180" spans="1:16" x14ac:dyDescent="0.25">
      <c r="A180" t="s">
        <v>2674</v>
      </c>
      <c r="B180" t="s">
        <v>2671</v>
      </c>
      <c r="C180" t="s">
        <v>2655</v>
      </c>
      <c r="H18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80" s="49">
        <f ca="1">IFERROR(WEEKNUM(CRC_War_Room_SIMs[[#This Row],[Ops Date]]), "N/A")</f>
        <v>31</v>
      </c>
      <c r="J18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8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8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80" s="50">
        <f>IF(AND(CRC_War_Room_SIMs[[#This Row],[CI]] = 0, CRC_War_Room_SIMs[[#This Row],[Miss]] = 1), 1, 0)</f>
        <v>0</v>
      </c>
      <c r="N18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8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80" s="50">
        <f>IF(AND(CRC_War_Room_SIMs[[#This Row],[Excluded]] = 0, OR(CRC_War_Room_SIMs[[#This Row],[SLA Miss]] &lt;&gt; "", ISNUMBER(SEARCH("SLA", CRC_War_Room_SIMs[[#This Row],[Labels]])))), 1, 0)</f>
        <v>0</v>
      </c>
    </row>
    <row r="181" spans="1:16" x14ac:dyDescent="0.25">
      <c r="A181" t="s">
        <v>2675</v>
      </c>
      <c r="B181" t="s">
        <v>2671</v>
      </c>
      <c r="C181" t="s">
        <v>2655</v>
      </c>
      <c r="H18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81" s="49">
        <f ca="1">IFERROR(WEEKNUM(CRC_War_Room_SIMs[[#This Row],[Ops Date]]), "N/A")</f>
        <v>31</v>
      </c>
      <c r="J18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8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8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81" s="50">
        <f>IF(AND(CRC_War_Room_SIMs[[#This Row],[CI]] = 0, CRC_War_Room_SIMs[[#This Row],[Miss]] = 1), 1, 0)</f>
        <v>0</v>
      </c>
      <c r="N18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8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81" s="50">
        <f>IF(AND(CRC_War_Room_SIMs[[#This Row],[Excluded]] = 0, OR(CRC_War_Room_SIMs[[#This Row],[SLA Miss]] &lt;&gt; "", ISNUMBER(SEARCH("SLA", CRC_War_Room_SIMs[[#This Row],[Labels]])))), 1, 0)</f>
        <v>0</v>
      </c>
    </row>
    <row r="182" spans="1:16" x14ac:dyDescent="0.25">
      <c r="A182" t="s">
        <v>2676</v>
      </c>
      <c r="B182" t="s">
        <v>2671</v>
      </c>
      <c r="C182" t="s">
        <v>2655</v>
      </c>
      <c r="H18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82" s="49">
        <f ca="1">IFERROR(WEEKNUM(CRC_War_Room_SIMs[[#This Row],[Ops Date]]), "N/A")</f>
        <v>31</v>
      </c>
      <c r="J18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8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8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82" s="50">
        <f>IF(AND(CRC_War_Room_SIMs[[#This Row],[CI]] = 0, CRC_War_Room_SIMs[[#This Row],[Miss]] = 1), 1, 0)</f>
        <v>0</v>
      </c>
      <c r="N18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8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82" s="50">
        <f>IF(AND(CRC_War_Room_SIMs[[#This Row],[Excluded]] = 0, OR(CRC_War_Room_SIMs[[#This Row],[SLA Miss]] &lt;&gt; "", ISNUMBER(SEARCH("SLA", CRC_War_Room_SIMs[[#This Row],[Labels]])))), 1, 0)</f>
        <v>0</v>
      </c>
    </row>
    <row r="183" spans="1:16" x14ac:dyDescent="0.25">
      <c r="A183" t="s">
        <v>2677</v>
      </c>
      <c r="B183" t="s">
        <v>2671</v>
      </c>
      <c r="C183" t="s">
        <v>2655</v>
      </c>
      <c r="H18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83" s="49">
        <f ca="1">IFERROR(WEEKNUM(CRC_War_Room_SIMs[[#This Row],[Ops Date]]), "N/A")</f>
        <v>31</v>
      </c>
      <c r="J18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8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8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83" s="50">
        <f>IF(AND(CRC_War_Room_SIMs[[#This Row],[CI]] = 0, CRC_War_Room_SIMs[[#This Row],[Miss]] = 1), 1, 0)</f>
        <v>0</v>
      </c>
      <c r="N18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8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83" s="50">
        <f>IF(AND(CRC_War_Room_SIMs[[#This Row],[Excluded]] = 0, OR(CRC_War_Room_SIMs[[#This Row],[SLA Miss]] &lt;&gt; "", ISNUMBER(SEARCH("SLA", CRC_War_Room_SIMs[[#This Row],[Labels]])))), 1, 0)</f>
        <v>0</v>
      </c>
    </row>
    <row r="184" spans="1:16" x14ac:dyDescent="0.25">
      <c r="A184" t="s">
        <v>2678</v>
      </c>
      <c r="B184" t="s">
        <v>2679</v>
      </c>
      <c r="C184" t="s">
        <v>2655</v>
      </c>
      <c r="H18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84" s="49">
        <f ca="1">IFERROR(WEEKNUM(CRC_War_Room_SIMs[[#This Row],[Ops Date]]), "N/A")</f>
        <v>31</v>
      </c>
      <c r="J18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8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8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84" s="50">
        <f>IF(AND(CRC_War_Room_SIMs[[#This Row],[CI]] = 0, CRC_War_Room_SIMs[[#This Row],[Miss]] = 1), 1, 0)</f>
        <v>0</v>
      </c>
      <c r="N18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8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84" s="50">
        <f>IF(AND(CRC_War_Room_SIMs[[#This Row],[Excluded]] = 0, OR(CRC_War_Room_SIMs[[#This Row],[SLA Miss]] &lt;&gt; "", ISNUMBER(SEARCH("SLA", CRC_War_Room_SIMs[[#This Row],[Labels]])))), 1, 0)</f>
        <v>0</v>
      </c>
    </row>
    <row r="185" spans="1:16" x14ac:dyDescent="0.25">
      <c r="A185" t="s">
        <v>2680</v>
      </c>
      <c r="B185" t="s">
        <v>2679</v>
      </c>
      <c r="C185" t="s">
        <v>2655</v>
      </c>
      <c r="H18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85" s="49">
        <f ca="1">IFERROR(WEEKNUM(CRC_War_Room_SIMs[[#This Row],[Ops Date]]), "N/A")</f>
        <v>31</v>
      </c>
      <c r="J18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8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8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85" s="50">
        <f>IF(AND(CRC_War_Room_SIMs[[#This Row],[CI]] = 0, CRC_War_Room_SIMs[[#This Row],[Miss]] = 1), 1, 0)</f>
        <v>0</v>
      </c>
      <c r="N18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8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85" s="50">
        <f>IF(AND(CRC_War_Room_SIMs[[#This Row],[Excluded]] = 0, OR(CRC_War_Room_SIMs[[#This Row],[SLA Miss]] &lt;&gt; "", ISNUMBER(SEARCH("SLA", CRC_War_Room_SIMs[[#This Row],[Labels]])))), 1, 0)</f>
        <v>0</v>
      </c>
    </row>
    <row r="186" spans="1:16" x14ac:dyDescent="0.25">
      <c r="A186" t="s">
        <v>2681</v>
      </c>
      <c r="B186" t="s">
        <v>2679</v>
      </c>
      <c r="C186" t="s">
        <v>2655</v>
      </c>
      <c r="H18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86" s="49">
        <f ca="1">IFERROR(WEEKNUM(CRC_War_Room_SIMs[[#This Row],[Ops Date]]), "N/A")</f>
        <v>31</v>
      </c>
      <c r="J18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8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8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86" s="50">
        <f>IF(AND(CRC_War_Room_SIMs[[#This Row],[CI]] = 0, CRC_War_Room_SIMs[[#This Row],[Miss]] = 1), 1, 0)</f>
        <v>0</v>
      </c>
      <c r="N18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8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86" s="50">
        <f>IF(AND(CRC_War_Room_SIMs[[#This Row],[Excluded]] = 0, OR(CRC_War_Room_SIMs[[#This Row],[SLA Miss]] &lt;&gt; "", ISNUMBER(SEARCH("SLA", CRC_War_Room_SIMs[[#This Row],[Labels]])))), 1, 0)</f>
        <v>0</v>
      </c>
    </row>
    <row r="187" spans="1:16" x14ac:dyDescent="0.25">
      <c r="A187" t="s">
        <v>2682</v>
      </c>
      <c r="B187" t="s">
        <v>2683</v>
      </c>
      <c r="C187" t="s">
        <v>2655</v>
      </c>
      <c r="H18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87" s="49">
        <f ca="1">IFERROR(WEEKNUM(CRC_War_Room_SIMs[[#This Row],[Ops Date]]), "N/A")</f>
        <v>31</v>
      </c>
      <c r="J18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8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8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87" s="50">
        <f>IF(AND(CRC_War_Room_SIMs[[#This Row],[CI]] = 0, CRC_War_Room_SIMs[[#This Row],[Miss]] = 1), 1, 0)</f>
        <v>0</v>
      </c>
      <c r="N18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8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87" s="50">
        <f>IF(AND(CRC_War_Room_SIMs[[#This Row],[Excluded]] = 0, OR(CRC_War_Room_SIMs[[#This Row],[SLA Miss]] &lt;&gt; "", ISNUMBER(SEARCH("SLA", CRC_War_Room_SIMs[[#This Row],[Labels]])))), 1, 0)</f>
        <v>0</v>
      </c>
    </row>
    <row r="188" spans="1:16" x14ac:dyDescent="0.25">
      <c r="A188" t="s">
        <v>2684</v>
      </c>
      <c r="B188" t="s">
        <v>2679</v>
      </c>
      <c r="C188" t="s">
        <v>2655</v>
      </c>
      <c r="H18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88" s="49">
        <f ca="1">IFERROR(WEEKNUM(CRC_War_Room_SIMs[[#This Row],[Ops Date]]), "N/A")</f>
        <v>31</v>
      </c>
      <c r="J18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8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8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88" s="50">
        <f>IF(AND(CRC_War_Room_SIMs[[#This Row],[CI]] = 0, CRC_War_Room_SIMs[[#This Row],[Miss]] = 1), 1, 0)</f>
        <v>0</v>
      </c>
      <c r="N18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8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88" s="50">
        <f>IF(AND(CRC_War_Room_SIMs[[#This Row],[Excluded]] = 0, OR(CRC_War_Room_SIMs[[#This Row],[SLA Miss]] &lt;&gt; "", ISNUMBER(SEARCH("SLA", CRC_War_Room_SIMs[[#This Row],[Labels]])))), 1, 0)</f>
        <v>0</v>
      </c>
    </row>
    <row r="189" spans="1:16" x14ac:dyDescent="0.25">
      <c r="A189" t="s">
        <v>2685</v>
      </c>
      <c r="B189" t="s">
        <v>2679</v>
      </c>
      <c r="C189" t="s">
        <v>2655</v>
      </c>
      <c r="H18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89" s="49">
        <f ca="1">IFERROR(WEEKNUM(CRC_War_Room_SIMs[[#This Row],[Ops Date]]), "N/A")</f>
        <v>31</v>
      </c>
      <c r="J18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8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8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89" s="50">
        <f>IF(AND(CRC_War_Room_SIMs[[#This Row],[CI]] = 0, CRC_War_Room_SIMs[[#This Row],[Miss]] = 1), 1, 0)</f>
        <v>0</v>
      </c>
      <c r="N18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8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89" s="50">
        <f>IF(AND(CRC_War_Room_SIMs[[#This Row],[Excluded]] = 0, OR(CRC_War_Room_SIMs[[#This Row],[SLA Miss]] &lt;&gt; "", ISNUMBER(SEARCH("SLA", CRC_War_Room_SIMs[[#This Row],[Labels]])))), 1, 0)</f>
        <v>0</v>
      </c>
    </row>
    <row r="190" spans="1:16" x14ac:dyDescent="0.25">
      <c r="A190" t="s">
        <v>2686</v>
      </c>
      <c r="B190" t="s">
        <v>2679</v>
      </c>
      <c r="C190" t="s">
        <v>2655</v>
      </c>
      <c r="H19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90" s="49">
        <f ca="1">IFERROR(WEEKNUM(CRC_War_Room_SIMs[[#This Row],[Ops Date]]), "N/A")</f>
        <v>31</v>
      </c>
      <c r="J19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9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9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90" s="50">
        <f>IF(AND(CRC_War_Room_SIMs[[#This Row],[CI]] = 0, CRC_War_Room_SIMs[[#This Row],[Miss]] = 1), 1, 0)</f>
        <v>0</v>
      </c>
      <c r="N19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9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90" s="50">
        <f>IF(AND(CRC_War_Room_SIMs[[#This Row],[Excluded]] = 0, OR(CRC_War_Room_SIMs[[#This Row],[SLA Miss]] &lt;&gt; "", ISNUMBER(SEARCH("SLA", CRC_War_Room_SIMs[[#This Row],[Labels]])))), 1, 0)</f>
        <v>0</v>
      </c>
    </row>
    <row r="191" spans="1:16" x14ac:dyDescent="0.25">
      <c r="A191" t="s">
        <v>2687</v>
      </c>
      <c r="B191" t="s">
        <v>2683</v>
      </c>
      <c r="C191" t="s">
        <v>2655</v>
      </c>
      <c r="H19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91" s="49">
        <f ca="1">IFERROR(WEEKNUM(CRC_War_Room_SIMs[[#This Row],[Ops Date]]), "N/A")</f>
        <v>31</v>
      </c>
      <c r="J19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9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9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91" s="50">
        <f>IF(AND(CRC_War_Room_SIMs[[#This Row],[CI]] = 0, CRC_War_Room_SIMs[[#This Row],[Miss]] = 1), 1, 0)</f>
        <v>0</v>
      </c>
      <c r="N19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9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91" s="50">
        <f>IF(AND(CRC_War_Room_SIMs[[#This Row],[Excluded]] = 0, OR(CRC_War_Room_SIMs[[#This Row],[SLA Miss]] &lt;&gt; "", ISNUMBER(SEARCH("SLA", CRC_War_Room_SIMs[[#This Row],[Labels]])))), 1, 0)</f>
        <v>0</v>
      </c>
    </row>
    <row r="192" spans="1:16" x14ac:dyDescent="0.25">
      <c r="A192" t="s">
        <v>2688</v>
      </c>
      <c r="B192" t="s">
        <v>2683</v>
      </c>
      <c r="C192" t="s">
        <v>2655</v>
      </c>
      <c r="H19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92" s="49">
        <f ca="1">IFERROR(WEEKNUM(CRC_War_Room_SIMs[[#This Row],[Ops Date]]), "N/A")</f>
        <v>31</v>
      </c>
      <c r="J19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9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9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92" s="50">
        <f>IF(AND(CRC_War_Room_SIMs[[#This Row],[CI]] = 0, CRC_War_Room_SIMs[[#This Row],[Miss]] = 1), 1, 0)</f>
        <v>0</v>
      </c>
      <c r="N19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9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92" s="50">
        <f>IF(AND(CRC_War_Room_SIMs[[#This Row],[Excluded]] = 0, OR(CRC_War_Room_SIMs[[#This Row],[SLA Miss]] &lt;&gt; "", ISNUMBER(SEARCH("SLA", CRC_War_Room_SIMs[[#This Row],[Labels]])))), 1, 0)</f>
        <v>0</v>
      </c>
    </row>
    <row r="193" spans="1:16" x14ac:dyDescent="0.25">
      <c r="A193" t="s">
        <v>2689</v>
      </c>
      <c r="B193" t="s">
        <v>2683</v>
      </c>
      <c r="C193" t="s">
        <v>2655</v>
      </c>
      <c r="H19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93" s="49">
        <f ca="1">IFERROR(WEEKNUM(CRC_War_Room_SIMs[[#This Row],[Ops Date]]), "N/A")</f>
        <v>31</v>
      </c>
      <c r="J19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9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9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93" s="50">
        <f>IF(AND(CRC_War_Room_SIMs[[#This Row],[CI]] = 0, CRC_War_Room_SIMs[[#This Row],[Miss]] = 1), 1, 0)</f>
        <v>0</v>
      </c>
      <c r="N19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9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93" s="50">
        <f>IF(AND(CRC_War_Room_SIMs[[#This Row],[Excluded]] = 0, OR(CRC_War_Room_SIMs[[#This Row],[SLA Miss]] &lt;&gt; "", ISNUMBER(SEARCH("SLA", CRC_War_Room_SIMs[[#This Row],[Labels]])))), 1, 0)</f>
        <v>0</v>
      </c>
    </row>
    <row r="194" spans="1:16" x14ac:dyDescent="0.25">
      <c r="A194" t="s">
        <v>2690</v>
      </c>
      <c r="B194" t="s">
        <v>2683</v>
      </c>
      <c r="C194" t="s">
        <v>2655</v>
      </c>
      <c r="H19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94" s="49">
        <f ca="1">IFERROR(WEEKNUM(CRC_War_Room_SIMs[[#This Row],[Ops Date]]), "N/A")</f>
        <v>31</v>
      </c>
      <c r="J19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9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9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94" s="50">
        <f>IF(AND(CRC_War_Room_SIMs[[#This Row],[CI]] = 0, CRC_War_Room_SIMs[[#This Row],[Miss]] = 1), 1, 0)</f>
        <v>0</v>
      </c>
      <c r="N19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9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94" s="50">
        <f>IF(AND(CRC_War_Room_SIMs[[#This Row],[Excluded]] = 0, OR(CRC_War_Room_SIMs[[#This Row],[SLA Miss]] &lt;&gt; "", ISNUMBER(SEARCH("SLA", CRC_War_Room_SIMs[[#This Row],[Labels]])))), 1, 0)</f>
        <v>0</v>
      </c>
    </row>
    <row r="195" spans="1:16" x14ac:dyDescent="0.25">
      <c r="A195" t="s">
        <v>2691</v>
      </c>
      <c r="B195" t="s">
        <v>2692</v>
      </c>
      <c r="C195" t="s">
        <v>2693</v>
      </c>
      <c r="D195" t="s">
        <v>1453</v>
      </c>
      <c r="H19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195" s="49">
        <f ca="1">IFERROR(WEEKNUM(CRC_War_Room_SIMs[[#This Row],[Ops Date]]), "N/A")</f>
        <v>30</v>
      </c>
      <c r="J195" s="49">
        <f>IF(OR(ISNUMBER(SEARCH("Excluded", CRC_War_Room_SIMs[[#This Row],[Labels]])), ISNUMBER(SEARCH("Quality", CRC_War_Room_SIMs[[#This Row],[Data Status]])), ISNUMBER(SEARCH("Exception", CRC_War_Room_SIMs[[#This Row],[Data Status]]))), 1, 0)</f>
        <v>1</v>
      </c>
      <c r="K19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9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95" s="50">
        <f>IF(AND(CRC_War_Room_SIMs[[#This Row],[CI]] = 0, CRC_War_Room_SIMs[[#This Row],[Miss]] = 1), 1, 0)</f>
        <v>0</v>
      </c>
      <c r="N19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9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95" s="50">
        <f>IF(AND(CRC_War_Room_SIMs[[#This Row],[Excluded]] = 0, OR(CRC_War_Room_SIMs[[#This Row],[SLA Miss]] &lt;&gt; "", ISNUMBER(SEARCH("SLA", CRC_War_Room_SIMs[[#This Row],[Labels]])))), 1, 0)</f>
        <v>0</v>
      </c>
    </row>
    <row r="196" spans="1:16" x14ac:dyDescent="0.25">
      <c r="A196" t="s">
        <v>2694</v>
      </c>
      <c r="B196" t="s">
        <v>2683</v>
      </c>
      <c r="C196" t="s">
        <v>2655</v>
      </c>
      <c r="H19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96" s="49">
        <f ca="1">IFERROR(WEEKNUM(CRC_War_Room_SIMs[[#This Row],[Ops Date]]), "N/A")</f>
        <v>31</v>
      </c>
      <c r="J19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9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9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96" s="50">
        <f>IF(AND(CRC_War_Room_SIMs[[#This Row],[CI]] = 0, CRC_War_Room_SIMs[[#This Row],[Miss]] = 1), 1, 0)</f>
        <v>0</v>
      </c>
      <c r="N19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9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96" s="50">
        <f>IF(AND(CRC_War_Room_SIMs[[#This Row],[Excluded]] = 0, OR(CRC_War_Room_SIMs[[#This Row],[SLA Miss]] &lt;&gt; "", ISNUMBER(SEARCH("SLA", CRC_War_Room_SIMs[[#This Row],[Labels]])))), 1, 0)</f>
        <v>0</v>
      </c>
    </row>
    <row r="197" spans="1:16" x14ac:dyDescent="0.25">
      <c r="A197" t="s">
        <v>2695</v>
      </c>
      <c r="B197" t="s">
        <v>2696</v>
      </c>
      <c r="C197" t="s">
        <v>2655</v>
      </c>
      <c r="H19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97" s="49">
        <f ca="1">IFERROR(WEEKNUM(CRC_War_Room_SIMs[[#This Row],[Ops Date]]), "N/A")</f>
        <v>31</v>
      </c>
      <c r="J19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9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9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97" s="50">
        <f>IF(AND(CRC_War_Room_SIMs[[#This Row],[CI]] = 0, CRC_War_Room_SIMs[[#This Row],[Miss]] = 1), 1, 0)</f>
        <v>0</v>
      </c>
      <c r="N19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9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97" s="50">
        <f>IF(AND(CRC_War_Room_SIMs[[#This Row],[Excluded]] = 0, OR(CRC_War_Room_SIMs[[#This Row],[SLA Miss]] &lt;&gt; "", ISNUMBER(SEARCH("SLA", CRC_War_Room_SIMs[[#This Row],[Labels]])))), 1, 0)</f>
        <v>0</v>
      </c>
    </row>
    <row r="198" spans="1:16" x14ac:dyDescent="0.25">
      <c r="A198" t="s">
        <v>2697</v>
      </c>
      <c r="B198" t="s">
        <v>2683</v>
      </c>
      <c r="C198" t="s">
        <v>2655</v>
      </c>
      <c r="H19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98" s="49">
        <f ca="1">IFERROR(WEEKNUM(CRC_War_Room_SIMs[[#This Row],[Ops Date]]), "N/A")</f>
        <v>31</v>
      </c>
      <c r="J19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9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9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98" s="50">
        <f>IF(AND(CRC_War_Room_SIMs[[#This Row],[CI]] = 0, CRC_War_Room_SIMs[[#This Row],[Miss]] = 1), 1, 0)</f>
        <v>0</v>
      </c>
      <c r="N19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9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98" s="50">
        <f>IF(AND(CRC_War_Room_SIMs[[#This Row],[Excluded]] = 0, OR(CRC_War_Room_SIMs[[#This Row],[SLA Miss]] &lt;&gt; "", ISNUMBER(SEARCH("SLA", CRC_War_Room_SIMs[[#This Row],[Labels]])))), 1, 0)</f>
        <v>0</v>
      </c>
    </row>
    <row r="199" spans="1:16" x14ac:dyDescent="0.25">
      <c r="A199" t="s">
        <v>2698</v>
      </c>
      <c r="B199" t="s">
        <v>2696</v>
      </c>
      <c r="C199" t="s">
        <v>2655</v>
      </c>
      <c r="H19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199" s="49">
        <f ca="1">IFERROR(WEEKNUM(CRC_War_Room_SIMs[[#This Row],[Ops Date]]), "N/A")</f>
        <v>31</v>
      </c>
      <c r="J19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9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9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99" s="50">
        <f>IF(AND(CRC_War_Room_SIMs[[#This Row],[CI]] = 0, CRC_War_Room_SIMs[[#This Row],[Miss]] = 1), 1, 0)</f>
        <v>0</v>
      </c>
      <c r="N19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9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99" s="50">
        <f>IF(AND(CRC_War_Room_SIMs[[#This Row],[Excluded]] = 0, OR(CRC_War_Room_SIMs[[#This Row],[SLA Miss]] &lt;&gt; "", ISNUMBER(SEARCH("SLA", CRC_War_Room_SIMs[[#This Row],[Labels]])))), 1, 0)</f>
        <v>0</v>
      </c>
    </row>
    <row r="200" spans="1:16" x14ac:dyDescent="0.25">
      <c r="A200" t="s">
        <v>2699</v>
      </c>
      <c r="B200" t="s">
        <v>2696</v>
      </c>
      <c r="C200" t="s">
        <v>2655</v>
      </c>
      <c r="H20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200" s="49">
        <f ca="1">IFERROR(WEEKNUM(CRC_War_Room_SIMs[[#This Row],[Ops Date]]), "N/A")</f>
        <v>31</v>
      </c>
      <c r="J20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0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0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00" s="50">
        <f>IF(AND(CRC_War_Room_SIMs[[#This Row],[CI]] = 0, CRC_War_Room_SIMs[[#This Row],[Miss]] = 1), 1, 0)</f>
        <v>0</v>
      </c>
      <c r="N20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00" s="49">
        <f>IF(AND(CRC_War_Room_SIMs[[#This Row],[Excluded]] = 0, OR(CRC_War_Room_SIMs[[#This Row],[False Resolution Miss]] &lt;&gt; "", ISNUMBER(SEARCH("False Resolution", CRC_War_Room_SIMs[[#This Row],[Labels]])))), 1, 0)</f>
        <v>0</v>
      </c>
      <c r="P200" s="50">
        <f>IF(AND(CRC_War_Room_SIMs[[#This Row],[Excluded]] = 0, OR(CRC_War_Room_SIMs[[#This Row],[SLA Miss]] &lt;&gt; "", ISNUMBER(SEARCH("SLA", CRC_War_Room_SIMs[[#This Row],[Labels]])))), 1, 0)</f>
        <v>0</v>
      </c>
    </row>
    <row r="201" spans="1:16" x14ac:dyDescent="0.25">
      <c r="A201" t="s">
        <v>2700</v>
      </c>
      <c r="B201" t="s">
        <v>2696</v>
      </c>
      <c r="C201" t="s">
        <v>2655</v>
      </c>
      <c r="H20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201" s="49">
        <f ca="1">IFERROR(WEEKNUM(CRC_War_Room_SIMs[[#This Row],[Ops Date]]), "N/A")</f>
        <v>31</v>
      </c>
      <c r="J20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0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0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01" s="50">
        <f>IF(AND(CRC_War_Room_SIMs[[#This Row],[CI]] = 0, CRC_War_Room_SIMs[[#This Row],[Miss]] = 1), 1, 0)</f>
        <v>0</v>
      </c>
      <c r="N20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01" s="49">
        <f>IF(AND(CRC_War_Room_SIMs[[#This Row],[Excluded]] = 0, OR(CRC_War_Room_SIMs[[#This Row],[False Resolution Miss]] &lt;&gt; "", ISNUMBER(SEARCH("False Resolution", CRC_War_Room_SIMs[[#This Row],[Labels]])))), 1, 0)</f>
        <v>0</v>
      </c>
      <c r="P201" s="50">
        <f>IF(AND(CRC_War_Room_SIMs[[#This Row],[Excluded]] = 0, OR(CRC_War_Room_SIMs[[#This Row],[SLA Miss]] &lt;&gt; "", ISNUMBER(SEARCH("SLA", CRC_War_Room_SIMs[[#This Row],[Labels]])))), 1, 0)</f>
        <v>0</v>
      </c>
    </row>
    <row r="202" spans="1:16" x14ac:dyDescent="0.25">
      <c r="A202" t="s">
        <v>2701</v>
      </c>
      <c r="B202" t="s">
        <v>2696</v>
      </c>
      <c r="C202" t="s">
        <v>2655</v>
      </c>
      <c r="H20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202" s="49">
        <f ca="1">IFERROR(WEEKNUM(CRC_War_Room_SIMs[[#This Row],[Ops Date]]), "N/A")</f>
        <v>31</v>
      </c>
      <c r="J20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0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0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02" s="50">
        <f>IF(AND(CRC_War_Room_SIMs[[#This Row],[CI]] = 0, CRC_War_Room_SIMs[[#This Row],[Miss]] = 1), 1, 0)</f>
        <v>0</v>
      </c>
      <c r="N20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02" s="49">
        <f>IF(AND(CRC_War_Room_SIMs[[#This Row],[Excluded]] = 0, OR(CRC_War_Room_SIMs[[#This Row],[False Resolution Miss]] &lt;&gt; "", ISNUMBER(SEARCH("False Resolution", CRC_War_Room_SIMs[[#This Row],[Labels]])))), 1, 0)</f>
        <v>0</v>
      </c>
      <c r="P202" s="50">
        <f>IF(AND(CRC_War_Room_SIMs[[#This Row],[Excluded]] = 0, OR(CRC_War_Room_SIMs[[#This Row],[SLA Miss]] &lt;&gt; "", ISNUMBER(SEARCH("SLA", CRC_War_Room_SIMs[[#This Row],[Labels]])))), 1, 0)</f>
        <v>0</v>
      </c>
    </row>
    <row r="203" spans="1:16" x14ac:dyDescent="0.25">
      <c r="A203" t="s">
        <v>2702</v>
      </c>
      <c r="B203" t="s">
        <v>2696</v>
      </c>
      <c r="C203" t="s">
        <v>2655</v>
      </c>
      <c r="H20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203" s="49">
        <f ca="1">IFERROR(WEEKNUM(CRC_War_Room_SIMs[[#This Row],[Ops Date]]), "N/A")</f>
        <v>31</v>
      </c>
      <c r="J20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0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0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03" s="50">
        <f>IF(AND(CRC_War_Room_SIMs[[#This Row],[CI]] = 0, CRC_War_Room_SIMs[[#This Row],[Miss]] = 1), 1, 0)</f>
        <v>0</v>
      </c>
      <c r="N20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03" s="49">
        <f>IF(AND(CRC_War_Room_SIMs[[#This Row],[Excluded]] = 0, OR(CRC_War_Room_SIMs[[#This Row],[False Resolution Miss]] &lt;&gt; "", ISNUMBER(SEARCH("False Resolution", CRC_War_Room_SIMs[[#This Row],[Labels]])))), 1, 0)</f>
        <v>0</v>
      </c>
      <c r="P203" s="50">
        <f>IF(AND(CRC_War_Room_SIMs[[#This Row],[Excluded]] = 0, OR(CRC_War_Room_SIMs[[#This Row],[SLA Miss]] &lt;&gt; "", ISNUMBER(SEARCH("SLA", CRC_War_Room_SIMs[[#This Row],[Labels]])))), 1, 0)</f>
        <v>0</v>
      </c>
    </row>
    <row r="204" spans="1:16" x14ac:dyDescent="0.25">
      <c r="A204" t="s">
        <v>2703</v>
      </c>
      <c r="B204" t="s">
        <v>2657</v>
      </c>
      <c r="C204" t="s">
        <v>2655</v>
      </c>
      <c r="H20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204" s="49">
        <f ca="1">IFERROR(WEEKNUM(CRC_War_Room_SIMs[[#This Row],[Ops Date]]), "N/A")</f>
        <v>31</v>
      </c>
      <c r="J20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0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0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04" s="50">
        <f>IF(AND(CRC_War_Room_SIMs[[#This Row],[CI]] = 0, CRC_War_Room_SIMs[[#This Row],[Miss]] = 1), 1, 0)</f>
        <v>0</v>
      </c>
      <c r="N20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04" s="49">
        <f>IF(AND(CRC_War_Room_SIMs[[#This Row],[Excluded]] = 0, OR(CRC_War_Room_SIMs[[#This Row],[False Resolution Miss]] &lt;&gt; "", ISNUMBER(SEARCH("False Resolution", CRC_War_Room_SIMs[[#This Row],[Labels]])))), 1, 0)</f>
        <v>0</v>
      </c>
      <c r="P204" s="50">
        <f>IF(AND(CRC_War_Room_SIMs[[#This Row],[Excluded]] = 0, OR(CRC_War_Room_SIMs[[#This Row],[SLA Miss]] &lt;&gt; "", ISNUMBER(SEARCH("SLA", CRC_War_Room_SIMs[[#This Row],[Labels]])))), 1, 0)</f>
        <v>0</v>
      </c>
    </row>
    <row r="205" spans="1:16" x14ac:dyDescent="0.25">
      <c r="A205" t="s">
        <v>2704</v>
      </c>
      <c r="B205" t="s">
        <v>2659</v>
      </c>
      <c r="C205" t="s">
        <v>2655</v>
      </c>
      <c r="H20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205" s="49">
        <f ca="1">IFERROR(WEEKNUM(CRC_War_Room_SIMs[[#This Row],[Ops Date]]), "N/A")</f>
        <v>31</v>
      </c>
      <c r="J20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0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0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05" s="50">
        <f>IF(AND(CRC_War_Room_SIMs[[#This Row],[CI]] = 0, CRC_War_Room_SIMs[[#This Row],[Miss]] = 1), 1, 0)</f>
        <v>0</v>
      </c>
      <c r="N20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05" s="49">
        <f>IF(AND(CRC_War_Room_SIMs[[#This Row],[Excluded]] = 0, OR(CRC_War_Room_SIMs[[#This Row],[False Resolution Miss]] &lt;&gt; "", ISNUMBER(SEARCH("False Resolution", CRC_War_Room_SIMs[[#This Row],[Labels]])))), 1, 0)</f>
        <v>0</v>
      </c>
      <c r="P205" s="50">
        <f>IF(AND(CRC_War_Room_SIMs[[#This Row],[Excluded]] = 0, OR(CRC_War_Room_SIMs[[#This Row],[SLA Miss]] &lt;&gt; "", ISNUMBER(SEARCH("SLA", CRC_War_Room_SIMs[[#This Row],[Labels]])))), 1, 0)</f>
        <v>0</v>
      </c>
    </row>
    <row r="206" spans="1:16" x14ac:dyDescent="0.25">
      <c r="A206" t="s">
        <v>2705</v>
      </c>
      <c r="B206" t="s">
        <v>2657</v>
      </c>
      <c r="C206" t="s">
        <v>2655</v>
      </c>
      <c r="H20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206" s="49">
        <f ca="1">IFERROR(WEEKNUM(CRC_War_Room_SIMs[[#This Row],[Ops Date]]), "N/A")</f>
        <v>31</v>
      </c>
      <c r="J20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0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0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06" s="50">
        <f>IF(AND(CRC_War_Room_SIMs[[#This Row],[CI]] = 0, CRC_War_Room_SIMs[[#This Row],[Miss]] = 1), 1, 0)</f>
        <v>0</v>
      </c>
      <c r="N20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06" s="49">
        <f>IF(AND(CRC_War_Room_SIMs[[#This Row],[Excluded]] = 0, OR(CRC_War_Room_SIMs[[#This Row],[False Resolution Miss]] &lt;&gt; "", ISNUMBER(SEARCH("False Resolution", CRC_War_Room_SIMs[[#This Row],[Labels]])))), 1, 0)</f>
        <v>0</v>
      </c>
      <c r="P206" s="50">
        <f>IF(AND(CRC_War_Room_SIMs[[#This Row],[Excluded]] = 0, OR(CRC_War_Room_SIMs[[#This Row],[SLA Miss]] &lt;&gt; "", ISNUMBER(SEARCH("SLA", CRC_War_Room_SIMs[[#This Row],[Labels]])))), 1, 0)</f>
        <v>0</v>
      </c>
    </row>
    <row r="207" spans="1:16" x14ac:dyDescent="0.25">
      <c r="A207" t="s">
        <v>2706</v>
      </c>
      <c r="B207" t="s">
        <v>2657</v>
      </c>
      <c r="C207" t="s">
        <v>2655</v>
      </c>
      <c r="H20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207" s="49">
        <f ca="1">IFERROR(WEEKNUM(CRC_War_Room_SIMs[[#This Row],[Ops Date]]), "N/A")</f>
        <v>31</v>
      </c>
      <c r="J20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0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0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07" s="50">
        <f>IF(AND(CRC_War_Room_SIMs[[#This Row],[CI]] = 0, CRC_War_Room_SIMs[[#This Row],[Miss]] = 1), 1, 0)</f>
        <v>0</v>
      </c>
      <c r="N20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07" s="49">
        <f>IF(AND(CRC_War_Room_SIMs[[#This Row],[Excluded]] = 0, OR(CRC_War_Room_SIMs[[#This Row],[False Resolution Miss]] &lt;&gt; "", ISNUMBER(SEARCH("False Resolution", CRC_War_Room_SIMs[[#This Row],[Labels]])))), 1, 0)</f>
        <v>0</v>
      </c>
      <c r="P207" s="50">
        <f>IF(AND(CRC_War_Room_SIMs[[#This Row],[Excluded]] = 0, OR(CRC_War_Room_SIMs[[#This Row],[SLA Miss]] &lt;&gt; "", ISNUMBER(SEARCH("SLA", CRC_War_Room_SIMs[[#This Row],[Labels]])))), 1, 0)</f>
        <v>0</v>
      </c>
    </row>
    <row r="208" spans="1:16" x14ac:dyDescent="0.25">
      <c r="A208" t="s">
        <v>2707</v>
      </c>
      <c r="B208" t="s">
        <v>2659</v>
      </c>
      <c r="C208" t="s">
        <v>2655</v>
      </c>
      <c r="H20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208" s="49">
        <f ca="1">IFERROR(WEEKNUM(CRC_War_Room_SIMs[[#This Row],[Ops Date]]), "N/A")</f>
        <v>31</v>
      </c>
      <c r="J20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0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0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08" s="50">
        <f>IF(AND(CRC_War_Room_SIMs[[#This Row],[CI]] = 0, CRC_War_Room_SIMs[[#This Row],[Miss]] = 1), 1, 0)</f>
        <v>0</v>
      </c>
      <c r="N20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08" s="49">
        <f>IF(AND(CRC_War_Room_SIMs[[#This Row],[Excluded]] = 0, OR(CRC_War_Room_SIMs[[#This Row],[False Resolution Miss]] &lt;&gt; "", ISNUMBER(SEARCH("False Resolution", CRC_War_Room_SIMs[[#This Row],[Labels]])))), 1, 0)</f>
        <v>0</v>
      </c>
      <c r="P208" s="50">
        <f>IF(AND(CRC_War_Room_SIMs[[#This Row],[Excluded]] = 0, OR(CRC_War_Room_SIMs[[#This Row],[SLA Miss]] &lt;&gt; "", ISNUMBER(SEARCH("SLA", CRC_War_Room_SIMs[[#This Row],[Labels]])))), 1, 0)</f>
        <v>0</v>
      </c>
    </row>
    <row r="209" spans="1:16" x14ac:dyDescent="0.25">
      <c r="A209" t="s">
        <v>2708</v>
      </c>
      <c r="B209" t="s">
        <v>2659</v>
      </c>
      <c r="C209" t="s">
        <v>2655</v>
      </c>
      <c r="H20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209" s="49">
        <f ca="1">IFERROR(WEEKNUM(CRC_War_Room_SIMs[[#This Row],[Ops Date]]), "N/A")</f>
        <v>31</v>
      </c>
      <c r="J20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0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0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09" s="50">
        <f>IF(AND(CRC_War_Room_SIMs[[#This Row],[CI]] = 0, CRC_War_Room_SIMs[[#This Row],[Miss]] = 1), 1, 0)</f>
        <v>0</v>
      </c>
      <c r="N20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09" s="49">
        <f>IF(AND(CRC_War_Room_SIMs[[#This Row],[Excluded]] = 0, OR(CRC_War_Room_SIMs[[#This Row],[False Resolution Miss]] &lt;&gt; "", ISNUMBER(SEARCH("False Resolution", CRC_War_Room_SIMs[[#This Row],[Labels]])))), 1, 0)</f>
        <v>0</v>
      </c>
      <c r="P209" s="50">
        <f>IF(AND(CRC_War_Room_SIMs[[#This Row],[Excluded]] = 0, OR(CRC_War_Room_SIMs[[#This Row],[SLA Miss]] &lt;&gt; "", ISNUMBER(SEARCH("SLA", CRC_War_Room_SIMs[[#This Row],[Labels]])))), 1, 0)</f>
        <v>0</v>
      </c>
    </row>
    <row r="210" spans="1:16" x14ac:dyDescent="0.25">
      <c r="A210" t="s">
        <v>2709</v>
      </c>
      <c r="B210" t="s">
        <v>2659</v>
      </c>
      <c r="C210" t="s">
        <v>2655</v>
      </c>
      <c r="H21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210" s="49">
        <f ca="1">IFERROR(WEEKNUM(CRC_War_Room_SIMs[[#This Row],[Ops Date]]), "N/A")</f>
        <v>31</v>
      </c>
      <c r="J21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1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1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10" s="50">
        <f>IF(AND(CRC_War_Room_SIMs[[#This Row],[CI]] = 0, CRC_War_Room_SIMs[[#This Row],[Miss]] = 1), 1, 0)</f>
        <v>0</v>
      </c>
      <c r="N21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10" s="49">
        <f>IF(AND(CRC_War_Room_SIMs[[#This Row],[Excluded]] = 0, OR(CRC_War_Room_SIMs[[#This Row],[False Resolution Miss]] &lt;&gt; "", ISNUMBER(SEARCH("False Resolution", CRC_War_Room_SIMs[[#This Row],[Labels]])))), 1, 0)</f>
        <v>0</v>
      </c>
      <c r="P210" s="50">
        <f>IF(AND(CRC_War_Room_SIMs[[#This Row],[Excluded]] = 0, OR(CRC_War_Room_SIMs[[#This Row],[SLA Miss]] &lt;&gt; "", ISNUMBER(SEARCH("SLA", CRC_War_Room_SIMs[[#This Row],[Labels]])))), 1, 0)</f>
        <v>0</v>
      </c>
    </row>
    <row r="211" spans="1:16" x14ac:dyDescent="0.25">
      <c r="A211" t="s">
        <v>2710</v>
      </c>
      <c r="B211" t="s">
        <v>2659</v>
      </c>
      <c r="C211" t="s">
        <v>2655</v>
      </c>
      <c r="H21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45502</v>
      </c>
      <c r="I211" s="49">
        <f ca="1">IFERROR(WEEKNUM(CRC_War_Room_SIMs[[#This Row],[Ops Date]]), "N/A")</f>
        <v>31</v>
      </c>
      <c r="J21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1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1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11" s="50">
        <f>IF(AND(CRC_War_Room_SIMs[[#This Row],[CI]] = 0, CRC_War_Room_SIMs[[#This Row],[Miss]] = 1), 1, 0)</f>
        <v>0</v>
      </c>
      <c r="N21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11" s="49">
        <f>IF(AND(CRC_War_Room_SIMs[[#This Row],[Excluded]] = 0, OR(CRC_War_Room_SIMs[[#This Row],[False Resolution Miss]] &lt;&gt; "", ISNUMBER(SEARCH("False Resolution", CRC_War_Room_SIMs[[#This Row],[Labels]])))), 1, 0)</f>
        <v>0</v>
      </c>
      <c r="P211" s="50">
        <f>IF(AND(CRC_War_Room_SIMs[[#This Row],[Excluded]] = 0, OR(CRC_War_Room_SIMs[[#This Row],[SLA Miss]] &lt;&gt; "", ISNUMBER(SEARCH("SLA", CRC_War_Room_SIMs[[#This Row],[Labels]])))), 1, 0)</f>
        <v>0</v>
      </c>
    </row>
    <row r="212" spans="1:16" x14ac:dyDescent="0.25">
      <c r="A212" t="s">
        <v>2711</v>
      </c>
      <c r="B212" t="s">
        <v>2712</v>
      </c>
      <c r="C212" t="s">
        <v>2713</v>
      </c>
      <c r="H21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12" s="49">
        <f ca="1">IFERROR(WEEKNUM(CRC_War_Room_SIMs[[#This Row],[Ops Date]]), "N/A")</f>
        <v>31</v>
      </c>
      <c r="J21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1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1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12" s="50">
        <f>IF(AND(CRC_War_Room_SIMs[[#This Row],[CI]] = 0, CRC_War_Room_SIMs[[#This Row],[Miss]] = 1), 1, 0)</f>
        <v>0</v>
      </c>
      <c r="N21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12" s="49">
        <f>IF(AND(CRC_War_Room_SIMs[[#This Row],[Excluded]] = 0, OR(CRC_War_Room_SIMs[[#This Row],[False Resolution Miss]] &lt;&gt; "", ISNUMBER(SEARCH("False Resolution", CRC_War_Room_SIMs[[#This Row],[Labels]])))), 1, 0)</f>
        <v>0</v>
      </c>
      <c r="P212" s="50">
        <f>IF(AND(CRC_War_Room_SIMs[[#This Row],[Excluded]] = 0, OR(CRC_War_Room_SIMs[[#This Row],[SLA Miss]] &lt;&gt; "", ISNUMBER(SEARCH("SLA", CRC_War_Room_SIMs[[#This Row],[Labels]])))), 1, 0)</f>
        <v>0</v>
      </c>
    </row>
    <row r="213" spans="1:16" x14ac:dyDescent="0.25">
      <c r="A213" t="s">
        <v>2714</v>
      </c>
      <c r="B213" t="s">
        <v>2715</v>
      </c>
      <c r="C213" t="s">
        <v>2713</v>
      </c>
      <c r="H21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13" s="49">
        <f ca="1">IFERROR(WEEKNUM(CRC_War_Room_SIMs[[#This Row],[Ops Date]]), "N/A")</f>
        <v>31</v>
      </c>
      <c r="J21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1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1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13" s="50">
        <f>IF(AND(CRC_War_Room_SIMs[[#This Row],[CI]] = 0, CRC_War_Room_SIMs[[#This Row],[Miss]] = 1), 1, 0)</f>
        <v>0</v>
      </c>
      <c r="N21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13" s="49">
        <f>IF(AND(CRC_War_Room_SIMs[[#This Row],[Excluded]] = 0, OR(CRC_War_Room_SIMs[[#This Row],[False Resolution Miss]] &lt;&gt; "", ISNUMBER(SEARCH("False Resolution", CRC_War_Room_SIMs[[#This Row],[Labels]])))), 1, 0)</f>
        <v>0</v>
      </c>
      <c r="P213" s="50">
        <f>IF(AND(CRC_War_Room_SIMs[[#This Row],[Excluded]] = 0, OR(CRC_War_Room_SIMs[[#This Row],[SLA Miss]] &lt;&gt; "", ISNUMBER(SEARCH("SLA", CRC_War_Room_SIMs[[#This Row],[Labels]])))), 1, 0)</f>
        <v>0</v>
      </c>
    </row>
    <row r="214" spans="1:16" x14ac:dyDescent="0.25">
      <c r="A214" t="s">
        <v>2716</v>
      </c>
      <c r="B214" t="s">
        <v>2717</v>
      </c>
      <c r="C214" t="s">
        <v>2713</v>
      </c>
      <c r="H21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14" s="49">
        <f ca="1">IFERROR(WEEKNUM(CRC_War_Room_SIMs[[#This Row],[Ops Date]]), "N/A")</f>
        <v>31</v>
      </c>
      <c r="J21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1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1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14" s="50">
        <f>IF(AND(CRC_War_Room_SIMs[[#This Row],[CI]] = 0, CRC_War_Room_SIMs[[#This Row],[Miss]] = 1), 1, 0)</f>
        <v>0</v>
      </c>
      <c r="N21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14" s="49">
        <f>IF(AND(CRC_War_Room_SIMs[[#This Row],[Excluded]] = 0, OR(CRC_War_Room_SIMs[[#This Row],[False Resolution Miss]] &lt;&gt; "", ISNUMBER(SEARCH("False Resolution", CRC_War_Room_SIMs[[#This Row],[Labels]])))), 1, 0)</f>
        <v>0</v>
      </c>
      <c r="P214" s="50">
        <f>IF(AND(CRC_War_Room_SIMs[[#This Row],[Excluded]] = 0, OR(CRC_War_Room_SIMs[[#This Row],[SLA Miss]] &lt;&gt; "", ISNUMBER(SEARCH("SLA", CRC_War_Room_SIMs[[#This Row],[Labels]])))), 1, 0)</f>
        <v>0</v>
      </c>
    </row>
    <row r="215" spans="1:16" x14ac:dyDescent="0.25">
      <c r="A215" t="s">
        <v>2718</v>
      </c>
      <c r="B215" t="s">
        <v>2719</v>
      </c>
      <c r="C215" t="s">
        <v>2713</v>
      </c>
      <c r="H21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15" s="49">
        <f ca="1">IFERROR(WEEKNUM(CRC_War_Room_SIMs[[#This Row],[Ops Date]]), "N/A")</f>
        <v>31</v>
      </c>
      <c r="J21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1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1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15" s="50">
        <f>IF(AND(CRC_War_Room_SIMs[[#This Row],[CI]] = 0, CRC_War_Room_SIMs[[#This Row],[Miss]] = 1), 1, 0)</f>
        <v>0</v>
      </c>
      <c r="N21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15" s="49">
        <f>IF(AND(CRC_War_Room_SIMs[[#This Row],[Excluded]] = 0, OR(CRC_War_Room_SIMs[[#This Row],[False Resolution Miss]] &lt;&gt; "", ISNUMBER(SEARCH("False Resolution", CRC_War_Room_SIMs[[#This Row],[Labels]])))), 1, 0)</f>
        <v>0</v>
      </c>
      <c r="P215" s="50">
        <f>IF(AND(CRC_War_Room_SIMs[[#This Row],[Excluded]] = 0, OR(CRC_War_Room_SIMs[[#This Row],[SLA Miss]] &lt;&gt; "", ISNUMBER(SEARCH("SLA", CRC_War_Room_SIMs[[#This Row],[Labels]])))), 1, 0)</f>
        <v>0</v>
      </c>
    </row>
    <row r="216" spans="1:16" x14ac:dyDescent="0.25">
      <c r="A216" t="s">
        <v>2720</v>
      </c>
      <c r="B216" t="s">
        <v>2719</v>
      </c>
      <c r="C216" t="s">
        <v>2713</v>
      </c>
      <c r="H21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16" s="49">
        <f ca="1">IFERROR(WEEKNUM(CRC_War_Room_SIMs[[#This Row],[Ops Date]]), "N/A")</f>
        <v>31</v>
      </c>
      <c r="J21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1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1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16" s="50">
        <f>IF(AND(CRC_War_Room_SIMs[[#This Row],[CI]] = 0, CRC_War_Room_SIMs[[#This Row],[Miss]] = 1), 1, 0)</f>
        <v>0</v>
      </c>
      <c r="N21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16" s="49">
        <f>IF(AND(CRC_War_Room_SIMs[[#This Row],[Excluded]] = 0, OR(CRC_War_Room_SIMs[[#This Row],[False Resolution Miss]] &lt;&gt; "", ISNUMBER(SEARCH("False Resolution", CRC_War_Room_SIMs[[#This Row],[Labels]])))), 1, 0)</f>
        <v>0</v>
      </c>
      <c r="P216" s="50">
        <f>IF(AND(CRC_War_Room_SIMs[[#This Row],[Excluded]] = 0, OR(CRC_War_Room_SIMs[[#This Row],[SLA Miss]] &lt;&gt; "", ISNUMBER(SEARCH("SLA", CRC_War_Room_SIMs[[#This Row],[Labels]])))), 1, 0)</f>
        <v>0</v>
      </c>
    </row>
    <row r="217" spans="1:16" x14ac:dyDescent="0.25">
      <c r="A217" t="s">
        <v>2721</v>
      </c>
      <c r="B217" t="s">
        <v>2722</v>
      </c>
      <c r="C217" t="s">
        <v>2713</v>
      </c>
      <c r="H21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17" s="49">
        <f ca="1">IFERROR(WEEKNUM(CRC_War_Room_SIMs[[#This Row],[Ops Date]]), "N/A")</f>
        <v>31</v>
      </c>
      <c r="J21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1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1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17" s="50">
        <f>IF(AND(CRC_War_Room_SIMs[[#This Row],[CI]] = 0, CRC_War_Room_SIMs[[#This Row],[Miss]] = 1), 1, 0)</f>
        <v>0</v>
      </c>
      <c r="N21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17" s="49">
        <f>IF(AND(CRC_War_Room_SIMs[[#This Row],[Excluded]] = 0, OR(CRC_War_Room_SIMs[[#This Row],[False Resolution Miss]] &lt;&gt; "", ISNUMBER(SEARCH("False Resolution", CRC_War_Room_SIMs[[#This Row],[Labels]])))), 1, 0)</f>
        <v>0</v>
      </c>
      <c r="P217" s="50">
        <f>IF(AND(CRC_War_Room_SIMs[[#This Row],[Excluded]] = 0, OR(CRC_War_Room_SIMs[[#This Row],[SLA Miss]] &lt;&gt; "", ISNUMBER(SEARCH("SLA", CRC_War_Room_SIMs[[#This Row],[Labels]])))), 1, 0)</f>
        <v>0</v>
      </c>
    </row>
    <row r="218" spans="1:16" x14ac:dyDescent="0.25">
      <c r="A218" t="s">
        <v>2723</v>
      </c>
      <c r="B218" t="s">
        <v>2722</v>
      </c>
      <c r="C218" t="s">
        <v>2713</v>
      </c>
      <c r="H21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18" s="49">
        <f ca="1">IFERROR(WEEKNUM(CRC_War_Room_SIMs[[#This Row],[Ops Date]]), "N/A")</f>
        <v>31</v>
      </c>
      <c r="J21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1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1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18" s="50">
        <f>IF(AND(CRC_War_Room_SIMs[[#This Row],[CI]] = 0, CRC_War_Room_SIMs[[#This Row],[Miss]] = 1), 1, 0)</f>
        <v>0</v>
      </c>
      <c r="N21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18" s="49">
        <f>IF(AND(CRC_War_Room_SIMs[[#This Row],[Excluded]] = 0, OR(CRC_War_Room_SIMs[[#This Row],[False Resolution Miss]] &lt;&gt; "", ISNUMBER(SEARCH("False Resolution", CRC_War_Room_SIMs[[#This Row],[Labels]])))), 1, 0)</f>
        <v>0</v>
      </c>
      <c r="P218" s="50">
        <f>IF(AND(CRC_War_Room_SIMs[[#This Row],[Excluded]] = 0, OR(CRC_War_Room_SIMs[[#This Row],[SLA Miss]] &lt;&gt; "", ISNUMBER(SEARCH("SLA", CRC_War_Room_SIMs[[#This Row],[Labels]])))), 1, 0)</f>
        <v>0</v>
      </c>
    </row>
    <row r="219" spans="1:16" x14ac:dyDescent="0.25">
      <c r="A219" t="s">
        <v>2724</v>
      </c>
      <c r="B219" t="s">
        <v>2719</v>
      </c>
      <c r="C219" t="s">
        <v>2713</v>
      </c>
      <c r="H21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19" s="49">
        <f ca="1">IFERROR(WEEKNUM(CRC_War_Room_SIMs[[#This Row],[Ops Date]]), "N/A")</f>
        <v>31</v>
      </c>
      <c r="J21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1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1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19" s="50">
        <f>IF(AND(CRC_War_Room_SIMs[[#This Row],[CI]] = 0, CRC_War_Room_SIMs[[#This Row],[Miss]] = 1), 1, 0)</f>
        <v>0</v>
      </c>
      <c r="N21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19" s="49">
        <f>IF(AND(CRC_War_Room_SIMs[[#This Row],[Excluded]] = 0, OR(CRC_War_Room_SIMs[[#This Row],[False Resolution Miss]] &lt;&gt; "", ISNUMBER(SEARCH("False Resolution", CRC_War_Room_SIMs[[#This Row],[Labels]])))), 1, 0)</f>
        <v>0</v>
      </c>
      <c r="P219" s="50">
        <f>IF(AND(CRC_War_Room_SIMs[[#This Row],[Excluded]] = 0, OR(CRC_War_Room_SIMs[[#This Row],[SLA Miss]] &lt;&gt; "", ISNUMBER(SEARCH("SLA", CRC_War_Room_SIMs[[#This Row],[Labels]])))), 1, 0)</f>
        <v>0</v>
      </c>
    </row>
    <row r="220" spans="1:16" x14ac:dyDescent="0.25">
      <c r="A220" t="s">
        <v>2725</v>
      </c>
      <c r="B220" t="s">
        <v>2722</v>
      </c>
      <c r="C220" t="s">
        <v>2713</v>
      </c>
      <c r="H22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20" s="49">
        <f ca="1">IFERROR(WEEKNUM(CRC_War_Room_SIMs[[#This Row],[Ops Date]]), "N/A")</f>
        <v>31</v>
      </c>
      <c r="J22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2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2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20" s="50">
        <f>IF(AND(CRC_War_Room_SIMs[[#This Row],[CI]] = 0, CRC_War_Room_SIMs[[#This Row],[Miss]] = 1), 1, 0)</f>
        <v>0</v>
      </c>
      <c r="N22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20" s="49">
        <f>IF(AND(CRC_War_Room_SIMs[[#This Row],[Excluded]] = 0, OR(CRC_War_Room_SIMs[[#This Row],[False Resolution Miss]] &lt;&gt; "", ISNUMBER(SEARCH("False Resolution", CRC_War_Room_SIMs[[#This Row],[Labels]])))), 1, 0)</f>
        <v>0</v>
      </c>
      <c r="P220" s="50">
        <f>IF(AND(CRC_War_Room_SIMs[[#This Row],[Excluded]] = 0, OR(CRC_War_Room_SIMs[[#This Row],[SLA Miss]] &lt;&gt; "", ISNUMBER(SEARCH("SLA", CRC_War_Room_SIMs[[#This Row],[Labels]])))), 1, 0)</f>
        <v>0</v>
      </c>
    </row>
    <row r="221" spans="1:16" x14ac:dyDescent="0.25">
      <c r="A221" t="s">
        <v>2726</v>
      </c>
      <c r="B221" t="s">
        <v>2719</v>
      </c>
      <c r="C221" t="s">
        <v>2713</v>
      </c>
      <c r="H22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21" s="49">
        <f ca="1">IFERROR(WEEKNUM(CRC_War_Room_SIMs[[#This Row],[Ops Date]]), "N/A")</f>
        <v>31</v>
      </c>
      <c r="J22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2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2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21" s="50">
        <f>IF(AND(CRC_War_Room_SIMs[[#This Row],[CI]] = 0, CRC_War_Room_SIMs[[#This Row],[Miss]] = 1), 1, 0)</f>
        <v>0</v>
      </c>
      <c r="N22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21" s="49">
        <f>IF(AND(CRC_War_Room_SIMs[[#This Row],[Excluded]] = 0, OR(CRC_War_Room_SIMs[[#This Row],[False Resolution Miss]] &lt;&gt; "", ISNUMBER(SEARCH("False Resolution", CRC_War_Room_SIMs[[#This Row],[Labels]])))), 1, 0)</f>
        <v>0</v>
      </c>
      <c r="P221" s="50">
        <f>IF(AND(CRC_War_Room_SIMs[[#This Row],[Excluded]] = 0, OR(CRC_War_Room_SIMs[[#This Row],[SLA Miss]] &lt;&gt; "", ISNUMBER(SEARCH("SLA", CRC_War_Room_SIMs[[#This Row],[Labels]])))), 1, 0)</f>
        <v>0</v>
      </c>
    </row>
    <row r="222" spans="1:16" x14ac:dyDescent="0.25">
      <c r="A222" t="s">
        <v>2727</v>
      </c>
      <c r="B222" t="s">
        <v>2719</v>
      </c>
      <c r="C222" t="s">
        <v>2713</v>
      </c>
      <c r="H22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22" s="49">
        <f ca="1">IFERROR(WEEKNUM(CRC_War_Room_SIMs[[#This Row],[Ops Date]]), "N/A")</f>
        <v>31</v>
      </c>
      <c r="J22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2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2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22" s="50">
        <f>IF(AND(CRC_War_Room_SIMs[[#This Row],[CI]] = 0, CRC_War_Room_SIMs[[#This Row],[Miss]] = 1), 1, 0)</f>
        <v>0</v>
      </c>
      <c r="N22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22" s="49">
        <f>IF(AND(CRC_War_Room_SIMs[[#This Row],[Excluded]] = 0, OR(CRC_War_Room_SIMs[[#This Row],[False Resolution Miss]] &lt;&gt; "", ISNUMBER(SEARCH("False Resolution", CRC_War_Room_SIMs[[#This Row],[Labels]])))), 1, 0)</f>
        <v>0</v>
      </c>
      <c r="P222" s="50">
        <f>IF(AND(CRC_War_Room_SIMs[[#This Row],[Excluded]] = 0, OR(CRC_War_Room_SIMs[[#This Row],[SLA Miss]] &lt;&gt; "", ISNUMBER(SEARCH("SLA", CRC_War_Room_SIMs[[#This Row],[Labels]])))), 1, 0)</f>
        <v>0</v>
      </c>
    </row>
    <row r="223" spans="1:16" x14ac:dyDescent="0.25">
      <c r="A223" t="s">
        <v>2728</v>
      </c>
      <c r="B223" t="s">
        <v>2729</v>
      </c>
      <c r="C223" t="s">
        <v>2713</v>
      </c>
      <c r="H22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23" s="49">
        <f ca="1">IFERROR(WEEKNUM(CRC_War_Room_SIMs[[#This Row],[Ops Date]]), "N/A")</f>
        <v>31</v>
      </c>
      <c r="J22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2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2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23" s="50">
        <f>IF(AND(CRC_War_Room_SIMs[[#This Row],[CI]] = 0, CRC_War_Room_SIMs[[#This Row],[Miss]] = 1), 1, 0)</f>
        <v>0</v>
      </c>
      <c r="N22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23" s="49">
        <f>IF(AND(CRC_War_Room_SIMs[[#This Row],[Excluded]] = 0, OR(CRC_War_Room_SIMs[[#This Row],[False Resolution Miss]] &lt;&gt; "", ISNUMBER(SEARCH("False Resolution", CRC_War_Room_SIMs[[#This Row],[Labels]])))), 1, 0)</f>
        <v>0</v>
      </c>
      <c r="P223" s="50">
        <f>IF(AND(CRC_War_Room_SIMs[[#This Row],[Excluded]] = 0, OR(CRC_War_Room_SIMs[[#This Row],[SLA Miss]] &lt;&gt; "", ISNUMBER(SEARCH("SLA", CRC_War_Room_SIMs[[#This Row],[Labels]])))), 1, 0)</f>
        <v>0</v>
      </c>
    </row>
    <row r="224" spans="1:16" x14ac:dyDescent="0.25">
      <c r="A224" t="s">
        <v>2730</v>
      </c>
      <c r="B224" t="s">
        <v>2722</v>
      </c>
      <c r="C224" t="s">
        <v>2713</v>
      </c>
      <c r="H22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24" s="49">
        <f ca="1">IFERROR(WEEKNUM(CRC_War_Room_SIMs[[#This Row],[Ops Date]]), "N/A")</f>
        <v>31</v>
      </c>
      <c r="J22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2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2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24" s="50">
        <f>IF(AND(CRC_War_Room_SIMs[[#This Row],[CI]] = 0, CRC_War_Room_SIMs[[#This Row],[Miss]] = 1), 1, 0)</f>
        <v>0</v>
      </c>
      <c r="N22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24" s="49">
        <f>IF(AND(CRC_War_Room_SIMs[[#This Row],[Excluded]] = 0, OR(CRC_War_Room_SIMs[[#This Row],[False Resolution Miss]] &lt;&gt; "", ISNUMBER(SEARCH("False Resolution", CRC_War_Room_SIMs[[#This Row],[Labels]])))), 1, 0)</f>
        <v>0</v>
      </c>
      <c r="P224" s="50">
        <f>IF(AND(CRC_War_Room_SIMs[[#This Row],[Excluded]] = 0, OR(CRC_War_Room_SIMs[[#This Row],[SLA Miss]] &lt;&gt; "", ISNUMBER(SEARCH("SLA", CRC_War_Room_SIMs[[#This Row],[Labels]])))), 1, 0)</f>
        <v>0</v>
      </c>
    </row>
    <row r="225" spans="1:16" x14ac:dyDescent="0.25">
      <c r="A225" t="s">
        <v>2731</v>
      </c>
      <c r="B225" t="s">
        <v>2722</v>
      </c>
      <c r="C225" t="s">
        <v>2713</v>
      </c>
      <c r="H22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25" s="49">
        <f ca="1">IFERROR(WEEKNUM(CRC_War_Room_SIMs[[#This Row],[Ops Date]]), "N/A")</f>
        <v>31</v>
      </c>
      <c r="J22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2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2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25" s="50">
        <f>IF(AND(CRC_War_Room_SIMs[[#This Row],[CI]] = 0, CRC_War_Room_SIMs[[#This Row],[Miss]] = 1), 1, 0)</f>
        <v>0</v>
      </c>
      <c r="N22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25" s="49">
        <f>IF(AND(CRC_War_Room_SIMs[[#This Row],[Excluded]] = 0, OR(CRC_War_Room_SIMs[[#This Row],[False Resolution Miss]] &lt;&gt; "", ISNUMBER(SEARCH("False Resolution", CRC_War_Room_SIMs[[#This Row],[Labels]])))), 1, 0)</f>
        <v>0</v>
      </c>
      <c r="P225" s="50">
        <f>IF(AND(CRC_War_Room_SIMs[[#This Row],[Excluded]] = 0, OR(CRC_War_Room_SIMs[[#This Row],[SLA Miss]] &lt;&gt; "", ISNUMBER(SEARCH("SLA", CRC_War_Room_SIMs[[#This Row],[Labels]])))), 1, 0)</f>
        <v>0</v>
      </c>
    </row>
    <row r="226" spans="1:16" x14ac:dyDescent="0.25">
      <c r="A226" t="s">
        <v>2732</v>
      </c>
      <c r="B226" t="s">
        <v>2729</v>
      </c>
      <c r="C226" t="s">
        <v>2713</v>
      </c>
      <c r="H22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26" s="49">
        <f ca="1">IFERROR(WEEKNUM(CRC_War_Room_SIMs[[#This Row],[Ops Date]]), "N/A")</f>
        <v>31</v>
      </c>
      <c r="J22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2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2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26" s="50">
        <f>IF(AND(CRC_War_Room_SIMs[[#This Row],[CI]] = 0, CRC_War_Room_SIMs[[#This Row],[Miss]] = 1), 1, 0)</f>
        <v>0</v>
      </c>
      <c r="N22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26" s="49">
        <f>IF(AND(CRC_War_Room_SIMs[[#This Row],[Excluded]] = 0, OR(CRC_War_Room_SIMs[[#This Row],[False Resolution Miss]] &lt;&gt; "", ISNUMBER(SEARCH("False Resolution", CRC_War_Room_SIMs[[#This Row],[Labels]])))), 1, 0)</f>
        <v>0</v>
      </c>
      <c r="P226" s="50">
        <f>IF(AND(CRC_War_Room_SIMs[[#This Row],[Excluded]] = 0, OR(CRC_War_Room_SIMs[[#This Row],[SLA Miss]] &lt;&gt; "", ISNUMBER(SEARCH("SLA", CRC_War_Room_SIMs[[#This Row],[Labels]])))), 1, 0)</f>
        <v>0</v>
      </c>
    </row>
    <row r="227" spans="1:16" x14ac:dyDescent="0.25">
      <c r="A227" t="s">
        <v>2733</v>
      </c>
      <c r="B227" t="s">
        <v>2729</v>
      </c>
      <c r="C227" t="s">
        <v>2713</v>
      </c>
      <c r="H22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27" s="49">
        <f ca="1">IFERROR(WEEKNUM(CRC_War_Room_SIMs[[#This Row],[Ops Date]]), "N/A")</f>
        <v>31</v>
      </c>
      <c r="J22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2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2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27" s="50">
        <f>IF(AND(CRC_War_Room_SIMs[[#This Row],[CI]] = 0, CRC_War_Room_SIMs[[#This Row],[Miss]] = 1), 1, 0)</f>
        <v>0</v>
      </c>
      <c r="N22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27" s="49">
        <f>IF(AND(CRC_War_Room_SIMs[[#This Row],[Excluded]] = 0, OR(CRC_War_Room_SIMs[[#This Row],[False Resolution Miss]] &lt;&gt; "", ISNUMBER(SEARCH("False Resolution", CRC_War_Room_SIMs[[#This Row],[Labels]])))), 1, 0)</f>
        <v>0</v>
      </c>
      <c r="P227" s="50">
        <f>IF(AND(CRC_War_Room_SIMs[[#This Row],[Excluded]] = 0, OR(CRC_War_Room_SIMs[[#This Row],[SLA Miss]] &lt;&gt; "", ISNUMBER(SEARCH("SLA", CRC_War_Room_SIMs[[#This Row],[Labels]])))), 1, 0)</f>
        <v>0</v>
      </c>
    </row>
    <row r="228" spans="1:16" x14ac:dyDescent="0.25">
      <c r="A228" t="s">
        <v>2734</v>
      </c>
      <c r="B228" t="s">
        <v>2729</v>
      </c>
      <c r="C228" t="s">
        <v>2713</v>
      </c>
      <c r="H22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28" s="49">
        <f ca="1">IFERROR(WEEKNUM(CRC_War_Room_SIMs[[#This Row],[Ops Date]]), "N/A")</f>
        <v>31</v>
      </c>
      <c r="J22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2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2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28" s="50">
        <f>IF(AND(CRC_War_Room_SIMs[[#This Row],[CI]] = 0, CRC_War_Room_SIMs[[#This Row],[Miss]] = 1), 1, 0)</f>
        <v>0</v>
      </c>
      <c r="N22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28" s="49">
        <f>IF(AND(CRC_War_Room_SIMs[[#This Row],[Excluded]] = 0, OR(CRC_War_Room_SIMs[[#This Row],[False Resolution Miss]] &lt;&gt; "", ISNUMBER(SEARCH("False Resolution", CRC_War_Room_SIMs[[#This Row],[Labels]])))), 1, 0)</f>
        <v>0</v>
      </c>
      <c r="P228" s="50">
        <f>IF(AND(CRC_War_Room_SIMs[[#This Row],[Excluded]] = 0, OR(CRC_War_Room_SIMs[[#This Row],[SLA Miss]] &lt;&gt; "", ISNUMBER(SEARCH("SLA", CRC_War_Room_SIMs[[#This Row],[Labels]])))), 1, 0)</f>
        <v>0</v>
      </c>
    </row>
    <row r="229" spans="1:16" x14ac:dyDescent="0.25">
      <c r="A229" t="s">
        <v>2735</v>
      </c>
      <c r="B229" t="s">
        <v>2729</v>
      </c>
      <c r="C229" t="s">
        <v>2713</v>
      </c>
      <c r="H22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29" s="49">
        <f ca="1">IFERROR(WEEKNUM(CRC_War_Room_SIMs[[#This Row],[Ops Date]]), "N/A")</f>
        <v>31</v>
      </c>
      <c r="J22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2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2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29" s="50">
        <f>IF(AND(CRC_War_Room_SIMs[[#This Row],[CI]] = 0, CRC_War_Room_SIMs[[#This Row],[Miss]] = 1), 1, 0)</f>
        <v>0</v>
      </c>
      <c r="N22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29" s="49">
        <f>IF(AND(CRC_War_Room_SIMs[[#This Row],[Excluded]] = 0, OR(CRC_War_Room_SIMs[[#This Row],[False Resolution Miss]] &lt;&gt; "", ISNUMBER(SEARCH("False Resolution", CRC_War_Room_SIMs[[#This Row],[Labels]])))), 1, 0)</f>
        <v>0</v>
      </c>
      <c r="P229" s="50">
        <f>IF(AND(CRC_War_Room_SIMs[[#This Row],[Excluded]] = 0, OR(CRC_War_Room_SIMs[[#This Row],[SLA Miss]] &lt;&gt; "", ISNUMBER(SEARCH("SLA", CRC_War_Room_SIMs[[#This Row],[Labels]])))), 1, 0)</f>
        <v>0</v>
      </c>
    </row>
    <row r="230" spans="1:16" x14ac:dyDescent="0.25">
      <c r="A230" t="s">
        <v>2736</v>
      </c>
      <c r="B230" t="s">
        <v>2729</v>
      </c>
      <c r="C230" t="s">
        <v>2713</v>
      </c>
      <c r="H23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30" s="49">
        <f ca="1">IFERROR(WEEKNUM(CRC_War_Room_SIMs[[#This Row],[Ops Date]]), "N/A")</f>
        <v>31</v>
      </c>
      <c r="J23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3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3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30" s="50">
        <f>IF(AND(CRC_War_Room_SIMs[[#This Row],[CI]] = 0, CRC_War_Room_SIMs[[#This Row],[Miss]] = 1), 1, 0)</f>
        <v>0</v>
      </c>
      <c r="N23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30" s="49">
        <f>IF(AND(CRC_War_Room_SIMs[[#This Row],[Excluded]] = 0, OR(CRC_War_Room_SIMs[[#This Row],[False Resolution Miss]] &lt;&gt; "", ISNUMBER(SEARCH("False Resolution", CRC_War_Room_SIMs[[#This Row],[Labels]])))), 1, 0)</f>
        <v>0</v>
      </c>
      <c r="P230" s="50">
        <f>IF(AND(CRC_War_Room_SIMs[[#This Row],[Excluded]] = 0, OR(CRC_War_Room_SIMs[[#This Row],[SLA Miss]] &lt;&gt; "", ISNUMBER(SEARCH("SLA", CRC_War_Room_SIMs[[#This Row],[Labels]])))), 1, 0)</f>
        <v>0</v>
      </c>
    </row>
    <row r="231" spans="1:16" x14ac:dyDescent="0.25">
      <c r="A231" t="s">
        <v>2737</v>
      </c>
      <c r="B231" t="s">
        <v>2729</v>
      </c>
      <c r="C231" t="s">
        <v>2713</v>
      </c>
      <c r="H23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31" s="49">
        <f ca="1">IFERROR(WEEKNUM(CRC_War_Room_SIMs[[#This Row],[Ops Date]]), "N/A")</f>
        <v>31</v>
      </c>
      <c r="J23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3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3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31" s="50">
        <f>IF(AND(CRC_War_Room_SIMs[[#This Row],[CI]] = 0, CRC_War_Room_SIMs[[#This Row],[Miss]] = 1), 1, 0)</f>
        <v>0</v>
      </c>
      <c r="N23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31" s="49">
        <f>IF(AND(CRC_War_Room_SIMs[[#This Row],[Excluded]] = 0, OR(CRC_War_Room_SIMs[[#This Row],[False Resolution Miss]] &lt;&gt; "", ISNUMBER(SEARCH("False Resolution", CRC_War_Room_SIMs[[#This Row],[Labels]])))), 1, 0)</f>
        <v>0</v>
      </c>
      <c r="P231" s="50">
        <f>IF(AND(CRC_War_Room_SIMs[[#This Row],[Excluded]] = 0, OR(CRC_War_Room_SIMs[[#This Row],[SLA Miss]] &lt;&gt; "", ISNUMBER(SEARCH("SLA", CRC_War_Room_SIMs[[#This Row],[Labels]])))), 1, 0)</f>
        <v>0</v>
      </c>
    </row>
    <row r="232" spans="1:16" x14ac:dyDescent="0.25">
      <c r="A232" t="s">
        <v>2738</v>
      </c>
      <c r="B232" t="s">
        <v>2729</v>
      </c>
      <c r="C232" t="s">
        <v>2713</v>
      </c>
      <c r="H23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32" s="49">
        <f ca="1">IFERROR(WEEKNUM(CRC_War_Room_SIMs[[#This Row],[Ops Date]]), "N/A")</f>
        <v>31</v>
      </c>
      <c r="J23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3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3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32" s="50">
        <f>IF(AND(CRC_War_Room_SIMs[[#This Row],[CI]] = 0, CRC_War_Room_SIMs[[#This Row],[Miss]] = 1), 1, 0)</f>
        <v>0</v>
      </c>
      <c r="N23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32" s="49">
        <f>IF(AND(CRC_War_Room_SIMs[[#This Row],[Excluded]] = 0, OR(CRC_War_Room_SIMs[[#This Row],[False Resolution Miss]] &lt;&gt; "", ISNUMBER(SEARCH("False Resolution", CRC_War_Room_SIMs[[#This Row],[Labels]])))), 1, 0)</f>
        <v>0</v>
      </c>
      <c r="P232" s="50">
        <f>IF(AND(CRC_War_Room_SIMs[[#This Row],[Excluded]] = 0, OR(CRC_War_Room_SIMs[[#This Row],[SLA Miss]] &lt;&gt; "", ISNUMBER(SEARCH("SLA", CRC_War_Room_SIMs[[#This Row],[Labels]])))), 1, 0)</f>
        <v>0</v>
      </c>
    </row>
    <row r="233" spans="1:16" x14ac:dyDescent="0.25">
      <c r="A233" t="s">
        <v>2739</v>
      </c>
      <c r="B233" t="s">
        <v>2712</v>
      </c>
      <c r="C233" t="s">
        <v>2713</v>
      </c>
      <c r="H23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33" s="49">
        <f ca="1">IFERROR(WEEKNUM(CRC_War_Room_SIMs[[#This Row],[Ops Date]]), "N/A")</f>
        <v>31</v>
      </c>
      <c r="J23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3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3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33" s="50">
        <f>IF(AND(CRC_War_Room_SIMs[[#This Row],[CI]] = 0, CRC_War_Room_SIMs[[#This Row],[Miss]] = 1), 1, 0)</f>
        <v>0</v>
      </c>
      <c r="N23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33" s="49">
        <f>IF(AND(CRC_War_Room_SIMs[[#This Row],[Excluded]] = 0, OR(CRC_War_Room_SIMs[[#This Row],[False Resolution Miss]] &lt;&gt; "", ISNUMBER(SEARCH("False Resolution", CRC_War_Room_SIMs[[#This Row],[Labels]])))), 1, 0)</f>
        <v>0</v>
      </c>
      <c r="P233" s="50">
        <f>IF(AND(CRC_War_Room_SIMs[[#This Row],[Excluded]] = 0, OR(CRC_War_Room_SIMs[[#This Row],[SLA Miss]] &lt;&gt; "", ISNUMBER(SEARCH("SLA", CRC_War_Room_SIMs[[#This Row],[Labels]])))), 1, 0)</f>
        <v>0</v>
      </c>
    </row>
    <row r="234" spans="1:16" x14ac:dyDescent="0.25">
      <c r="A234" t="s">
        <v>2740</v>
      </c>
      <c r="B234" t="s">
        <v>2712</v>
      </c>
      <c r="C234" t="s">
        <v>2713</v>
      </c>
      <c r="H23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34" s="49">
        <f ca="1">IFERROR(WEEKNUM(CRC_War_Room_SIMs[[#This Row],[Ops Date]]), "N/A")</f>
        <v>31</v>
      </c>
      <c r="J23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3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3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34" s="50">
        <f>IF(AND(CRC_War_Room_SIMs[[#This Row],[CI]] = 0, CRC_War_Room_SIMs[[#This Row],[Miss]] = 1), 1, 0)</f>
        <v>0</v>
      </c>
      <c r="N23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34" s="49">
        <f>IF(AND(CRC_War_Room_SIMs[[#This Row],[Excluded]] = 0, OR(CRC_War_Room_SIMs[[#This Row],[False Resolution Miss]] &lt;&gt; "", ISNUMBER(SEARCH("False Resolution", CRC_War_Room_SIMs[[#This Row],[Labels]])))), 1, 0)</f>
        <v>0</v>
      </c>
      <c r="P234" s="50">
        <f>IF(AND(CRC_War_Room_SIMs[[#This Row],[Excluded]] = 0, OR(CRC_War_Room_SIMs[[#This Row],[SLA Miss]] &lt;&gt; "", ISNUMBER(SEARCH("SLA", CRC_War_Room_SIMs[[#This Row],[Labels]])))), 1, 0)</f>
        <v>0</v>
      </c>
    </row>
    <row r="235" spans="1:16" x14ac:dyDescent="0.25">
      <c r="A235" t="s">
        <v>2741</v>
      </c>
      <c r="B235" t="s">
        <v>2712</v>
      </c>
      <c r="C235" t="s">
        <v>2713</v>
      </c>
      <c r="H23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35" s="49">
        <f ca="1">IFERROR(WEEKNUM(CRC_War_Room_SIMs[[#This Row],[Ops Date]]), "N/A")</f>
        <v>31</v>
      </c>
      <c r="J23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3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3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35" s="50">
        <f>IF(AND(CRC_War_Room_SIMs[[#This Row],[CI]] = 0, CRC_War_Room_SIMs[[#This Row],[Miss]] = 1), 1, 0)</f>
        <v>0</v>
      </c>
      <c r="N23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35" s="49">
        <f>IF(AND(CRC_War_Room_SIMs[[#This Row],[Excluded]] = 0, OR(CRC_War_Room_SIMs[[#This Row],[False Resolution Miss]] &lt;&gt; "", ISNUMBER(SEARCH("False Resolution", CRC_War_Room_SIMs[[#This Row],[Labels]])))), 1, 0)</f>
        <v>0</v>
      </c>
      <c r="P235" s="50">
        <f>IF(AND(CRC_War_Room_SIMs[[#This Row],[Excluded]] = 0, OR(CRC_War_Room_SIMs[[#This Row],[SLA Miss]] &lt;&gt; "", ISNUMBER(SEARCH("SLA", CRC_War_Room_SIMs[[#This Row],[Labels]])))), 1, 0)</f>
        <v>0</v>
      </c>
    </row>
    <row r="236" spans="1:16" x14ac:dyDescent="0.25">
      <c r="A236" t="s">
        <v>2742</v>
      </c>
      <c r="B236" t="s">
        <v>2712</v>
      </c>
      <c r="C236" t="s">
        <v>2713</v>
      </c>
      <c r="H23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36" s="49">
        <f ca="1">IFERROR(WEEKNUM(CRC_War_Room_SIMs[[#This Row],[Ops Date]]), "N/A")</f>
        <v>31</v>
      </c>
      <c r="J23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3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3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36" s="50">
        <f>IF(AND(CRC_War_Room_SIMs[[#This Row],[CI]] = 0, CRC_War_Room_SIMs[[#This Row],[Miss]] = 1), 1, 0)</f>
        <v>0</v>
      </c>
      <c r="N23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36" s="49">
        <f>IF(AND(CRC_War_Room_SIMs[[#This Row],[Excluded]] = 0, OR(CRC_War_Room_SIMs[[#This Row],[False Resolution Miss]] &lt;&gt; "", ISNUMBER(SEARCH("False Resolution", CRC_War_Room_SIMs[[#This Row],[Labels]])))), 1, 0)</f>
        <v>0</v>
      </c>
      <c r="P236" s="50">
        <f>IF(AND(CRC_War_Room_SIMs[[#This Row],[Excluded]] = 0, OR(CRC_War_Room_SIMs[[#This Row],[SLA Miss]] &lt;&gt; "", ISNUMBER(SEARCH("SLA", CRC_War_Room_SIMs[[#This Row],[Labels]])))), 1, 0)</f>
        <v>0</v>
      </c>
    </row>
    <row r="237" spans="1:16" x14ac:dyDescent="0.25">
      <c r="A237" t="s">
        <v>2743</v>
      </c>
      <c r="B237" t="s">
        <v>2712</v>
      </c>
      <c r="C237" t="s">
        <v>2713</v>
      </c>
      <c r="H23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37" s="49">
        <f ca="1">IFERROR(WEEKNUM(CRC_War_Room_SIMs[[#This Row],[Ops Date]]), "N/A")</f>
        <v>31</v>
      </c>
      <c r="J23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3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3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37" s="50">
        <f>IF(AND(CRC_War_Room_SIMs[[#This Row],[CI]] = 0, CRC_War_Room_SIMs[[#This Row],[Miss]] = 1), 1, 0)</f>
        <v>0</v>
      </c>
      <c r="N23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37" s="49">
        <f>IF(AND(CRC_War_Room_SIMs[[#This Row],[Excluded]] = 0, OR(CRC_War_Room_SIMs[[#This Row],[False Resolution Miss]] &lt;&gt; "", ISNUMBER(SEARCH("False Resolution", CRC_War_Room_SIMs[[#This Row],[Labels]])))), 1, 0)</f>
        <v>0</v>
      </c>
      <c r="P237" s="50">
        <f>IF(AND(CRC_War_Room_SIMs[[#This Row],[Excluded]] = 0, OR(CRC_War_Room_SIMs[[#This Row],[SLA Miss]] &lt;&gt; "", ISNUMBER(SEARCH("SLA", CRC_War_Room_SIMs[[#This Row],[Labels]])))), 1, 0)</f>
        <v>0</v>
      </c>
    </row>
    <row r="238" spans="1:16" x14ac:dyDescent="0.25">
      <c r="A238" t="s">
        <v>2744</v>
      </c>
      <c r="B238" t="s">
        <v>2715</v>
      </c>
      <c r="C238" t="s">
        <v>2713</v>
      </c>
      <c r="H23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38" s="49">
        <f ca="1">IFERROR(WEEKNUM(CRC_War_Room_SIMs[[#This Row],[Ops Date]]), "N/A")</f>
        <v>31</v>
      </c>
      <c r="J23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3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3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38" s="50">
        <f>IF(AND(CRC_War_Room_SIMs[[#This Row],[CI]] = 0, CRC_War_Room_SIMs[[#This Row],[Miss]] = 1), 1, 0)</f>
        <v>0</v>
      </c>
      <c r="N23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38" s="49">
        <f>IF(AND(CRC_War_Room_SIMs[[#This Row],[Excluded]] = 0, OR(CRC_War_Room_SIMs[[#This Row],[False Resolution Miss]] &lt;&gt; "", ISNUMBER(SEARCH("False Resolution", CRC_War_Room_SIMs[[#This Row],[Labels]])))), 1, 0)</f>
        <v>0</v>
      </c>
      <c r="P238" s="50">
        <f>IF(AND(CRC_War_Room_SIMs[[#This Row],[Excluded]] = 0, OR(CRC_War_Room_SIMs[[#This Row],[SLA Miss]] &lt;&gt; "", ISNUMBER(SEARCH("SLA", CRC_War_Room_SIMs[[#This Row],[Labels]])))), 1, 0)</f>
        <v>0</v>
      </c>
    </row>
    <row r="239" spans="1:16" x14ac:dyDescent="0.25">
      <c r="A239" t="s">
        <v>2745</v>
      </c>
      <c r="B239" t="s">
        <v>2717</v>
      </c>
      <c r="C239" t="s">
        <v>2713</v>
      </c>
      <c r="H23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39" s="49">
        <f ca="1">IFERROR(WEEKNUM(CRC_War_Room_SIMs[[#This Row],[Ops Date]]), "N/A")</f>
        <v>31</v>
      </c>
      <c r="J23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3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3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39" s="50">
        <f>IF(AND(CRC_War_Room_SIMs[[#This Row],[CI]] = 0, CRC_War_Room_SIMs[[#This Row],[Miss]] = 1), 1, 0)</f>
        <v>0</v>
      </c>
      <c r="N23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39" s="49">
        <f>IF(AND(CRC_War_Room_SIMs[[#This Row],[Excluded]] = 0, OR(CRC_War_Room_SIMs[[#This Row],[False Resolution Miss]] &lt;&gt; "", ISNUMBER(SEARCH("False Resolution", CRC_War_Room_SIMs[[#This Row],[Labels]])))), 1, 0)</f>
        <v>0</v>
      </c>
      <c r="P239" s="50">
        <f>IF(AND(CRC_War_Room_SIMs[[#This Row],[Excluded]] = 0, OR(CRC_War_Room_SIMs[[#This Row],[SLA Miss]] &lt;&gt; "", ISNUMBER(SEARCH("SLA", CRC_War_Room_SIMs[[#This Row],[Labels]])))), 1, 0)</f>
        <v>0</v>
      </c>
    </row>
    <row r="240" spans="1:16" x14ac:dyDescent="0.25">
      <c r="A240" t="s">
        <v>2746</v>
      </c>
      <c r="B240" t="s">
        <v>2717</v>
      </c>
      <c r="C240" t="s">
        <v>2713</v>
      </c>
      <c r="H24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40" s="49">
        <f ca="1">IFERROR(WEEKNUM(CRC_War_Room_SIMs[[#This Row],[Ops Date]]), "N/A")</f>
        <v>31</v>
      </c>
      <c r="J24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4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4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40" s="50">
        <f>IF(AND(CRC_War_Room_SIMs[[#This Row],[CI]] = 0, CRC_War_Room_SIMs[[#This Row],[Miss]] = 1), 1, 0)</f>
        <v>0</v>
      </c>
      <c r="N24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40" s="49">
        <f>IF(AND(CRC_War_Room_SIMs[[#This Row],[Excluded]] = 0, OR(CRC_War_Room_SIMs[[#This Row],[False Resolution Miss]] &lt;&gt; "", ISNUMBER(SEARCH("False Resolution", CRC_War_Room_SIMs[[#This Row],[Labels]])))), 1, 0)</f>
        <v>0</v>
      </c>
      <c r="P240" s="50">
        <f>IF(AND(CRC_War_Room_SIMs[[#This Row],[Excluded]] = 0, OR(CRC_War_Room_SIMs[[#This Row],[SLA Miss]] &lt;&gt; "", ISNUMBER(SEARCH("SLA", CRC_War_Room_SIMs[[#This Row],[Labels]])))), 1, 0)</f>
        <v>0</v>
      </c>
    </row>
    <row r="241" spans="1:16" x14ac:dyDescent="0.25">
      <c r="A241" t="s">
        <v>2747</v>
      </c>
      <c r="B241" t="s">
        <v>2717</v>
      </c>
      <c r="C241" t="s">
        <v>2713</v>
      </c>
      <c r="H24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41" s="49">
        <f ca="1">IFERROR(WEEKNUM(CRC_War_Room_SIMs[[#This Row],[Ops Date]]), "N/A")</f>
        <v>31</v>
      </c>
      <c r="J24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4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4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41" s="50">
        <f>IF(AND(CRC_War_Room_SIMs[[#This Row],[CI]] = 0, CRC_War_Room_SIMs[[#This Row],[Miss]] = 1), 1, 0)</f>
        <v>0</v>
      </c>
      <c r="N24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41" s="49">
        <f>IF(AND(CRC_War_Room_SIMs[[#This Row],[Excluded]] = 0, OR(CRC_War_Room_SIMs[[#This Row],[False Resolution Miss]] &lt;&gt; "", ISNUMBER(SEARCH("False Resolution", CRC_War_Room_SIMs[[#This Row],[Labels]])))), 1, 0)</f>
        <v>0</v>
      </c>
      <c r="P241" s="50">
        <f>IF(AND(CRC_War_Room_SIMs[[#This Row],[Excluded]] = 0, OR(CRC_War_Room_SIMs[[#This Row],[SLA Miss]] &lt;&gt; "", ISNUMBER(SEARCH("SLA", CRC_War_Room_SIMs[[#This Row],[Labels]])))), 1, 0)</f>
        <v>0</v>
      </c>
    </row>
    <row r="242" spans="1:16" x14ac:dyDescent="0.25">
      <c r="A242" t="s">
        <v>2748</v>
      </c>
      <c r="B242" t="s">
        <v>2717</v>
      </c>
      <c r="C242" t="s">
        <v>2713</v>
      </c>
      <c r="H24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42" s="49">
        <f ca="1">IFERROR(WEEKNUM(CRC_War_Room_SIMs[[#This Row],[Ops Date]]), "N/A")</f>
        <v>31</v>
      </c>
      <c r="J24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4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4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42" s="50">
        <f>IF(AND(CRC_War_Room_SIMs[[#This Row],[CI]] = 0, CRC_War_Room_SIMs[[#This Row],[Miss]] = 1), 1, 0)</f>
        <v>0</v>
      </c>
      <c r="N24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42" s="49">
        <f>IF(AND(CRC_War_Room_SIMs[[#This Row],[Excluded]] = 0, OR(CRC_War_Room_SIMs[[#This Row],[False Resolution Miss]] &lt;&gt; "", ISNUMBER(SEARCH("False Resolution", CRC_War_Room_SIMs[[#This Row],[Labels]])))), 1, 0)</f>
        <v>0</v>
      </c>
      <c r="P242" s="50">
        <f>IF(AND(CRC_War_Room_SIMs[[#This Row],[Excluded]] = 0, OR(CRC_War_Room_SIMs[[#This Row],[SLA Miss]] &lt;&gt; "", ISNUMBER(SEARCH("SLA", CRC_War_Room_SIMs[[#This Row],[Labels]])))), 1, 0)</f>
        <v>0</v>
      </c>
    </row>
    <row r="243" spans="1:16" x14ac:dyDescent="0.25">
      <c r="A243" t="s">
        <v>2749</v>
      </c>
      <c r="B243" t="s">
        <v>2717</v>
      </c>
      <c r="C243" t="s">
        <v>2713</v>
      </c>
      <c r="H24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43" s="49">
        <f ca="1">IFERROR(WEEKNUM(CRC_War_Room_SIMs[[#This Row],[Ops Date]]), "N/A")</f>
        <v>31</v>
      </c>
      <c r="J24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4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4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43" s="50">
        <f>IF(AND(CRC_War_Room_SIMs[[#This Row],[CI]] = 0, CRC_War_Room_SIMs[[#This Row],[Miss]] = 1), 1, 0)</f>
        <v>0</v>
      </c>
      <c r="N24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43" s="49">
        <f>IF(AND(CRC_War_Room_SIMs[[#This Row],[Excluded]] = 0, OR(CRC_War_Room_SIMs[[#This Row],[False Resolution Miss]] &lt;&gt; "", ISNUMBER(SEARCH("False Resolution", CRC_War_Room_SIMs[[#This Row],[Labels]])))), 1, 0)</f>
        <v>0</v>
      </c>
      <c r="P243" s="50">
        <f>IF(AND(CRC_War_Room_SIMs[[#This Row],[Excluded]] = 0, OR(CRC_War_Room_SIMs[[#This Row],[SLA Miss]] &lt;&gt; "", ISNUMBER(SEARCH("SLA", CRC_War_Room_SIMs[[#This Row],[Labels]])))), 1, 0)</f>
        <v>0</v>
      </c>
    </row>
    <row r="244" spans="1:16" x14ac:dyDescent="0.25">
      <c r="A244" t="s">
        <v>2750</v>
      </c>
      <c r="B244" t="s">
        <v>2717</v>
      </c>
      <c r="C244" t="s">
        <v>2713</v>
      </c>
      <c r="H24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44" s="49">
        <f ca="1">IFERROR(WEEKNUM(CRC_War_Room_SIMs[[#This Row],[Ops Date]]), "N/A")</f>
        <v>31</v>
      </c>
      <c r="J24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4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4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44" s="50">
        <f>IF(AND(CRC_War_Room_SIMs[[#This Row],[CI]] = 0, CRC_War_Room_SIMs[[#This Row],[Miss]] = 1), 1, 0)</f>
        <v>0</v>
      </c>
      <c r="N24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44" s="49">
        <f>IF(AND(CRC_War_Room_SIMs[[#This Row],[Excluded]] = 0, OR(CRC_War_Room_SIMs[[#This Row],[False Resolution Miss]] &lt;&gt; "", ISNUMBER(SEARCH("False Resolution", CRC_War_Room_SIMs[[#This Row],[Labels]])))), 1, 0)</f>
        <v>0</v>
      </c>
      <c r="P244" s="50">
        <f>IF(AND(CRC_War_Room_SIMs[[#This Row],[Excluded]] = 0, OR(CRC_War_Room_SIMs[[#This Row],[SLA Miss]] &lt;&gt; "", ISNUMBER(SEARCH("SLA", CRC_War_Room_SIMs[[#This Row],[Labels]])))), 1, 0)</f>
        <v>0</v>
      </c>
    </row>
    <row r="245" spans="1:16" x14ac:dyDescent="0.25">
      <c r="A245" t="s">
        <v>2751</v>
      </c>
      <c r="B245" t="s">
        <v>2715</v>
      </c>
      <c r="C245" t="s">
        <v>2713</v>
      </c>
      <c r="H24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45" s="49">
        <f ca="1">IFERROR(WEEKNUM(CRC_War_Room_SIMs[[#This Row],[Ops Date]]), "N/A")</f>
        <v>31</v>
      </c>
      <c r="J24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4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4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45" s="50">
        <f>IF(AND(CRC_War_Room_SIMs[[#This Row],[CI]] = 0, CRC_War_Room_SIMs[[#This Row],[Miss]] = 1), 1, 0)</f>
        <v>0</v>
      </c>
      <c r="N24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45" s="49">
        <f>IF(AND(CRC_War_Room_SIMs[[#This Row],[Excluded]] = 0, OR(CRC_War_Room_SIMs[[#This Row],[False Resolution Miss]] &lt;&gt; "", ISNUMBER(SEARCH("False Resolution", CRC_War_Room_SIMs[[#This Row],[Labels]])))), 1, 0)</f>
        <v>0</v>
      </c>
      <c r="P245" s="50">
        <f>IF(AND(CRC_War_Room_SIMs[[#This Row],[Excluded]] = 0, OR(CRC_War_Room_SIMs[[#This Row],[SLA Miss]] &lt;&gt; "", ISNUMBER(SEARCH("SLA", CRC_War_Room_SIMs[[#This Row],[Labels]])))), 1, 0)</f>
        <v>0</v>
      </c>
    </row>
    <row r="246" spans="1:16" x14ac:dyDescent="0.25">
      <c r="A246" t="s">
        <v>2752</v>
      </c>
      <c r="B246" t="s">
        <v>2717</v>
      </c>
      <c r="C246" t="s">
        <v>2713</v>
      </c>
      <c r="H24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46" s="49">
        <f ca="1">IFERROR(WEEKNUM(CRC_War_Room_SIMs[[#This Row],[Ops Date]]), "N/A")</f>
        <v>31</v>
      </c>
      <c r="J24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4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4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46" s="50">
        <f>IF(AND(CRC_War_Room_SIMs[[#This Row],[CI]] = 0, CRC_War_Room_SIMs[[#This Row],[Miss]] = 1), 1, 0)</f>
        <v>0</v>
      </c>
      <c r="N24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46" s="49">
        <f>IF(AND(CRC_War_Room_SIMs[[#This Row],[Excluded]] = 0, OR(CRC_War_Room_SIMs[[#This Row],[False Resolution Miss]] &lt;&gt; "", ISNUMBER(SEARCH("False Resolution", CRC_War_Room_SIMs[[#This Row],[Labels]])))), 1, 0)</f>
        <v>0</v>
      </c>
      <c r="P246" s="50">
        <f>IF(AND(CRC_War_Room_SIMs[[#This Row],[Excluded]] = 0, OR(CRC_War_Room_SIMs[[#This Row],[SLA Miss]] &lt;&gt; "", ISNUMBER(SEARCH("SLA", CRC_War_Room_SIMs[[#This Row],[Labels]])))), 1, 0)</f>
        <v>0</v>
      </c>
    </row>
    <row r="247" spans="1:16" x14ac:dyDescent="0.25">
      <c r="A247" t="s">
        <v>2753</v>
      </c>
      <c r="B247" t="s">
        <v>2715</v>
      </c>
      <c r="C247" t="s">
        <v>2713</v>
      </c>
      <c r="H24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47" s="49">
        <f ca="1">IFERROR(WEEKNUM(CRC_War_Room_SIMs[[#This Row],[Ops Date]]), "N/A")</f>
        <v>31</v>
      </c>
      <c r="J24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4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4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47" s="50">
        <f>IF(AND(CRC_War_Room_SIMs[[#This Row],[CI]] = 0, CRC_War_Room_SIMs[[#This Row],[Miss]] = 1), 1, 0)</f>
        <v>0</v>
      </c>
      <c r="N24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47" s="49">
        <f>IF(AND(CRC_War_Room_SIMs[[#This Row],[Excluded]] = 0, OR(CRC_War_Room_SIMs[[#This Row],[False Resolution Miss]] &lt;&gt; "", ISNUMBER(SEARCH("False Resolution", CRC_War_Room_SIMs[[#This Row],[Labels]])))), 1, 0)</f>
        <v>0</v>
      </c>
      <c r="P247" s="50">
        <f>IF(AND(CRC_War_Room_SIMs[[#This Row],[Excluded]] = 0, OR(CRC_War_Room_SIMs[[#This Row],[SLA Miss]] &lt;&gt; "", ISNUMBER(SEARCH("SLA", CRC_War_Room_SIMs[[#This Row],[Labels]])))), 1, 0)</f>
        <v>0</v>
      </c>
    </row>
    <row r="248" spans="1:16" x14ac:dyDescent="0.25">
      <c r="A248" t="s">
        <v>2754</v>
      </c>
      <c r="B248" t="s">
        <v>2715</v>
      </c>
      <c r="C248" t="s">
        <v>2713</v>
      </c>
      <c r="H24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48" s="49">
        <f ca="1">IFERROR(WEEKNUM(CRC_War_Room_SIMs[[#This Row],[Ops Date]]), "N/A")</f>
        <v>31</v>
      </c>
      <c r="J24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4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4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48" s="50">
        <f>IF(AND(CRC_War_Room_SIMs[[#This Row],[CI]] = 0, CRC_War_Room_SIMs[[#This Row],[Miss]] = 1), 1, 0)</f>
        <v>0</v>
      </c>
      <c r="N24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48" s="49">
        <f>IF(AND(CRC_War_Room_SIMs[[#This Row],[Excluded]] = 0, OR(CRC_War_Room_SIMs[[#This Row],[False Resolution Miss]] &lt;&gt; "", ISNUMBER(SEARCH("False Resolution", CRC_War_Room_SIMs[[#This Row],[Labels]])))), 1, 0)</f>
        <v>0</v>
      </c>
      <c r="P248" s="50">
        <f>IF(AND(CRC_War_Room_SIMs[[#This Row],[Excluded]] = 0, OR(CRC_War_Room_SIMs[[#This Row],[SLA Miss]] &lt;&gt; "", ISNUMBER(SEARCH("SLA", CRC_War_Room_SIMs[[#This Row],[Labels]])))), 1, 0)</f>
        <v>0</v>
      </c>
    </row>
    <row r="249" spans="1:16" x14ac:dyDescent="0.25">
      <c r="A249" t="s">
        <v>2755</v>
      </c>
      <c r="B249" t="s">
        <v>2756</v>
      </c>
      <c r="C249" t="s">
        <v>2713</v>
      </c>
      <c r="H24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49" s="49">
        <f ca="1">IFERROR(WEEKNUM(CRC_War_Room_SIMs[[#This Row],[Ops Date]]), "N/A")</f>
        <v>31</v>
      </c>
      <c r="J24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4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4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49" s="50">
        <f>IF(AND(CRC_War_Room_SIMs[[#This Row],[CI]] = 0, CRC_War_Room_SIMs[[#This Row],[Miss]] = 1), 1, 0)</f>
        <v>0</v>
      </c>
      <c r="N24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49" s="49">
        <f>IF(AND(CRC_War_Room_SIMs[[#This Row],[Excluded]] = 0, OR(CRC_War_Room_SIMs[[#This Row],[False Resolution Miss]] &lt;&gt; "", ISNUMBER(SEARCH("False Resolution", CRC_War_Room_SIMs[[#This Row],[Labels]])))), 1, 0)</f>
        <v>0</v>
      </c>
      <c r="P249" s="50">
        <f>IF(AND(CRC_War_Room_SIMs[[#This Row],[Excluded]] = 0, OR(CRC_War_Room_SIMs[[#This Row],[SLA Miss]] &lt;&gt; "", ISNUMBER(SEARCH("SLA", CRC_War_Room_SIMs[[#This Row],[Labels]])))), 1, 0)</f>
        <v>0</v>
      </c>
    </row>
    <row r="250" spans="1:16" x14ac:dyDescent="0.25">
      <c r="A250" t="s">
        <v>2757</v>
      </c>
      <c r="B250" t="s">
        <v>2715</v>
      </c>
      <c r="C250" t="s">
        <v>2713</v>
      </c>
      <c r="H25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50" s="49">
        <f ca="1">IFERROR(WEEKNUM(CRC_War_Room_SIMs[[#This Row],[Ops Date]]), "N/A")</f>
        <v>31</v>
      </c>
      <c r="J25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5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5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50" s="50">
        <f>IF(AND(CRC_War_Room_SIMs[[#This Row],[CI]] = 0, CRC_War_Room_SIMs[[#This Row],[Miss]] = 1), 1, 0)</f>
        <v>0</v>
      </c>
      <c r="N25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50" s="49">
        <f>IF(AND(CRC_War_Room_SIMs[[#This Row],[Excluded]] = 0, OR(CRC_War_Room_SIMs[[#This Row],[False Resolution Miss]] &lt;&gt; "", ISNUMBER(SEARCH("False Resolution", CRC_War_Room_SIMs[[#This Row],[Labels]])))), 1, 0)</f>
        <v>0</v>
      </c>
      <c r="P250" s="50">
        <f>IF(AND(CRC_War_Room_SIMs[[#This Row],[Excluded]] = 0, OR(CRC_War_Room_SIMs[[#This Row],[SLA Miss]] &lt;&gt; "", ISNUMBER(SEARCH("SLA", CRC_War_Room_SIMs[[#This Row],[Labels]])))), 1, 0)</f>
        <v>0</v>
      </c>
    </row>
    <row r="251" spans="1:16" x14ac:dyDescent="0.25">
      <c r="A251" t="s">
        <v>2758</v>
      </c>
      <c r="B251" t="s">
        <v>2756</v>
      </c>
      <c r="C251" t="s">
        <v>2713</v>
      </c>
      <c r="H25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51" s="49">
        <f ca="1">IFERROR(WEEKNUM(CRC_War_Room_SIMs[[#This Row],[Ops Date]]), "N/A")</f>
        <v>31</v>
      </c>
      <c r="J25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5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5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51" s="50">
        <f>IF(AND(CRC_War_Room_SIMs[[#This Row],[CI]] = 0, CRC_War_Room_SIMs[[#This Row],[Miss]] = 1), 1, 0)</f>
        <v>0</v>
      </c>
      <c r="N25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51" s="49">
        <f>IF(AND(CRC_War_Room_SIMs[[#This Row],[Excluded]] = 0, OR(CRC_War_Room_SIMs[[#This Row],[False Resolution Miss]] &lt;&gt; "", ISNUMBER(SEARCH("False Resolution", CRC_War_Room_SIMs[[#This Row],[Labels]])))), 1, 0)</f>
        <v>0</v>
      </c>
      <c r="P251" s="50">
        <f>IF(AND(CRC_War_Room_SIMs[[#This Row],[Excluded]] = 0, OR(CRC_War_Room_SIMs[[#This Row],[SLA Miss]] &lt;&gt; "", ISNUMBER(SEARCH("SLA", CRC_War_Room_SIMs[[#This Row],[Labels]])))), 1, 0)</f>
        <v>0</v>
      </c>
    </row>
    <row r="252" spans="1:16" x14ac:dyDescent="0.25">
      <c r="A252" t="s">
        <v>2759</v>
      </c>
      <c r="B252" t="s">
        <v>2756</v>
      </c>
      <c r="C252" t="s">
        <v>2713</v>
      </c>
      <c r="H25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52" s="49">
        <f ca="1">IFERROR(WEEKNUM(CRC_War_Room_SIMs[[#This Row],[Ops Date]]), "N/A")</f>
        <v>31</v>
      </c>
      <c r="J25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5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5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52" s="50">
        <f>IF(AND(CRC_War_Room_SIMs[[#This Row],[CI]] = 0, CRC_War_Room_SIMs[[#This Row],[Miss]] = 1), 1, 0)</f>
        <v>0</v>
      </c>
      <c r="N25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52" s="49">
        <f>IF(AND(CRC_War_Room_SIMs[[#This Row],[Excluded]] = 0, OR(CRC_War_Room_SIMs[[#This Row],[False Resolution Miss]] &lt;&gt; "", ISNUMBER(SEARCH("False Resolution", CRC_War_Room_SIMs[[#This Row],[Labels]])))), 1, 0)</f>
        <v>0</v>
      </c>
      <c r="P252" s="50">
        <f>IF(AND(CRC_War_Room_SIMs[[#This Row],[Excluded]] = 0, OR(CRC_War_Room_SIMs[[#This Row],[SLA Miss]] &lt;&gt; "", ISNUMBER(SEARCH("SLA", CRC_War_Room_SIMs[[#This Row],[Labels]])))), 1, 0)</f>
        <v>0</v>
      </c>
    </row>
    <row r="253" spans="1:16" x14ac:dyDescent="0.25">
      <c r="A253" t="s">
        <v>2760</v>
      </c>
      <c r="B253" t="s">
        <v>2756</v>
      </c>
      <c r="C253" t="s">
        <v>2713</v>
      </c>
      <c r="H25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53" s="49">
        <f ca="1">IFERROR(WEEKNUM(CRC_War_Room_SIMs[[#This Row],[Ops Date]]), "N/A")</f>
        <v>31</v>
      </c>
      <c r="J25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5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5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53" s="50">
        <f>IF(AND(CRC_War_Room_SIMs[[#This Row],[CI]] = 0, CRC_War_Room_SIMs[[#This Row],[Miss]] = 1), 1, 0)</f>
        <v>0</v>
      </c>
      <c r="N25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53" s="49">
        <f>IF(AND(CRC_War_Room_SIMs[[#This Row],[Excluded]] = 0, OR(CRC_War_Room_SIMs[[#This Row],[False Resolution Miss]] &lt;&gt; "", ISNUMBER(SEARCH("False Resolution", CRC_War_Room_SIMs[[#This Row],[Labels]])))), 1, 0)</f>
        <v>0</v>
      </c>
      <c r="P253" s="50">
        <f>IF(AND(CRC_War_Room_SIMs[[#This Row],[Excluded]] = 0, OR(CRC_War_Room_SIMs[[#This Row],[SLA Miss]] &lt;&gt; "", ISNUMBER(SEARCH("SLA", CRC_War_Room_SIMs[[#This Row],[Labels]])))), 1, 0)</f>
        <v>0</v>
      </c>
    </row>
    <row r="254" spans="1:16" x14ac:dyDescent="0.25">
      <c r="A254" t="s">
        <v>2761</v>
      </c>
      <c r="B254" t="s">
        <v>2756</v>
      </c>
      <c r="C254" t="s">
        <v>2713</v>
      </c>
      <c r="H25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54" s="49">
        <f ca="1">IFERROR(WEEKNUM(CRC_War_Room_SIMs[[#This Row],[Ops Date]]), "N/A")</f>
        <v>31</v>
      </c>
      <c r="J25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5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5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54" s="50">
        <f>IF(AND(CRC_War_Room_SIMs[[#This Row],[CI]] = 0, CRC_War_Room_SIMs[[#This Row],[Miss]] = 1), 1, 0)</f>
        <v>0</v>
      </c>
      <c r="N25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54" s="49">
        <f>IF(AND(CRC_War_Room_SIMs[[#This Row],[Excluded]] = 0, OR(CRC_War_Room_SIMs[[#This Row],[False Resolution Miss]] &lt;&gt; "", ISNUMBER(SEARCH("False Resolution", CRC_War_Room_SIMs[[#This Row],[Labels]])))), 1, 0)</f>
        <v>0</v>
      </c>
      <c r="P254" s="50">
        <f>IF(AND(CRC_War_Room_SIMs[[#This Row],[Excluded]] = 0, OR(CRC_War_Room_SIMs[[#This Row],[SLA Miss]] &lt;&gt; "", ISNUMBER(SEARCH("SLA", CRC_War_Room_SIMs[[#This Row],[Labels]])))), 1, 0)</f>
        <v>0</v>
      </c>
    </row>
    <row r="255" spans="1:16" x14ac:dyDescent="0.25">
      <c r="A255" t="s">
        <v>2762</v>
      </c>
      <c r="B255" t="s">
        <v>2756</v>
      </c>
      <c r="C255" t="s">
        <v>2713</v>
      </c>
      <c r="H25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55" s="49">
        <f ca="1">IFERROR(WEEKNUM(CRC_War_Room_SIMs[[#This Row],[Ops Date]]), "N/A")</f>
        <v>31</v>
      </c>
      <c r="J25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5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5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55" s="50">
        <f>IF(AND(CRC_War_Room_SIMs[[#This Row],[CI]] = 0, CRC_War_Room_SIMs[[#This Row],[Miss]] = 1), 1, 0)</f>
        <v>0</v>
      </c>
      <c r="N25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55" s="49">
        <f>IF(AND(CRC_War_Room_SIMs[[#This Row],[Excluded]] = 0, OR(CRC_War_Room_SIMs[[#This Row],[False Resolution Miss]] &lt;&gt; "", ISNUMBER(SEARCH("False Resolution", CRC_War_Room_SIMs[[#This Row],[Labels]])))), 1, 0)</f>
        <v>0</v>
      </c>
      <c r="P255" s="50">
        <f>IF(AND(CRC_War_Room_SIMs[[#This Row],[Excluded]] = 0, OR(CRC_War_Room_SIMs[[#This Row],[SLA Miss]] &lt;&gt; "", ISNUMBER(SEARCH("SLA", CRC_War_Room_SIMs[[#This Row],[Labels]])))), 1, 0)</f>
        <v>0</v>
      </c>
    </row>
    <row r="256" spans="1:16" x14ac:dyDescent="0.25">
      <c r="A256" t="s">
        <v>2763</v>
      </c>
      <c r="B256" t="s">
        <v>2756</v>
      </c>
      <c r="C256" t="s">
        <v>2713</v>
      </c>
      <c r="H25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56" s="49">
        <f ca="1">IFERROR(WEEKNUM(CRC_War_Room_SIMs[[#This Row],[Ops Date]]), "N/A")</f>
        <v>31</v>
      </c>
      <c r="J25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5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5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56" s="50">
        <f>IF(AND(CRC_War_Room_SIMs[[#This Row],[CI]] = 0, CRC_War_Room_SIMs[[#This Row],[Miss]] = 1), 1, 0)</f>
        <v>0</v>
      </c>
      <c r="N25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56" s="49">
        <f>IF(AND(CRC_War_Room_SIMs[[#This Row],[Excluded]] = 0, OR(CRC_War_Room_SIMs[[#This Row],[False Resolution Miss]] &lt;&gt; "", ISNUMBER(SEARCH("False Resolution", CRC_War_Room_SIMs[[#This Row],[Labels]])))), 1, 0)</f>
        <v>0</v>
      </c>
      <c r="P256" s="50">
        <f>IF(AND(CRC_War_Room_SIMs[[#This Row],[Excluded]] = 0, OR(CRC_War_Room_SIMs[[#This Row],[SLA Miss]] &lt;&gt; "", ISNUMBER(SEARCH("SLA", CRC_War_Room_SIMs[[#This Row],[Labels]])))), 1, 0)</f>
        <v>0</v>
      </c>
    </row>
    <row r="257" spans="1:16" x14ac:dyDescent="0.25">
      <c r="A257" t="s">
        <v>2764</v>
      </c>
      <c r="B257" t="s">
        <v>2756</v>
      </c>
      <c r="C257" t="s">
        <v>2713</v>
      </c>
      <c r="H25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57" s="49">
        <f ca="1">IFERROR(WEEKNUM(CRC_War_Room_SIMs[[#This Row],[Ops Date]]), "N/A")</f>
        <v>31</v>
      </c>
      <c r="J25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5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5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57" s="50">
        <f>IF(AND(CRC_War_Room_SIMs[[#This Row],[CI]] = 0, CRC_War_Room_SIMs[[#This Row],[Miss]] = 1), 1, 0)</f>
        <v>0</v>
      </c>
      <c r="N25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57" s="49">
        <f>IF(AND(CRC_War_Room_SIMs[[#This Row],[Excluded]] = 0, OR(CRC_War_Room_SIMs[[#This Row],[False Resolution Miss]] &lt;&gt; "", ISNUMBER(SEARCH("False Resolution", CRC_War_Room_SIMs[[#This Row],[Labels]])))), 1, 0)</f>
        <v>0</v>
      </c>
      <c r="P257" s="50">
        <f>IF(AND(CRC_War_Room_SIMs[[#This Row],[Excluded]] = 0, OR(CRC_War_Room_SIMs[[#This Row],[SLA Miss]] &lt;&gt; "", ISNUMBER(SEARCH("SLA", CRC_War_Room_SIMs[[#This Row],[Labels]])))), 1, 0)</f>
        <v>0</v>
      </c>
    </row>
    <row r="258" spans="1:16" x14ac:dyDescent="0.25">
      <c r="A258" t="s">
        <v>2765</v>
      </c>
      <c r="B258" t="s">
        <v>2766</v>
      </c>
      <c r="C258" t="s">
        <v>2713</v>
      </c>
      <c r="H25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58" s="49">
        <f ca="1">IFERROR(WEEKNUM(CRC_War_Room_SIMs[[#This Row],[Ops Date]]), "N/A")</f>
        <v>31</v>
      </c>
      <c r="J25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5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5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58" s="50">
        <f>IF(AND(CRC_War_Room_SIMs[[#This Row],[CI]] = 0, CRC_War_Room_SIMs[[#This Row],[Miss]] = 1), 1, 0)</f>
        <v>0</v>
      </c>
      <c r="N25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58" s="49">
        <f>IF(AND(CRC_War_Room_SIMs[[#This Row],[Excluded]] = 0, OR(CRC_War_Room_SIMs[[#This Row],[False Resolution Miss]] &lt;&gt; "", ISNUMBER(SEARCH("False Resolution", CRC_War_Room_SIMs[[#This Row],[Labels]])))), 1, 0)</f>
        <v>0</v>
      </c>
      <c r="P258" s="50">
        <f>IF(AND(CRC_War_Room_SIMs[[#This Row],[Excluded]] = 0, OR(CRC_War_Room_SIMs[[#This Row],[SLA Miss]] &lt;&gt; "", ISNUMBER(SEARCH("SLA", CRC_War_Room_SIMs[[#This Row],[Labels]])))), 1, 0)</f>
        <v>0</v>
      </c>
    </row>
    <row r="259" spans="1:16" x14ac:dyDescent="0.25">
      <c r="A259" t="s">
        <v>2767</v>
      </c>
      <c r="B259" t="s">
        <v>2766</v>
      </c>
      <c r="C259" t="s">
        <v>2713</v>
      </c>
      <c r="H25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59" s="49">
        <f ca="1">IFERROR(WEEKNUM(CRC_War_Room_SIMs[[#This Row],[Ops Date]]), "N/A")</f>
        <v>31</v>
      </c>
      <c r="J25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5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5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59" s="50">
        <f>IF(AND(CRC_War_Room_SIMs[[#This Row],[CI]] = 0, CRC_War_Room_SIMs[[#This Row],[Miss]] = 1), 1, 0)</f>
        <v>0</v>
      </c>
      <c r="N25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59" s="49">
        <f>IF(AND(CRC_War_Room_SIMs[[#This Row],[Excluded]] = 0, OR(CRC_War_Room_SIMs[[#This Row],[False Resolution Miss]] &lt;&gt; "", ISNUMBER(SEARCH("False Resolution", CRC_War_Room_SIMs[[#This Row],[Labels]])))), 1, 0)</f>
        <v>0</v>
      </c>
      <c r="P259" s="50">
        <f>IF(AND(CRC_War_Room_SIMs[[#This Row],[Excluded]] = 0, OR(CRC_War_Room_SIMs[[#This Row],[SLA Miss]] &lt;&gt; "", ISNUMBER(SEARCH("SLA", CRC_War_Room_SIMs[[#This Row],[Labels]])))), 1, 0)</f>
        <v>0</v>
      </c>
    </row>
    <row r="260" spans="1:16" x14ac:dyDescent="0.25">
      <c r="A260" t="s">
        <v>2768</v>
      </c>
      <c r="B260" t="s">
        <v>2766</v>
      </c>
      <c r="C260" t="s">
        <v>2713</v>
      </c>
      <c r="H26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60" s="49">
        <f ca="1">IFERROR(WEEKNUM(CRC_War_Room_SIMs[[#This Row],[Ops Date]]), "N/A")</f>
        <v>31</v>
      </c>
      <c r="J26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6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6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60" s="50">
        <f>IF(AND(CRC_War_Room_SIMs[[#This Row],[CI]] = 0, CRC_War_Room_SIMs[[#This Row],[Miss]] = 1), 1, 0)</f>
        <v>0</v>
      </c>
      <c r="N26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60" s="49">
        <f>IF(AND(CRC_War_Room_SIMs[[#This Row],[Excluded]] = 0, OR(CRC_War_Room_SIMs[[#This Row],[False Resolution Miss]] &lt;&gt; "", ISNUMBER(SEARCH("False Resolution", CRC_War_Room_SIMs[[#This Row],[Labels]])))), 1, 0)</f>
        <v>0</v>
      </c>
      <c r="P260" s="50">
        <f>IF(AND(CRC_War_Room_SIMs[[#This Row],[Excluded]] = 0, OR(CRC_War_Room_SIMs[[#This Row],[SLA Miss]] &lt;&gt; "", ISNUMBER(SEARCH("SLA", CRC_War_Room_SIMs[[#This Row],[Labels]])))), 1, 0)</f>
        <v>0</v>
      </c>
    </row>
    <row r="261" spans="1:16" x14ac:dyDescent="0.25">
      <c r="A261" t="s">
        <v>2769</v>
      </c>
      <c r="B261" t="s">
        <v>2766</v>
      </c>
      <c r="C261" t="s">
        <v>2713</v>
      </c>
      <c r="H26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61" s="49">
        <f ca="1">IFERROR(WEEKNUM(CRC_War_Room_SIMs[[#This Row],[Ops Date]]), "N/A")</f>
        <v>31</v>
      </c>
      <c r="J26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6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6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61" s="50">
        <f>IF(AND(CRC_War_Room_SIMs[[#This Row],[CI]] = 0, CRC_War_Room_SIMs[[#This Row],[Miss]] = 1), 1, 0)</f>
        <v>0</v>
      </c>
      <c r="N26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61" s="49">
        <f>IF(AND(CRC_War_Room_SIMs[[#This Row],[Excluded]] = 0, OR(CRC_War_Room_SIMs[[#This Row],[False Resolution Miss]] &lt;&gt; "", ISNUMBER(SEARCH("False Resolution", CRC_War_Room_SIMs[[#This Row],[Labels]])))), 1, 0)</f>
        <v>0</v>
      </c>
      <c r="P261" s="50">
        <f>IF(AND(CRC_War_Room_SIMs[[#This Row],[Excluded]] = 0, OR(CRC_War_Room_SIMs[[#This Row],[SLA Miss]] &lt;&gt; "", ISNUMBER(SEARCH("SLA", CRC_War_Room_SIMs[[#This Row],[Labels]])))), 1, 0)</f>
        <v>0</v>
      </c>
    </row>
    <row r="262" spans="1:16" x14ac:dyDescent="0.25">
      <c r="A262" t="s">
        <v>2770</v>
      </c>
      <c r="B262" t="s">
        <v>2766</v>
      </c>
      <c r="C262" t="s">
        <v>2713</v>
      </c>
      <c r="H26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62" s="49">
        <f ca="1">IFERROR(WEEKNUM(CRC_War_Room_SIMs[[#This Row],[Ops Date]]), "N/A")</f>
        <v>31</v>
      </c>
      <c r="J26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6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6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62" s="50">
        <f>IF(AND(CRC_War_Room_SIMs[[#This Row],[CI]] = 0, CRC_War_Room_SIMs[[#This Row],[Miss]] = 1), 1, 0)</f>
        <v>0</v>
      </c>
      <c r="N26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62" s="49">
        <f>IF(AND(CRC_War_Room_SIMs[[#This Row],[Excluded]] = 0, OR(CRC_War_Room_SIMs[[#This Row],[False Resolution Miss]] &lt;&gt; "", ISNUMBER(SEARCH("False Resolution", CRC_War_Room_SIMs[[#This Row],[Labels]])))), 1, 0)</f>
        <v>0</v>
      </c>
      <c r="P262" s="50">
        <f>IF(AND(CRC_War_Room_SIMs[[#This Row],[Excluded]] = 0, OR(CRC_War_Room_SIMs[[#This Row],[SLA Miss]] &lt;&gt; "", ISNUMBER(SEARCH("SLA", CRC_War_Room_SIMs[[#This Row],[Labels]])))), 1, 0)</f>
        <v>0</v>
      </c>
    </row>
    <row r="263" spans="1:16" x14ac:dyDescent="0.25">
      <c r="A263" t="s">
        <v>2771</v>
      </c>
      <c r="B263" t="s">
        <v>2766</v>
      </c>
      <c r="C263" t="s">
        <v>2713</v>
      </c>
      <c r="H26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45501</v>
      </c>
      <c r="I263" s="49">
        <f ca="1">IFERROR(WEEKNUM(CRC_War_Room_SIMs[[#This Row],[Ops Date]]), "N/A")</f>
        <v>31</v>
      </c>
      <c r="J26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6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6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63" s="50">
        <f>IF(AND(CRC_War_Room_SIMs[[#This Row],[CI]] = 0, CRC_War_Room_SIMs[[#This Row],[Miss]] = 1), 1, 0)</f>
        <v>0</v>
      </c>
      <c r="N26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63" s="49">
        <f>IF(AND(CRC_War_Room_SIMs[[#This Row],[Excluded]] = 0, OR(CRC_War_Room_SIMs[[#This Row],[False Resolution Miss]] &lt;&gt; "", ISNUMBER(SEARCH("False Resolution", CRC_War_Room_SIMs[[#This Row],[Labels]])))), 1, 0)</f>
        <v>0</v>
      </c>
      <c r="P263" s="50">
        <f>IF(AND(CRC_War_Room_SIMs[[#This Row],[Excluded]] = 0, OR(CRC_War_Room_SIMs[[#This Row],[SLA Miss]] &lt;&gt; "", ISNUMBER(SEARCH("SLA", CRC_War_Room_SIMs[[#This Row],[Labels]])))), 1, 0)</f>
        <v>0</v>
      </c>
    </row>
    <row r="264" spans="1:16" x14ac:dyDescent="0.25">
      <c r="A264" t="s">
        <v>2772</v>
      </c>
      <c r="B264" t="s">
        <v>2773</v>
      </c>
      <c r="C264" t="s">
        <v>2774</v>
      </c>
      <c r="H26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264" s="49">
        <f ca="1">IFERROR(WEEKNUM(CRC_War_Room_SIMs[[#This Row],[Ops Date]]), "N/A")</f>
        <v>30</v>
      </c>
      <c r="J26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6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26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264" s="50">
        <f>IF(AND(CRC_War_Room_SIMs[[#This Row],[CI]] = 0, CRC_War_Room_SIMs[[#This Row],[Miss]] = 1), 1, 0)</f>
        <v>0</v>
      </c>
      <c r="N26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64" s="49">
        <f>IF(AND(CRC_War_Room_SIMs[[#This Row],[Excluded]] = 0, OR(CRC_War_Room_SIMs[[#This Row],[False Resolution Miss]] &lt;&gt; "", ISNUMBER(SEARCH("False Resolution", CRC_War_Room_SIMs[[#This Row],[Labels]])))), 1, 0)</f>
        <v>0</v>
      </c>
      <c r="P264" s="50">
        <f>IF(AND(CRC_War_Room_SIMs[[#This Row],[Excluded]] = 0, OR(CRC_War_Room_SIMs[[#This Row],[SLA Miss]] &lt;&gt; "", ISNUMBER(SEARCH("SLA", CRC_War_Room_SIMs[[#This Row],[Labels]])))), 1, 0)</f>
        <v>0</v>
      </c>
    </row>
    <row r="265" spans="1:16" x14ac:dyDescent="0.25">
      <c r="A265" t="s">
        <v>2775</v>
      </c>
      <c r="B265" t="s">
        <v>2776</v>
      </c>
      <c r="C265" t="s">
        <v>2774</v>
      </c>
      <c r="H26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265" s="49">
        <f ca="1">IFERROR(WEEKNUM(CRC_War_Room_SIMs[[#This Row],[Ops Date]]), "N/A")</f>
        <v>30</v>
      </c>
      <c r="J26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6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26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265" s="50">
        <f>IF(AND(CRC_War_Room_SIMs[[#This Row],[CI]] = 0, CRC_War_Room_SIMs[[#This Row],[Miss]] = 1), 1, 0)</f>
        <v>0</v>
      </c>
      <c r="N26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65" s="49">
        <f>IF(AND(CRC_War_Room_SIMs[[#This Row],[Excluded]] = 0, OR(CRC_War_Room_SIMs[[#This Row],[False Resolution Miss]] &lt;&gt; "", ISNUMBER(SEARCH("False Resolution", CRC_War_Room_SIMs[[#This Row],[Labels]])))), 1, 0)</f>
        <v>0</v>
      </c>
      <c r="P265" s="50">
        <f>IF(AND(CRC_War_Room_SIMs[[#This Row],[Excluded]] = 0, OR(CRC_War_Room_SIMs[[#This Row],[SLA Miss]] &lt;&gt; "", ISNUMBER(SEARCH("SLA", CRC_War_Room_SIMs[[#This Row],[Labels]])))), 1, 0)</f>
        <v>0</v>
      </c>
    </row>
    <row r="266" spans="1:16" x14ac:dyDescent="0.25">
      <c r="A266" t="s">
        <v>2777</v>
      </c>
      <c r="B266" t="s">
        <v>2776</v>
      </c>
      <c r="C266" t="s">
        <v>2774</v>
      </c>
      <c r="H26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266" s="49">
        <f ca="1">IFERROR(WEEKNUM(CRC_War_Room_SIMs[[#This Row],[Ops Date]]), "N/A")</f>
        <v>30</v>
      </c>
      <c r="J26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6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26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266" s="50">
        <f>IF(AND(CRC_War_Room_SIMs[[#This Row],[CI]] = 0, CRC_War_Room_SIMs[[#This Row],[Miss]] = 1), 1, 0)</f>
        <v>0</v>
      </c>
      <c r="N26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66" s="49">
        <f>IF(AND(CRC_War_Room_SIMs[[#This Row],[Excluded]] = 0, OR(CRC_War_Room_SIMs[[#This Row],[False Resolution Miss]] &lt;&gt; "", ISNUMBER(SEARCH("False Resolution", CRC_War_Room_SIMs[[#This Row],[Labels]])))), 1, 0)</f>
        <v>0</v>
      </c>
      <c r="P266" s="50">
        <f>IF(AND(CRC_War_Room_SIMs[[#This Row],[Excluded]] = 0, OR(CRC_War_Room_SIMs[[#This Row],[SLA Miss]] &lt;&gt; "", ISNUMBER(SEARCH("SLA", CRC_War_Room_SIMs[[#This Row],[Labels]])))), 1, 0)</f>
        <v>0</v>
      </c>
    </row>
    <row r="267" spans="1:16" x14ac:dyDescent="0.25">
      <c r="A267" t="s">
        <v>2778</v>
      </c>
      <c r="B267" t="s">
        <v>2779</v>
      </c>
      <c r="C267" t="s">
        <v>2780</v>
      </c>
      <c r="E267" t="s">
        <v>2473</v>
      </c>
      <c r="H26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267" s="49">
        <f ca="1">IFERROR(WEEKNUM(CRC_War_Room_SIMs[[#This Row],[Ops Date]]), "N/A")</f>
        <v>30</v>
      </c>
      <c r="J26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6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26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267" s="50">
        <f>IF(AND(CRC_War_Room_SIMs[[#This Row],[CI]] = 0, CRC_War_Room_SIMs[[#This Row],[Miss]] = 1), 1, 0)</f>
        <v>0</v>
      </c>
      <c r="N267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267" s="49">
        <f>IF(AND(CRC_War_Room_SIMs[[#This Row],[Excluded]] = 0, OR(CRC_War_Room_SIMs[[#This Row],[False Resolution Miss]] &lt;&gt; "", ISNUMBER(SEARCH("False Resolution", CRC_War_Room_SIMs[[#This Row],[Labels]])))), 1, 0)</f>
        <v>0</v>
      </c>
      <c r="P267" s="50">
        <f>IF(AND(CRC_War_Room_SIMs[[#This Row],[Excluded]] = 0, OR(CRC_War_Room_SIMs[[#This Row],[SLA Miss]] &lt;&gt; "", ISNUMBER(SEARCH("SLA", CRC_War_Room_SIMs[[#This Row],[Labels]])))), 1, 0)</f>
        <v>0</v>
      </c>
    </row>
    <row r="268" spans="1:16" x14ac:dyDescent="0.25">
      <c r="A268" t="s">
        <v>2781</v>
      </c>
      <c r="B268" t="s">
        <v>2782</v>
      </c>
      <c r="C268" t="s">
        <v>2783</v>
      </c>
      <c r="D268" t="s">
        <v>1453</v>
      </c>
      <c r="E268" t="s">
        <v>2784</v>
      </c>
      <c r="H26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68" s="49">
        <f ca="1">IFERROR(WEEKNUM(CRC_War_Room_SIMs[[#This Row],[Ops Date]]), "N/A")</f>
        <v>30</v>
      </c>
      <c r="J268" s="49">
        <f>IF(OR(ISNUMBER(SEARCH("Excluded", CRC_War_Room_SIMs[[#This Row],[Labels]])), ISNUMBER(SEARCH("Quality", CRC_War_Room_SIMs[[#This Row],[Data Status]])), ISNUMBER(SEARCH("Exception", CRC_War_Room_SIMs[[#This Row],[Data Status]]))), 1, 0)</f>
        <v>1</v>
      </c>
      <c r="K26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6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68" s="50">
        <f>IF(AND(CRC_War_Room_SIMs[[#This Row],[CI]] = 0, CRC_War_Room_SIMs[[#This Row],[Miss]] = 1), 1, 0)</f>
        <v>0</v>
      </c>
      <c r="N26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68" s="49">
        <f>IF(AND(CRC_War_Room_SIMs[[#This Row],[Excluded]] = 0, OR(CRC_War_Room_SIMs[[#This Row],[False Resolution Miss]] &lt;&gt; "", ISNUMBER(SEARCH("False Resolution", CRC_War_Room_SIMs[[#This Row],[Labels]])))), 1, 0)</f>
        <v>0</v>
      </c>
      <c r="P268" s="50">
        <f>IF(AND(CRC_War_Room_SIMs[[#This Row],[Excluded]] = 0, OR(CRC_War_Room_SIMs[[#This Row],[SLA Miss]] &lt;&gt; "", ISNUMBER(SEARCH("SLA", CRC_War_Room_SIMs[[#This Row],[Labels]])))), 1, 0)</f>
        <v>0</v>
      </c>
    </row>
    <row r="269" spans="1:16" x14ac:dyDescent="0.25">
      <c r="A269" t="s">
        <v>2785</v>
      </c>
      <c r="B269" t="s">
        <v>2786</v>
      </c>
      <c r="C269" t="s">
        <v>2787</v>
      </c>
      <c r="E269" t="s">
        <v>2490</v>
      </c>
      <c r="H26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69" s="49">
        <f ca="1">IFERROR(WEEKNUM(CRC_War_Room_SIMs[[#This Row],[Ops Date]]), "N/A")</f>
        <v>30</v>
      </c>
      <c r="J26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6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26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269" s="50">
        <f>IF(AND(CRC_War_Room_SIMs[[#This Row],[CI]] = 0, CRC_War_Room_SIMs[[#This Row],[Miss]] = 1), 1, 0)</f>
        <v>0</v>
      </c>
      <c r="N269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269" s="49">
        <f>IF(AND(CRC_War_Room_SIMs[[#This Row],[Excluded]] = 0, OR(CRC_War_Room_SIMs[[#This Row],[False Resolution Miss]] &lt;&gt; "", ISNUMBER(SEARCH("False Resolution", CRC_War_Room_SIMs[[#This Row],[Labels]])))), 1, 0)</f>
        <v>0</v>
      </c>
      <c r="P269" s="50">
        <f>IF(AND(CRC_War_Room_SIMs[[#This Row],[Excluded]] = 0, OR(CRC_War_Room_SIMs[[#This Row],[SLA Miss]] &lt;&gt; "", ISNUMBER(SEARCH("SLA", CRC_War_Room_SIMs[[#This Row],[Labels]])))), 1, 0)</f>
        <v>0</v>
      </c>
    </row>
    <row r="270" spans="1:16" x14ac:dyDescent="0.25">
      <c r="A270" t="s">
        <v>2788</v>
      </c>
      <c r="B270" t="s">
        <v>2789</v>
      </c>
      <c r="C270" t="s">
        <v>2790</v>
      </c>
      <c r="E270" t="s">
        <v>2490</v>
      </c>
      <c r="H27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270" s="49">
        <f ca="1">IFERROR(WEEKNUM(CRC_War_Room_SIMs[[#This Row],[Ops Date]]), "N/A")</f>
        <v>30</v>
      </c>
      <c r="J27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7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27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270" s="50">
        <f>IF(AND(CRC_War_Room_SIMs[[#This Row],[CI]] = 0, CRC_War_Room_SIMs[[#This Row],[Miss]] = 1), 1, 0)</f>
        <v>0</v>
      </c>
      <c r="N270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270" s="49">
        <f>IF(AND(CRC_War_Room_SIMs[[#This Row],[Excluded]] = 0, OR(CRC_War_Room_SIMs[[#This Row],[False Resolution Miss]] &lt;&gt; "", ISNUMBER(SEARCH("False Resolution", CRC_War_Room_SIMs[[#This Row],[Labels]])))), 1, 0)</f>
        <v>0</v>
      </c>
      <c r="P270" s="50">
        <f>IF(AND(CRC_War_Room_SIMs[[#This Row],[Excluded]] = 0, OR(CRC_War_Room_SIMs[[#This Row],[SLA Miss]] &lt;&gt; "", ISNUMBER(SEARCH("SLA", CRC_War_Room_SIMs[[#This Row],[Labels]])))), 1, 0)</f>
        <v>0</v>
      </c>
    </row>
    <row r="271" spans="1:16" x14ac:dyDescent="0.25">
      <c r="A271" t="s">
        <v>2791</v>
      </c>
      <c r="B271" t="s">
        <v>2782</v>
      </c>
      <c r="C271" t="s">
        <v>2792</v>
      </c>
      <c r="H27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71" s="49">
        <f ca="1">IFERROR(WEEKNUM(CRC_War_Room_SIMs[[#This Row],[Ops Date]]), "N/A")</f>
        <v>30</v>
      </c>
      <c r="J27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7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7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71" s="50">
        <f>IF(AND(CRC_War_Room_SIMs[[#This Row],[CI]] = 0, CRC_War_Room_SIMs[[#This Row],[Miss]] = 1), 1, 0)</f>
        <v>0</v>
      </c>
      <c r="N27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71" s="49">
        <f>IF(AND(CRC_War_Room_SIMs[[#This Row],[Excluded]] = 0, OR(CRC_War_Room_SIMs[[#This Row],[False Resolution Miss]] &lt;&gt; "", ISNUMBER(SEARCH("False Resolution", CRC_War_Room_SIMs[[#This Row],[Labels]])))), 1, 0)</f>
        <v>0</v>
      </c>
      <c r="P271" s="50">
        <f>IF(AND(CRC_War_Room_SIMs[[#This Row],[Excluded]] = 0, OR(CRC_War_Room_SIMs[[#This Row],[SLA Miss]] &lt;&gt; "", ISNUMBER(SEARCH("SLA", CRC_War_Room_SIMs[[#This Row],[Labels]])))), 1, 0)</f>
        <v>0</v>
      </c>
    </row>
    <row r="272" spans="1:16" x14ac:dyDescent="0.25">
      <c r="A272" t="s">
        <v>2793</v>
      </c>
      <c r="B272" t="s">
        <v>2794</v>
      </c>
      <c r="C272" t="s">
        <v>2792</v>
      </c>
      <c r="H27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72" s="49">
        <f ca="1">IFERROR(WEEKNUM(CRC_War_Room_SIMs[[#This Row],[Ops Date]]), "N/A")</f>
        <v>30</v>
      </c>
      <c r="J27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7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7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72" s="50">
        <f>IF(AND(CRC_War_Room_SIMs[[#This Row],[CI]] = 0, CRC_War_Room_SIMs[[#This Row],[Miss]] = 1), 1, 0)</f>
        <v>0</v>
      </c>
      <c r="N27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72" s="49">
        <f>IF(AND(CRC_War_Room_SIMs[[#This Row],[Excluded]] = 0, OR(CRC_War_Room_SIMs[[#This Row],[False Resolution Miss]] &lt;&gt; "", ISNUMBER(SEARCH("False Resolution", CRC_War_Room_SIMs[[#This Row],[Labels]])))), 1, 0)</f>
        <v>0</v>
      </c>
      <c r="P272" s="50">
        <f>IF(AND(CRC_War_Room_SIMs[[#This Row],[Excluded]] = 0, OR(CRC_War_Room_SIMs[[#This Row],[SLA Miss]] &lt;&gt; "", ISNUMBER(SEARCH("SLA", CRC_War_Room_SIMs[[#This Row],[Labels]])))), 1, 0)</f>
        <v>0</v>
      </c>
    </row>
    <row r="273" spans="1:16" x14ac:dyDescent="0.25">
      <c r="A273" t="s">
        <v>2795</v>
      </c>
      <c r="B273" t="s">
        <v>2796</v>
      </c>
      <c r="C273" t="s">
        <v>2792</v>
      </c>
      <c r="H27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73" s="49">
        <f ca="1">IFERROR(WEEKNUM(CRC_War_Room_SIMs[[#This Row],[Ops Date]]), "N/A")</f>
        <v>30</v>
      </c>
      <c r="J27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7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7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73" s="50">
        <f>IF(AND(CRC_War_Room_SIMs[[#This Row],[CI]] = 0, CRC_War_Room_SIMs[[#This Row],[Miss]] = 1), 1, 0)</f>
        <v>0</v>
      </c>
      <c r="N27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73" s="49">
        <f>IF(AND(CRC_War_Room_SIMs[[#This Row],[Excluded]] = 0, OR(CRC_War_Room_SIMs[[#This Row],[False Resolution Miss]] &lt;&gt; "", ISNUMBER(SEARCH("False Resolution", CRC_War_Room_SIMs[[#This Row],[Labels]])))), 1, 0)</f>
        <v>0</v>
      </c>
      <c r="P273" s="50">
        <f>IF(AND(CRC_War_Room_SIMs[[#This Row],[Excluded]] = 0, OR(CRC_War_Room_SIMs[[#This Row],[SLA Miss]] &lt;&gt; "", ISNUMBER(SEARCH("SLA", CRC_War_Room_SIMs[[#This Row],[Labels]])))), 1, 0)</f>
        <v>0</v>
      </c>
    </row>
    <row r="274" spans="1:16" x14ac:dyDescent="0.25">
      <c r="A274" t="s">
        <v>2797</v>
      </c>
      <c r="B274" t="s">
        <v>2796</v>
      </c>
      <c r="C274" t="s">
        <v>2792</v>
      </c>
      <c r="H27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74" s="49">
        <f ca="1">IFERROR(WEEKNUM(CRC_War_Room_SIMs[[#This Row],[Ops Date]]), "N/A")</f>
        <v>30</v>
      </c>
      <c r="J27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7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7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74" s="50">
        <f>IF(AND(CRC_War_Room_SIMs[[#This Row],[CI]] = 0, CRC_War_Room_SIMs[[#This Row],[Miss]] = 1), 1, 0)</f>
        <v>0</v>
      </c>
      <c r="N27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74" s="49">
        <f>IF(AND(CRC_War_Room_SIMs[[#This Row],[Excluded]] = 0, OR(CRC_War_Room_SIMs[[#This Row],[False Resolution Miss]] &lt;&gt; "", ISNUMBER(SEARCH("False Resolution", CRC_War_Room_SIMs[[#This Row],[Labels]])))), 1, 0)</f>
        <v>0</v>
      </c>
      <c r="P274" s="50">
        <f>IF(AND(CRC_War_Room_SIMs[[#This Row],[Excluded]] = 0, OR(CRC_War_Room_SIMs[[#This Row],[SLA Miss]] &lt;&gt; "", ISNUMBER(SEARCH("SLA", CRC_War_Room_SIMs[[#This Row],[Labels]])))), 1, 0)</f>
        <v>0</v>
      </c>
    </row>
    <row r="275" spans="1:16" x14ac:dyDescent="0.25">
      <c r="A275" t="s">
        <v>2798</v>
      </c>
      <c r="B275" t="s">
        <v>2794</v>
      </c>
      <c r="C275" t="s">
        <v>2792</v>
      </c>
      <c r="H27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75" s="49">
        <f ca="1">IFERROR(WEEKNUM(CRC_War_Room_SIMs[[#This Row],[Ops Date]]), "N/A")</f>
        <v>30</v>
      </c>
      <c r="J27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7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7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75" s="50">
        <f>IF(AND(CRC_War_Room_SIMs[[#This Row],[CI]] = 0, CRC_War_Room_SIMs[[#This Row],[Miss]] = 1), 1, 0)</f>
        <v>0</v>
      </c>
      <c r="N27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75" s="49">
        <f>IF(AND(CRC_War_Room_SIMs[[#This Row],[Excluded]] = 0, OR(CRC_War_Room_SIMs[[#This Row],[False Resolution Miss]] &lt;&gt; "", ISNUMBER(SEARCH("False Resolution", CRC_War_Room_SIMs[[#This Row],[Labels]])))), 1, 0)</f>
        <v>0</v>
      </c>
      <c r="P275" s="50">
        <f>IF(AND(CRC_War_Room_SIMs[[#This Row],[Excluded]] = 0, OR(CRC_War_Room_SIMs[[#This Row],[SLA Miss]] &lt;&gt; "", ISNUMBER(SEARCH("SLA", CRC_War_Room_SIMs[[#This Row],[Labels]])))), 1, 0)</f>
        <v>0</v>
      </c>
    </row>
    <row r="276" spans="1:16" x14ac:dyDescent="0.25">
      <c r="A276" t="s">
        <v>2799</v>
      </c>
      <c r="B276" t="s">
        <v>2796</v>
      </c>
      <c r="C276" t="s">
        <v>2792</v>
      </c>
      <c r="H27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76" s="49">
        <f ca="1">IFERROR(WEEKNUM(CRC_War_Room_SIMs[[#This Row],[Ops Date]]), "N/A")</f>
        <v>30</v>
      </c>
      <c r="J27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7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7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76" s="50">
        <f>IF(AND(CRC_War_Room_SIMs[[#This Row],[CI]] = 0, CRC_War_Room_SIMs[[#This Row],[Miss]] = 1), 1, 0)</f>
        <v>0</v>
      </c>
      <c r="N27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76" s="49">
        <f>IF(AND(CRC_War_Room_SIMs[[#This Row],[Excluded]] = 0, OR(CRC_War_Room_SIMs[[#This Row],[False Resolution Miss]] &lt;&gt; "", ISNUMBER(SEARCH("False Resolution", CRC_War_Room_SIMs[[#This Row],[Labels]])))), 1, 0)</f>
        <v>0</v>
      </c>
      <c r="P276" s="50">
        <f>IF(AND(CRC_War_Room_SIMs[[#This Row],[Excluded]] = 0, OR(CRC_War_Room_SIMs[[#This Row],[SLA Miss]] &lt;&gt; "", ISNUMBER(SEARCH("SLA", CRC_War_Room_SIMs[[#This Row],[Labels]])))), 1, 0)</f>
        <v>0</v>
      </c>
    </row>
    <row r="277" spans="1:16" x14ac:dyDescent="0.25">
      <c r="A277" t="s">
        <v>2800</v>
      </c>
      <c r="B277" t="s">
        <v>2794</v>
      </c>
      <c r="C277" t="s">
        <v>2792</v>
      </c>
      <c r="H27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77" s="49">
        <f ca="1">IFERROR(WEEKNUM(CRC_War_Room_SIMs[[#This Row],[Ops Date]]), "N/A")</f>
        <v>30</v>
      </c>
      <c r="J27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7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7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77" s="50">
        <f>IF(AND(CRC_War_Room_SIMs[[#This Row],[CI]] = 0, CRC_War_Room_SIMs[[#This Row],[Miss]] = 1), 1, 0)</f>
        <v>0</v>
      </c>
      <c r="N27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77" s="49">
        <f>IF(AND(CRC_War_Room_SIMs[[#This Row],[Excluded]] = 0, OR(CRC_War_Room_SIMs[[#This Row],[False Resolution Miss]] &lt;&gt; "", ISNUMBER(SEARCH("False Resolution", CRC_War_Room_SIMs[[#This Row],[Labels]])))), 1, 0)</f>
        <v>0</v>
      </c>
      <c r="P277" s="50">
        <f>IF(AND(CRC_War_Room_SIMs[[#This Row],[Excluded]] = 0, OR(CRC_War_Room_SIMs[[#This Row],[SLA Miss]] &lt;&gt; "", ISNUMBER(SEARCH("SLA", CRC_War_Room_SIMs[[#This Row],[Labels]])))), 1, 0)</f>
        <v>0</v>
      </c>
    </row>
    <row r="278" spans="1:16" x14ac:dyDescent="0.25">
      <c r="A278" t="s">
        <v>2801</v>
      </c>
      <c r="B278" t="s">
        <v>2794</v>
      </c>
      <c r="C278" t="s">
        <v>2792</v>
      </c>
      <c r="H27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78" s="49">
        <f ca="1">IFERROR(WEEKNUM(CRC_War_Room_SIMs[[#This Row],[Ops Date]]), "N/A")</f>
        <v>30</v>
      </c>
      <c r="J27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7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7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78" s="50">
        <f>IF(AND(CRC_War_Room_SIMs[[#This Row],[CI]] = 0, CRC_War_Room_SIMs[[#This Row],[Miss]] = 1), 1, 0)</f>
        <v>0</v>
      </c>
      <c r="N27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78" s="49">
        <f>IF(AND(CRC_War_Room_SIMs[[#This Row],[Excluded]] = 0, OR(CRC_War_Room_SIMs[[#This Row],[False Resolution Miss]] &lt;&gt; "", ISNUMBER(SEARCH("False Resolution", CRC_War_Room_SIMs[[#This Row],[Labels]])))), 1, 0)</f>
        <v>0</v>
      </c>
      <c r="P278" s="50">
        <f>IF(AND(CRC_War_Room_SIMs[[#This Row],[Excluded]] = 0, OR(CRC_War_Room_SIMs[[#This Row],[SLA Miss]] &lt;&gt; "", ISNUMBER(SEARCH("SLA", CRC_War_Room_SIMs[[#This Row],[Labels]])))), 1, 0)</f>
        <v>0</v>
      </c>
    </row>
    <row r="279" spans="1:16" x14ac:dyDescent="0.25">
      <c r="A279" t="s">
        <v>2802</v>
      </c>
      <c r="B279" t="s">
        <v>2803</v>
      </c>
      <c r="C279" t="s">
        <v>2792</v>
      </c>
      <c r="H27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79" s="49">
        <f ca="1">IFERROR(WEEKNUM(CRC_War_Room_SIMs[[#This Row],[Ops Date]]), "N/A")</f>
        <v>30</v>
      </c>
      <c r="J27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7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7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79" s="50">
        <f>IF(AND(CRC_War_Room_SIMs[[#This Row],[CI]] = 0, CRC_War_Room_SIMs[[#This Row],[Miss]] = 1), 1, 0)</f>
        <v>0</v>
      </c>
      <c r="N27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79" s="49">
        <f>IF(AND(CRC_War_Room_SIMs[[#This Row],[Excluded]] = 0, OR(CRC_War_Room_SIMs[[#This Row],[False Resolution Miss]] &lt;&gt; "", ISNUMBER(SEARCH("False Resolution", CRC_War_Room_SIMs[[#This Row],[Labels]])))), 1, 0)</f>
        <v>0</v>
      </c>
      <c r="P279" s="50">
        <f>IF(AND(CRC_War_Room_SIMs[[#This Row],[Excluded]] = 0, OR(CRC_War_Room_SIMs[[#This Row],[SLA Miss]] &lt;&gt; "", ISNUMBER(SEARCH("SLA", CRC_War_Room_SIMs[[#This Row],[Labels]])))), 1, 0)</f>
        <v>0</v>
      </c>
    </row>
    <row r="280" spans="1:16" x14ac:dyDescent="0.25">
      <c r="A280" t="s">
        <v>2804</v>
      </c>
      <c r="B280" t="s">
        <v>2803</v>
      </c>
      <c r="C280" t="s">
        <v>2792</v>
      </c>
      <c r="H28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80" s="49">
        <f ca="1">IFERROR(WEEKNUM(CRC_War_Room_SIMs[[#This Row],[Ops Date]]), "N/A")</f>
        <v>30</v>
      </c>
      <c r="J28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8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8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80" s="50">
        <f>IF(AND(CRC_War_Room_SIMs[[#This Row],[CI]] = 0, CRC_War_Room_SIMs[[#This Row],[Miss]] = 1), 1, 0)</f>
        <v>0</v>
      </c>
      <c r="N28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80" s="49">
        <f>IF(AND(CRC_War_Room_SIMs[[#This Row],[Excluded]] = 0, OR(CRC_War_Room_SIMs[[#This Row],[False Resolution Miss]] &lt;&gt; "", ISNUMBER(SEARCH("False Resolution", CRC_War_Room_SIMs[[#This Row],[Labels]])))), 1, 0)</f>
        <v>0</v>
      </c>
      <c r="P280" s="50">
        <f>IF(AND(CRC_War_Room_SIMs[[#This Row],[Excluded]] = 0, OR(CRC_War_Room_SIMs[[#This Row],[SLA Miss]] &lt;&gt; "", ISNUMBER(SEARCH("SLA", CRC_War_Room_SIMs[[#This Row],[Labels]])))), 1, 0)</f>
        <v>0</v>
      </c>
    </row>
    <row r="281" spans="1:16" x14ac:dyDescent="0.25">
      <c r="A281" t="s">
        <v>2805</v>
      </c>
      <c r="B281" t="s">
        <v>2803</v>
      </c>
      <c r="C281" t="s">
        <v>2792</v>
      </c>
      <c r="H28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81" s="49">
        <f ca="1">IFERROR(WEEKNUM(CRC_War_Room_SIMs[[#This Row],[Ops Date]]), "N/A")</f>
        <v>30</v>
      </c>
      <c r="J28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8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8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81" s="50">
        <f>IF(AND(CRC_War_Room_SIMs[[#This Row],[CI]] = 0, CRC_War_Room_SIMs[[#This Row],[Miss]] = 1), 1, 0)</f>
        <v>0</v>
      </c>
      <c r="N28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81" s="49">
        <f>IF(AND(CRC_War_Room_SIMs[[#This Row],[Excluded]] = 0, OR(CRC_War_Room_SIMs[[#This Row],[False Resolution Miss]] &lt;&gt; "", ISNUMBER(SEARCH("False Resolution", CRC_War_Room_SIMs[[#This Row],[Labels]])))), 1, 0)</f>
        <v>0</v>
      </c>
      <c r="P281" s="50">
        <f>IF(AND(CRC_War_Room_SIMs[[#This Row],[Excluded]] = 0, OR(CRC_War_Room_SIMs[[#This Row],[SLA Miss]] &lt;&gt; "", ISNUMBER(SEARCH("SLA", CRC_War_Room_SIMs[[#This Row],[Labels]])))), 1, 0)</f>
        <v>0</v>
      </c>
    </row>
    <row r="282" spans="1:16" x14ac:dyDescent="0.25">
      <c r="A282" t="s">
        <v>2806</v>
      </c>
      <c r="B282" t="s">
        <v>2786</v>
      </c>
      <c r="C282" t="s">
        <v>2792</v>
      </c>
      <c r="H28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82" s="49">
        <f ca="1">IFERROR(WEEKNUM(CRC_War_Room_SIMs[[#This Row],[Ops Date]]), "N/A")</f>
        <v>30</v>
      </c>
      <c r="J28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8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8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82" s="50">
        <f>IF(AND(CRC_War_Room_SIMs[[#This Row],[CI]] = 0, CRC_War_Room_SIMs[[#This Row],[Miss]] = 1), 1, 0)</f>
        <v>0</v>
      </c>
      <c r="N28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82" s="49">
        <f>IF(AND(CRC_War_Room_SIMs[[#This Row],[Excluded]] = 0, OR(CRC_War_Room_SIMs[[#This Row],[False Resolution Miss]] &lt;&gt; "", ISNUMBER(SEARCH("False Resolution", CRC_War_Room_SIMs[[#This Row],[Labels]])))), 1, 0)</f>
        <v>0</v>
      </c>
      <c r="P282" s="50">
        <f>IF(AND(CRC_War_Room_SIMs[[#This Row],[Excluded]] = 0, OR(CRC_War_Room_SIMs[[#This Row],[SLA Miss]] &lt;&gt; "", ISNUMBER(SEARCH("SLA", CRC_War_Room_SIMs[[#This Row],[Labels]])))), 1, 0)</f>
        <v>0</v>
      </c>
    </row>
    <row r="283" spans="1:16" x14ac:dyDescent="0.25">
      <c r="A283" t="s">
        <v>2807</v>
      </c>
      <c r="B283" t="s">
        <v>2803</v>
      </c>
      <c r="C283" t="s">
        <v>2792</v>
      </c>
      <c r="H28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83" s="49">
        <f ca="1">IFERROR(WEEKNUM(CRC_War_Room_SIMs[[#This Row],[Ops Date]]), "N/A")</f>
        <v>30</v>
      </c>
      <c r="J28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8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8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83" s="50">
        <f>IF(AND(CRC_War_Room_SIMs[[#This Row],[CI]] = 0, CRC_War_Room_SIMs[[#This Row],[Miss]] = 1), 1, 0)</f>
        <v>0</v>
      </c>
      <c r="N28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83" s="49">
        <f>IF(AND(CRC_War_Room_SIMs[[#This Row],[Excluded]] = 0, OR(CRC_War_Room_SIMs[[#This Row],[False Resolution Miss]] &lt;&gt; "", ISNUMBER(SEARCH("False Resolution", CRC_War_Room_SIMs[[#This Row],[Labels]])))), 1, 0)</f>
        <v>0</v>
      </c>
      <c r="P283" s="50">
        <f>IF(AND(CRC_War_Room_SIMs[[#This Row],[Excluded]] = 0, OR(CRC_War_Room_SIMs[[#This Row],[SLA Miss]] &lt;&gt; "", ISNUMBER(SEARCH("SLA", CRC_War_Room_SIMs[[#This Row],[Labels]])))), 1, 0)</f>
        <v>0</v>
      </c>
    </row>
    <row r="284" spans="1:16" x14ac:dyDescent="0.25">
      <c r="A284" t="s">
        <v>2808</v>
      </c>
      <c r="B284" t="s">
        <v>2786</v>
      </c>
      <c r="C284" t="s">
        <v>2792</v>
      </c>
      <c r="H28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84" s="49">
        <f ca="1">IFERROR(WEEKNUM(CRC_War_Room_SIMs[[#This Row],[Ops Date]]), "N/A")</f>
        <v>30</v>
      </c>
      <c r="J28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8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8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84" s="50">
        <f>IF(AND(CRC_War_Room_SIMs[[#This Row],[CI]] = 0, CRC_War_Room_SIMs[[#This Row],[Miss]] = 1), 1, 0)</f>
        <v>0</v>
      </c>
      <c r="N28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84" s="49">
        <f>IF(AND(CRC_War_Room_SIMs[[#This Row],[Excluded]] = 0, OR(CRC_War_Room_SIMs[[#This Row],[False Resolution Miss]] &lt;&gt; "", ISNUMBER(SEARCH("False Resolution", CRC_War_Room_SIMs[[#This Row],[Labels]])))), 1, 0)</f>
        <v>0</v>
      </c>
      <c r="P284" s="50">
        <f>IF(AND(CRC_War_Room_SIMs[[#This Row],[Excluded]] = 0, OR(CRC_War_Room_SIMs[[#This Row],[SLA Miss]] &lt;&gt; "", ISNUMBER(SEARCH("SLA", CRC_War_Room_SIMs[[#This Row],[Labels]])))), 1, 0)</f>
        <v>0</v>
      </c>
    </row>
    <row r="285" spans="1:16" x14ac:dyDescent="0.25">
      <c r="A285" t="s">
        <v>2809</v>
      </c>
      <c r="B285" t="s">
        <v>2786</v>
      </c>
      <c r="C285" t="s">
        <v>2792</v>
      </c>
      <c r="H28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85" s="49">
        <f ca="1">IFERROR(WEEKNUM(CRC_War_Room_SIMs[[#This Row],[Ops Date]]), "N/A")</f>
        <v>30</v>
      </c>
      <c r="J28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8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8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85" s="50">
        <f>IF(AND(CRC_War_Room_SIMs[[#This Row],[CI]] = 0, CRC_War_Room_SIMs[[#This Row],[Miss]] = 1), 1, 0)</f>
        <v>0</v>
      </c>
      <c r="N28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85" s="49">
        <f>IF(AND(CRC_War_Room_SIMs[[#This Row],[Excluded]] = 0, OR(CRC_War_Room_SIMs[[#This Row],[False Resolution Miss]] &lt;&gt; "", ISNUMBER(SEARCH("False Resolution", CRC_War_Room_SIMs[[#This Row],[Labels]])))), 1, 0)</f>
        <v>0</v>
      </c>
      <c r="P285" s="50">
        <f>IF(AND(CRC_War_Room_SIMs[[#This Row],[Excluded]] = 0, OR(CRC_War_Room_SIMs[[#This Row],[SLA Miss]] &lt;&gt; "", ISNUMBER(SEARCH("SLA", CRC_War_Room_SIMs[[#This Row],[Labels]])))), 1, 0)</f>
        <v>0</v>
      </c>
    </row>
    <row r="286" spans="1:16" x14ac:dyDescent="0.25">
      <c r="A286" t="s">
        <v>2810</v>
      </c>
      <c r="B286" t="s">
        <v>2786</v>
      </c>
      <c r="C286" t="s">
        <v>2792</v>
      </c>
      <c r="H28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86" s="49">
        <f ca="1">IFERROR(WEEKNUM(CRC_War_Room_SIMs[[#This Row],[Ops Date]]), "N/A")</f>
        <v>30</v>
      </c>
      <c r="J28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8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8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86" s="50">
        <f>IF(AND(CRC_War_Room_SIMs[[#This Row],[CI]] = 0, CRC_War_Room_SIMs[[#This Row],[Miss]] = 1), 1, 0)</f>
        <v>0</v>
      </c>
      <c r="N28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86" s="49">
        <f>IF(AND(CRC_War_Room_SIMs[[#This Row],[Excluded]] = 0, OR(CRC_War_Room_SIMs[[#This Row],[False Resolution Miss]] &lt;&gt; "", ISNUMBER(SEARCH("False Resolution", CRC_War_Room_SIMs[[#This Row],[Labels]])))), 1, 0)</f>
        <v>0</v>
      </c>
      <c r="P286" s="50">
        <f>IF(AND(CRC_War_Room_SIMs[[#This Row],[Excluded]] = 0, OR(CRC_War_Room_SIMs[[#This Row],[SLA Miss]] &lt;&gt; "", ISNUMBER(SEARCH("SLA", CRC_War_Room_SIMs[[#This Row],[Labels]])))), 1, 0)</f>
        <v>0</v>
      </c>
    </row>
    <row r="287" spans="1:16" x14ac:dyDescent="0.25">
      <c r="A287" t="s">
        <v>2811</v>
      </c>
      <c r="B287" t="s">
        <v>2812</v>
      </c>
      <c r="C287" t="s">
        <v>2792</v>
      </c>
      <c r="H28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87" s="49">
        <f ca="1">IFERROR(WEEKNUM(CRC_War_Room_SIMs[[#This Row],[Ops Date]]), "N/A")</f>
        <v>30</v>
      </c>
      <c r="J28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8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8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87" s="50">
        <f>IF(AND(CRC_War_Room_SIMs[[#This Row],[CI]] = 0, CRC_War_Room_SIMs[[#This Row],[Miss]] = 1), 1, 0)</f>
        <v>0</v>
      </c>
      <c r="N28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87" s="49">
        <f>IF(AND(CRC_War_Room_SIMs[[#This Row],[Excluded]] = 0, OR(CRC_War_Room_SIMs[[#This Row],[False Resolution Miss]] &lt;&gt; "", ISNUMBER(SEARCH("False Resolution", CRC_War_Room_SIMs[[#This Row],[Labels]])))), 1, 0)</f>
        <v>0</v>
      </c>
      <c r="P287" s="50">
        <f>IF(AND(CRC_War_Room_SIMs[[#This Row],[Excluded]] = 0, OR(CRC_War_Room_SIMs[[#This Row],[SLA Miss]] &lt;&gt; "", ISNUMBER(SEARCH("SLA", CRC_War_Room_SIMs[[#This Row],[Labels]])))), 1, 0)</f>
        <v>0</v>
      </c>
    </row>
    <row r="288" spans="1:16" x14ac:dyDescent="0.25">
      <c r="A288" t="s">
        <v>2813</v>
      </c>
      <c r="B288" t="s">
        <v>2812</v>
      </c>
      <c r="C288" t="s">
        <v>2792</v>
      </c>
      <c r="H28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88" s="49">
        <f ca="1">IFERROR(WEEKNUM(CRC_War_Room_SIMs[[#This Row],[Ops Date]]), "N/A")</f>
        <v>30</v>
      </c>
      <c r="J28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8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8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88" s="50">
        <f>IF(AND(CRC_War_Room_SIMs[[#This Row],[CI]] = 0, CRC_War_Room_SIMs[[#This Row],[Miss]] = 1), 1, 0)</f>
        <v>0</v>
      </c>
      <c r="N28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88" s="49">
        <f>IF(AND(CRC_War_Room_SIMs[[#This Row],[Excluded]] = 0, OR(CRC_War_Room_SIMs[[#This Row],[False Resolution Miss]] &lt;&gt; "", ISNUMBER(SEARCH("False Resolution", CRC_War_Room_SIMs[[#This Row],[Labels]])))), 1, 0)</f>
        <v>0</v>
      </c>
      <c r="P288" s="50">
        <f>IF(AND(CRC_War_Room_SIMs[[#This Row],[Excluded]] = 0, OR(CRC_War_Room_SIMs[[#This Row],[SLA Miss]] &lt;&gt; "", ISNUMBER(SEARCH("SLA", CRC_War_Room_SIMs[[#This Row],[Labels]])))), 1, 0)</f>
        <v>0</v>
      </c>
    </row>
    <row r="289" spans="1:16" x14ac:dyDescent="0.25">
      <c r="A289" t="s">
        <v>2814</v>
      </c>
      <c r="B289" t="s">
        <v>2812</v>
      </c>
      <c r="C289" t="s">
        <v>2792</v>
      </c>
      <c r="H28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89" s="49">
        <f ca="1">IFERROR(WEEKNUM(CRC_War_Room_SIMs[[#This Row],[Ops Date]]), "N/A")</f>
        <v>30</v>
      </c>
      <c r="J28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8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8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89" s="50">
        <f>IF(AND(CRC_War_Room_SIMs[[#This Row],[CI]] = 0, CRC_War_Room_SIMs[[#This Row],[Miss]] = 1), 1, 0)</f>
        <v>0</v>
      </c>
      <c r="N28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89" s="49">
        <f>IF(AND(CRC_War_Room_SIMs[[#This Row],[Excluded]] = 0, OR(CRC_War_Room_SIMs[[#This Row],[False Resolution Miss]] &lt;&gt; "", ISNUMBER(SEARCH("False Resolution", CRC_War_Room_SIMs[[#This Row],[Labels]])))), 1, 0)</f>
        <v>0</v>
      </c>
      <c r="P289" s="50">
        <f>IF(AND(CRC_War_Room_SIMs[[#This Row],[Excluded]] = 0, OR(CRC_War_Room_SIMs[[#This Row],[SLA Miss]] &lt;&gt; "", ISNUMBER(SEARCH("SLA", CRC_War_Room_SIMs[[#This Row],[Labels]])))), 1, 0)</f>
        <v>0</v>
      </c>
    </row>
    <row r="290" spans="1:16" x14ac:dyDescent="0.25">
      <c r="A290" t="s">
        <v>2815</v>
      </c>
      <c r="B290" t="s">
        <v>2812</v>
      </c>
      <c r="C290" t="s">
        <v>2792</v>
      </c>
      <c r="H29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90" s="49">
        <f ca="1">IFERROR(WEEKNUM(CRC_War_Room_SIMs[[#This Row],[Ops Date]]), "N/A")</f>
        <v>30</v>
      </c>
      <c r="J29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9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9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90" s="50">
        <f>IF(AND(CRC_War_Room_SIMs[[#This Row],[CI]] = 0, CRC_War_Room_SIMs[[#This Row],[Miss]] = 1), 1, 0)</f>
        <v>0</v>
      </c>
      <c r="N29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90" s="49">
        <f>IF(AND(CRC_War_Room_SIMs[[#This Row],[Excluded]] = 0, OR(CRC_War_Room_SIMs[[#This Row],[False Resolution Miss]] &lt;&gt; "", ISNUMBER(SEARCH("False Resolution", CRC_War_Room_SIMs[[#This Row],[Labels]])))), 1, 0)</f>
        <v>0</v>
      </c>
      <c r="P290" s="50">
        <f>IF(AND(CRC_War_Room_SIMs[[#This Row],[Excluded]] = 0, OR(CRC_War_Room_SIMs[[#This Row],[SLA Miss]] &lt;&gt; "", ISNUMBER(SEARCH("SLA", CRC_War_Room_SIMs[[#This Row],[Labels]])))), 1, 0)</f>
        <v>0</v>
      </c>
    </row>
    <row r="291" spans="1:16" x14ac:dyDescent="0.25">
      <c r="A291" t="s">
        <v>2816</v>
      </c>
      <c r="B291" t="s">
        <v>2817</v>
      </c>
      <c r="C291" t="s">
        <v>2792</v>
      </c>
      <c r="H29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91" s="49">
        <f ca="1">IFERROR(WEEKNUM(CRC_War_Room_SIMs[[#This Row],[Ops Date]]), "N/A")</f>
        <v>30</v>
      </c>
      <c r="J29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9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9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91" s="50">
        <f>IF(AND(CRC_War_Room_SIMs[[#This Row],[CI]] = 0, CRC_War_Room_SIMs[[#This Row],[Miss]] = 1), 1, 0)</f>
        <v>0</v>
      </c>
      <c r="N29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91" s="49">
        <f>IF(AND(CRC_War_Room_SIMs[[#This Row],[Excluded]] = 0, OR(CRC_War_Room_SIMs[[#This Row],[False Resolution Miss]] &lt;&gt; "", ISNUMBER(SEARCH("False Resolution", CRC_War_Room_SIMs[[#This Row],[Labels]])))), 1, 0)</f>
        <v>0</v>
      </c>
      <c r="P291" s="50">
        <f>IF(AND(CRC_War_Room_SIMs[[#This Row],[Excluded]] = 0, OR(CRC_War_Room_SIMs[[#This Row],[SLA Miss]] &lt;&gt; "", ISNUMBER(SEARCH("SLA", CRC_War_Room_SIMs[[#This Row],[Labels]])))), 1, 0)</f>
        <v>0</v>
      </c>
    </row>
    <row r="292" spans="1:16" x14ac:dyDescent="0.25">
      <c r="A292" t="s">
        <v>2818</v>
      </c>
      <c r="B292" t="s">
        <v>2817</v>
      </c>
      <c r="C292" t="s">
        <v>2792</v>
      </c>
      <c r="H29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92" s="49">
        <f ca="1">IFERROR(WEEKNUM(CRC_War_Room_SIMs[[#This Row],[Ops Date]]), "N/A")</f>
        <v>30</v>
      </c>
      <c r="J29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9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9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92" s="50">
        <f>IF(AND(CRC_War_Room_SIMs[[#This Row],[CI]] = 0, CRC_War_Room_SIMs[[#This Row],[Miss]] = 1), 1, 0)</f>
        <v>0</v>
      </c>
      <c r="N29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92" s="49">
        <f>IF(AND(CRC_War_Room_SIMs[[#This Row],[Excluded]] = 0, OR(CRC_War_Room_SIMs[[#This Row],[False Resolution Miss]] &lt;&gt; "", ISNUMBER(SEARCH("False Resolution", CRC_War_Room_SIMs[[#This Row],[Labels]])))), 1, 0)</f>
        <v>0</v>
      </c>
      <c r="P292" s="50">
        <f>IF(AND(CRC_War_Room_SIMs[[#This Row],[Excluded]] = 0, OR(CRC_War_Room_SIMs[[#This Row],[SLA Miss]] &lt;&gt; "", ISNUMBER(SEARCH("SLA", CRC_War_Room_SIMs[[#This Row],[Labels]])))), 1, 0)</f>
        <v>0</v>
      </c>
    </row>
    <row r="293" spans="1:16" x14ac:dyDescent="0.25">
      <c r="A293" t="s">
        <v>2819</v>
      </c>
      <c r="B293" t="s">
        <v>2817</v>
      </c>
      <c r="C293" t="s">
        <v>2792</v>
      </c>
      <c r="H29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93" s="49">
        <f ca="1">IFERROR(WEEKNUM(CRC_War_Room_SIMs[[#This Row],[Ops Date]]), "N/A")</f>
        <v>30</v>
      </c>
      <c r="J29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9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9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93" s="50">
        <f>IF(AND(CRC_War_Room_SIMs[[#This Row],[CI]] = 0, CRC_War_Room_SIMs[[#This Row],[Miss]] = 1), 1, 0)</f>
        <v>0</v>
      </c>
      <c r="N29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93" s="49">
        <f>IF(AND(CRC_War_Room_SIMs[[#This Row],[Excluded]] = 0, OR(CRC_War_Room_SIMs[[#This Row],[False Resolution Miss]] &lt;&gt; "", ISNUMBER(SEARCH("False Resolution", CRC_War_Room_SIMs[[#This Row],[Labels]])))), 1, 0)</f>
        <v>0</v>
      </c>
      <c r="P293" s="50">
        <f>IF(AND(CRC_War_Room_SIMs[[#This Row],[Excluded]] = 0, OR(CRC_War_Room_SIMs[[#This Row],[SLA Miss]] &lt;&gt; "", ISNUMBER(SEARCH("SLA", CRC_War_Room_SIMs[[#This Row],[Labels]])))), 1, 0)</f>
        <v>0</v>
      </c>
    </row>
    <row r="294" spans="1:16" x14ac:dyDescent="0.25">
      <c r="A294" t="s">
        <v>2820</v>
      </c>
      <c r="B294" t="s">
        <v>2817</v>
      </c>
      <c r="C294" t="s">
        <v>2792</v>
      </c>
      <c r="H29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94" s="49">
        <f ca="1">IFERROR(WEEKNUM(CRC_War_Room_SIMs[[#This Row],[Ops Date]]), "N/A")</f>
        <v>30</v>
      </c>
      <c r="J29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9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9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94" s="50">
        <f>IF(AND(CRC_War_Room_SIMs[[#This Row],[CI]] = 0, CRC_War_Room_SIMs[[#This Row],[Miss]] = 1), 1, 0)</f>
        <v>0</v>
      </c>
      <c r="N29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94" s="49">
        <f>IF(AND(CRC_War_Room_SIMs[[#This Row],[Excluded]] = 0, OR(CRC_War_Room_SIMs[[#This Row],[False Resolution Miss]] &lt;&gt; "", ISNUMBER(SEARCH("False Resolution", CRC_War_Room_SIMs[[#This Row],[Labels]])))), 1, 0)</f>
        <v>0</v>
      </c>
      <c r="P294" s="50">
        <f>IF(AND(CRC_War_Room_SIMs[[#This Row],[Excluded]] = 0, OR(CRC_War_Room_SIMs[[#This Row],[SLA Miss]] &lt;&gt; "", ISNUMBER(SEARCH("SLA", CRC_War_Room_SIMs[[#This Row],[Labels]])))), 1, 0)</f>
        <v>0</v>
      </c>
    </row>
    <row r="295" spans="1:16" x14ac:dyDescent="0.25">
      <c r="A295" t="s">
        <v>2821</v>
      </c>
      <c r="B295" t="s">
        <v>2817</v>
      </c>
      <c r="C295" t="s">
        <v>2792</v>
      </c>
      <c r="H29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95" s="49">
        <f ca="1">IFERROR(WEEKNUM(CRC_War_Room_SIMs[[#This Row],[Ops Date]]), "N/A")</f>
        <v>30</v>
      </c>
      <c r="J29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9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9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95" s="50">
        <f>IF(AND(CRC_War_Room_SIMs[[#This Row],[CI]] = 0, CRC_War_Room_SIMs[[#This Row],[Miss]] = 1), 1, 0)</f>
        <v>0</v>
      </c>
      <c r="N29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95" s="49">
        <f>IF(AND(CRC_War_Room_SIMs[[#This Row],[Excluded]] = 0, OR(CRC_War_Room_SIMs[[#This Row],[False Resolution Miss]] &lt;&gt; "", ISNUMBER(SEARCH("False Resolution", CRC_War_Room_SIMs[[#This Row],[Labels]])))), 1, 0)</f>
        <v>0</v>
      </c>
      <c r="P295" s="50">
        <f>IF(AND(CRC_War_Room_SIMs[[#This Row],[Excluded]] = 0, OR(CRC_War_Room_SIMs[[#This Row],[SLA Miss]] &lt;&gt; "", ISNUMBER(SEARCH("SLA", CRC_War_Room_SIMs[[#This Row],[Labels]])))), 1, 0)</f>
        <v>0</v>
      </c>
    </row>
    <row r="296" spans="1:16" x14ac:dyDescent="0.25">
      <c r="A296" t="s">
        <v>2822</v>
      </c>
      <c r="B296" t="s">
        <v>2782</v>
      </c>
      <c r="C296" t="s">
        <v>2792</v>
      </c>
      <c r="H29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96" s="49">
        <f ca="1">IFERROR(WEEKNUM(CRC_War_Room_SIMs[[#This Row],[Ops Date]]), "N/A")</f>
        <v>30</v>
      </c>
      <c r="J29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9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9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96" s="50">
        <f>IF(AND(CRC_War_Room_SIMs[[#This Row],[CI]] = 0, CRC_War_Room_SIMs[[#This Row],[Miss]] = 1), 1, 0)</f>
        <v>0</v>
      </c>
      <c r="N29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96" s="49">
        <f>IF(AND(CRC_War_Room_SIMs[[#This Row],[Excluded]] = 0, OR(CRC_War_Room_SIMs[[#This Row],[False Resolution Miss]] &lt;&gt; "", ISNUMBER(SEARCH("False Resolution", CRC_War_Room_SIMs[[#This Row],[Labels]])))), 1, 0)</f>
        <v>0</v>
      </c>
      <c r="P296" s="50">
        <f>IF(AND(CRC_War_Room_SIMs[[#This Row],[Excluded]] = 0, OR(CRC_War_Room_SIMs[[#This Row],[SLA Miss]] &lt;&gt; "", ISNUMBER(SEARCH("SLA", CRC_War_Room_SIMs[[#This Row],[Labels]])))), 1, 0)</f>
        <v>0</v>
      </c>
    </row>
    <row r="297" spans="1:16" x14ac:dyDescent="0.25">
      <c r="A297" t="s">
        <v>2823</v>
      </c>
      <c r="B297" t="s">
        <v>2782</v>
      </c>
      <c r="C297" t="s">
        <v>2792</v>
      </c>
      <c r="H29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97" s="49">
        <f ca="1">IFERROR(WEEKNUM(CRC_War_Room_SIMs[[#This Row],[Ops Date]]), "N/A")</f>
        <v>30</v>
      </c>
      <c r="J29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9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9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97" s="50">
        <f>IF(AND(CRC_War_Room_SIMs[[#This Row],[CI]] = 0, CRC_War_Room_SIMs[[#This Row],[Miss]] = 1), 1, 0)</f>
        <v>0</v>
      </c>
      <c r="N29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97" s="49">
        <f>IF(AND(CRC_War_Room_SIMs[[#This Row],[Excluded]] = 0, OR(CRC_War_Room_SIMs[[#This Row],[False Resolution Miss]] &lt;&gt; "", ISNUMBER(SEARCH("False Resolution", CRC_War_Room_SIMs[[#This Row],[Labels]])))), 1, 0)</f>
        <v>0</v>
      </c>
      <c r="P297" s="50">
        <f>IF(AND(CRC_War_Room_SIMs[[#This Row],[Excluded]] = 0, OR(CRC_War_Room_SIMs[[#This Row],[SLA Miss]] &lt;&gt; "", ISNUMBER(SEARCH("SLA", CRC_War_Room_SIMs[[#This Row],[Labels]])))), 1, 0)</f>
        <v>0</v>
      </c>
    </row>
    <row r="298" spans="1:16" x14ac:dyDescent="0.25">
      <c r="A298" t="s">
        <v>2824</v>
      </c>
      <c r="B298" t="s">
        <v>2825</v>
      </c>
      <c r="C298" t="s">
        <v>2792</v>
      </c>
      <c r="H29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98" s="49">
        <f ca="1">IFERROR(WEEKNUM(CRC_War_Room_SIMs[[#This Row],[Ops Date]]), "N/A")</f>
        <v>30</v>
      </c>
      <c r="J29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9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9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98" s="50">
        <f>IF(AND(CRC_War_Room_SIMs[[#This Row],[CI]] = 0, CRC_War_Room_SIMs[[#This Row],[Miss]] = 1), 1, 0)</f>
        <v>0</v>
      </c>
      <c r="N29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98" s="49">
        <f>IF(AND(CRC_War_Room_SIMs[[#This Row],[Excluded]] = 0, OR(CRC_War_Room_SIMs[[#This Row],[False Resolution Miss]] &lt;&gt; "", ISNUMBER(SEARCH("False Resolution", CRC_War_Room_SIMs[[#This Row],[Labels]])))), 1, 0)</f>
        <v>0</v>
      </c>
      <c r="P298" s="50">
        <f>IF(AND(CRC_War_Room_SIMs[[#This Row],[Excluded]] = 0, OR(CRC_War_Room_SIMs[[#This Row],[SLA Miss]] &lt;&gt; "", ISNUMBER(SEARCH("SLA", CRC_War_Room_SIMs[[#This Row],[Labels]])))), 1, 0)</f>
        <v>0</v>
      </c>
    </row>
    <row r="299" spans="1:16" x14ac:dyDescent="0.25">
      <c r="A299" t="s">
        <v>2826</v>
      </c>
      <c r="B299" t="s">
        <v>2825</v>
      </c>
      <c r="C299" t="s">
        <v>2792</v>
      </c>
      <c r="H29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299" s="49">
        <f ca="1">IFERROR(WEEKNUM(CRC_War_Room_SIMs[[#This Row],[Ops Date]]), "N/A")</f>
        <v>30</v>
      </c>
      <c r="J29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29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29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299" s="50">
        <f>IF(AND(CRC_War_Room_SIMs[[#This Row],[CI]] = 0, CRC_War_Room_SIMs[[#This Row],[Miss]] = 1), 1, 0)</f>
        <v>0</v>
      </c>
      <c r="N29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299" s="49">
        <f>IF(AND(CRC_War_Room_SIMs[[#This Row],[Excluded]] = 0, OR(CRC_War_Room_SIMs[[#This Row],[False Resolution Miss]] &lt;&gt; "", ISNUMBER(SEARCH("False Resolution", CRC_War_Room_SIMs[[#This Row],[Labels]])))), 1, 0)</f>
        <v>0</v>
      </c>
      <c r="P299" s="50">
        <f>IF(AND(CRC_War_Room_SIMs[[#This Row],[Excluded]] = 0, OR(CRC_War_Room_SIMs[[#This Row],[SLA Miss]] &lt;&gt; "", ISNUMBER(SEARCH("SLA", CRC_War_Room_SIMs[[#This Row],[Labels]])))), 1, 0)</f>
        <v>0</v>
      </c>
    </row>
    <row r="300" spans="1:16" x14ac:dyDescent="0.25">
      <c r="A300" t="s">
        <v>2827</v>
      </c>
      <c r="B300" t="s">
        <v>2825</v>
      </c>
      <c r="C300" t="s">
        <v>2792</v>
      </c>
      <c r="H30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300" s="49">
        <f ca="1">IFERROR(WEEKNUM(CRC_War_Room_SIMs[[#This Row],[Ops Date]]), "N/A")</f>
        <v>30</v>
      </c>
      <c r="J30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0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0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00" s="50">
        <f>IF(AND(CRC_War_Room_SIMs[[#This Row],[CI]] = 0, CRC_War_Room_SIMs[[#This Row],[Miss]] = 1), 1, 0)</f>
        <v>0</v>
      </c>
      <c r="N30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00" s="49">
        <f>IF(AND(CRC_War_Room_SIMs[[#This Row],[Excluded]] = 0, OR(CRC_War_Room_SIMs[[#This Row],[False Resolution Miss]] &lt;&gt; "", ISNUMBER(SEARCH("False Resolution", CRC_War_Room_SIMs[[#This Row],[Labels]])))), 1, 0)</f>
        <v>0</v>
      </c>
      <c r="P300" s="50">
        <f>IF(AND(CRC_War_Room_SIMs[[#This Row],[Excluded]] = 0, OR(CRC_War_Room_SIMs[[#This Row],[SLA Miss]] &lt;&gt; "", ISNUMBER(SEARCH("SLA", CRC_War_Room_SIMs[[#This Row],[Labels]])))), 1, 0)</f>
        <v>0</v>
      </c>
    </row>
    <row r="301" spans="1:16" x14ac:dyDescent="0.25">
      <c r="A301" t="s">
        <v>2828</v>
      </c>
      <c r="B301" t="s">
        <v>2825</v>
      </c>
      <c r="C301" t="s">
        <v>2792</v>
      </c>
      <c r="H30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301" s="49">
        <f ca="1">IFERROR(WEEKNUM(CRC_War_Room_SIMs[[#This Row],[Ops Date]]), "N/A")</f>
        <v>30</v>
      </c>
      <c r="J30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0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0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01" s="50">
        <f>IF(AND(CRC_War_Room_SIMs[[#This Row],[CI]] = 0, CRC_War_Room_SIMs[[#This Row],[Miss]] = 1), 1, 0)</f>
        <v>0</v>
      </c>
      <c r="N30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01" s="49">
        <f>IF(AND(CRC_War_Room_SIMs[[#This Row],[Excluded]] = 0, OR(CRC_War_Room_SIMs[[#This Row],[False Resolution Miss]] &lt;&gt; "", ISNUMBER(SEARCH("False Resolution", CRC_War_Room_SIMs[[#This Row],[Labels]])))), 1, 0)</f>
        <v>0</v>
      </c>
      <c r="P301" s="50">
        <f>IF(AND(CRC_War_Room_SIMs[[#This Row],[Excluded]] = 0, OR(CRC_War_Room_SIMs[[#This Row],[SLA Miss]] &lt;&gt; "", ISNUMBER(SEARCH("SLA", CRC_War_Room_SIMs[[#This Row],[Labels]])))), 1, 0)</f>
        <v>0</v>
      </c>
    </row>
    <row r="302" spans="1:16" x14ac:dyDescent="0.25">
      <c r="A302" t="s">
        <v>2829</v>
      </c>
      <c r="B302" t="s">
        <v>2825</v>
      </c>
      <c r="C302" t="s">
        <v>2792</v>
      </c>
      <c r="H30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45500</v>
      </c>
      <c r="I302" s="49">
        <f ca="1">IFERROR(WEEKNUM(CRC_War_Room_SIMs[[#This Row],[Ops Date]]), "N/A")</f>
        <v>30</v>
      </c>
      <c r="J30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0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0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02" s="50">
        <f>IF(AND(CRC_War_Room_SIMs[[#This Row],[CI]] = 0, CRC_War_Room_SIMs[[#This Row],[Miss]] = 1), 1, 0)</f>
        <v>0</v>
      </c>
      <c r="N30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02" s="49">
        <f>IF(AND(CRC_War_Room_SIMs[[#This Row],[Excluded]] = 0, OR(CRC_War_Room_SIMs[[#This Row],[False Resolution Miss]] &lt;&gt; "", ISNUMBER(SEARCH("False Resolution", CRC_War_Room_SIMs[[#This Row],[Labels]])))), 1, 0)</f>
        <v>0</v>
      </c>
      <c r="P302" s="50">
        <f>IF(AND(CRC_War_Room_SIMs[[#This Row],[Excluded]] = 0, OR(CRC_War_Room_SIMs[[#This Row],[SLA Miss]] &lt;&gt; "", ISNUMBER(SEARCH("SLA", CRC_War_Room_SIMs[[#This Row],[Labels]])))), 1, 0)</f>
        <v>0</v>
      </c>
    </row>
    <row r="303" spans="1:16" x14ac:dyDescent="0.25">
      <c r="A303" t="s">
        <v>2830</v>
      </c>
      <c r="B303" t="s">
        <v>2779</v>
      </c>
      <c r="C303" t="s">
        <v>2831</v>
      </c>
      <c r="H30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03" s="49">
        <f ca="1">IFERROR(WEEKNUM(CRC_War_Room_SIMs[[#This Row],[Ops Date]]), "N/A")</f>
        <v>30</v>
      </c>
      <c r="J30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0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0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03" s="50">
        <f>IF(AND(CRC_War_Room_SIMs[[#This Row],[CI]] = 0, CRC_War_Room_SIMs[[#This Row],[Miss]] = 1), 1, 0)</f>
        <v>0</v>
      </c>
      <c r="N30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03" s="49">
        <f>IF(AND(CRC_War_Room_SIMs[[#This Row],[Excluded]] = 0, OR(CRC_War_Room_SIMs[[#This Row],[False Resolution Miss]] &lt;&gt; "", ISNUMBER(SEARCH("False Resolution", CRC_War_Room_SIMs[[#This Row],[Labels]])))), 1, 0)</f>
        <v>0</v>
      </c>
      <c r="P303" s="50">
        <f>IF(AND(CRC_War_Room_SIMs[[#This Row],[Excluded]] = 0, OR(CRC_War_Room_SIMs[[#This Row],[SLA Miss]] &lt;&gt; "", ISNUMBER(SEARCH("SLA", CRC_War_Room_SIMs[[#This Row],[Labels]])))), 1, 0)</f>
        <v>0</v>
      </c>
    </row>
    <row r="304" spans="1:16" x14ac:dyDescent="0.25">
      <c r="A304" t="s">
        <v>2832</v>
      </c>
      <c r="B304" t="s">
        <v>2779</v>
      </c>
      <c r="C304" t="s">
        <v>2831</v>
      </c>
      <c r="H30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04" s="49">
        <f ca="1">IFERROR(WEEKNUM(CRC_War_Room_SIMs[[#This Row],[Ops Date]]), "N/A")</f>
        <v>30</v>
      </c>
      <c r="J30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0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0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04" s="50">
        <f>IF(AND(CRC_War_Room_SIMs[[#This Row],[CI]] = 0, CRC_War_Room_SIMs[[#This Row],[Miss]] = 1), 1, 0)</f>
        <v>0</v>
      </c>
      <c r="N30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04" s="49">
        <f>IF(AND(CRC_War_Room_SIMs[[#This Row],[Excluded]] = 0, OR(CRC_War_Room_SIMs[[#This Row],[False Resolution Miss]] &lt;&gt; "", ISNUMBER(SEARCH("False Resolution", CRC_War_Room_SIMs[[#This Row],[Labels]])))), 1, 0)</f>
        <v>0</v>
      </c>
      <c r="P304" s="50">
        <f>IF(AND(CRC_War_Room_SIMs[[#This Row],[Excluded]] = 0, OR(CRC_War_Room_SIMs[[#This Row],[SLA Miss]] &lt;&gt; "", ISNUMBER(SEARCH("SLA", CRC_War_Room_SIMs[[#This Row],[Labels]])))), 1, 0)</f>
        <v>0</v>
      </c>
    </row>
    <row r="305" spans="1:16" x14ac:dyDescent="0.25">
      <c r="A305" t="s">
        <v>2833</v>
      </c>
      <c r="B305" t="s">
        <v>2779</v>
      </c>
      <c r="C305" t="s">
        <v>2831</v>
      </c>
      <c r="H30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05" s="49">
        <f ca="1">IFERROR(WEEKNUM(CRC_War_Room_SIMs[[#This Row],[Ops Date]]), "N/A")</f>
        <v>30</v>
      </c>
      <c r="J30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0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0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05" s="50">
        <f>IF(AND(CRC_War_Room_SIMs[[#This Row],[CI]] = 0, CRC_War_Room_SIMs[[#This Row],[Miss]] = 1), 1, 0)</f>
        <v>0</v>
      </c>
      <c r="N30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05" s="49">
        <f>IF(AND(CRC_War_Room_SIMs[[#This Row],[Excluded]] = 0, OR(CRC_War_Room_SIMs[[#This Row],[False Resolution Miss]] &lt;&gt; "", ISNUMBER(SEARCH("False Resolution", CRC_War_Room_SIMs[[#This Row],[Labels]])))), 1, 0)</f>
        <v>0</v>
      </c>
      <c r="P305" s="50">
        <f>IF(AND(CRC_War_Room_SIMs[[#This Row],[Excluded]] = 0, OR(CRC_War_Room_SIMs[[#This Row],[SLA Miss]] &lt;&gt; "", ISNUMBER(SEARCH("SLA", CRC_War_Room_SIMs[[#This Row],[Labels]])))), 1, 0)</f>
        <v>0</v>
      </c>
    </row>
    <row r="306" spans="1:16" x14ac:dyDescent="0.25">
      <c r="A306" t="s">
        <v>2834</v>
      </c>
      <c r="B306" t="s">
        <v>2779</v>
      </c>
      <c r="C306" t="s">
        <v>2831</v>
      </c>
      <c r="H30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06" s="49">
        <f ca="1">IFERROR(WEEKNUM(CRC_War_Room_SIMs[[#This Row],[Ops Date]]), "N/A")</f>
        <v>30</v>
      </c>
      <c r="J30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0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0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06" s="50">
        <f>IF(AND(CRC_War_Room_SIMs[[#This Row],[CI]] = 0, CRC_War_Room_SIMs[[#This Row],[Miss]] = 1), 1, 0)</f>
        <v>0</v>
      </c>
      <c r="N30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06" s="49">
        <f>IF(AND(CRC_War_Room_SIMs[[#This Row],[Excluded]] = 0, OR(CRC_War_Room_SIMs[[#This Row],[False Resolution Miss]] &lt;&gt; "", ISNUMBER(SEARCH("False Resolution", CRC_War_Room_SIMs[[#This Row],[Labels]])))), 1, 0)</f>
        <v>0</v>
      </c>
      <c r="P306" s="50">
        <f>IF(AND(CRC_War_Room_SIMs[[#This Row],[Excluded]] = 0, OR(CRC_War_Room_SIMs[[#This Row],[SLA Miss]] &lt;&gt; "", ISNUMBER(SEARCH("SLA", CRC_War_Room_SIMs[[#This Row],[Labels]])))), 1, 0)</f>
        <v>0</v>
      </c>
    </row>
    <row r="307" spans="1:16" x14ac:dyDescent="0.25">
      <c r="A307" t="s">
        <v>2835</v>
      </c>
      <c r="B307" t="s">
        <v>2836</v>
      </c>
      <c r="C307" t="s">
        <v>2831</v>
      </c>
      <c r="H30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07" s="49">
        <f ca="1">IFERROR(WEEKNUM(CRC_War_Room_SIMs[[#This Row],[Ops Date]]), "N/A")</f>
        <v>30</v>
      </c>
      <c r="J30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0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0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07" s="50">
        <f>IF(AND(CRC_War_Room_SIMs[[#This Row],[CI]] = 0, CRC_War_Room_SIMs[[#This Row],[Miss]] = 1), 1, 0)</f>
        <v>0</v>
      </c>
      <c r="N30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07" s="49">
        <f>IF(AND(CRC_War_Room_SIMs[[#This Row],[Excluded]] = 0, OR(CRC_War_Room_SIMs[[#This Row],[False Resolution Miss]] &lt;&gt; "", ISNUMBER(SEARCH("False Resolution", CRC_War_Room_SIMs[[#This Row],[Labels]])))), 1, 0)</f>
        <v>0</v>
      </c>
      <c r="P307" s="50">
        <f>IF(AND(CRC_War_Room_SIMs[[#This Row],[Excluded]] = 0, OR(CRC_War_Room_SIMs[[#This Row],[SLA Miss]] &lt;&gt; "", ISNUMBER(SEARCH("SLA", CRC_War_Room_SIMs[[#This Row],[Labels]])))), 1, 0)</f>
        <v>0</v>
      </c>
    </row>
    <row r="308" spans="1:16" x14ac:dyDescent="0.25">
      <c r="A308" t="s">
        <v>2837</v>
      </c>
      <c r="B308" t="s">
        <v>2838</v>
      </c>
      <c r="C308" t="s">
        <v>2831</v>
      </c>
      <c r="H30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08" s="49">
        <f ca="1">IFERROR(WEEKNUM(CRC_War_Room_SIMs[[#This Row],[Ops Date]]), "N/A")</f>
        <v>30</v>
      </c>
      <c r="J30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0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0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08" s="50">
        <f>IF(AND(CRC_War_Room_SIMs[[#This Row],[CI]] = 0, CRC_War_Room_SIMs[[#This Row],[Miss]] = 1), 1, 0)</f>
        <v>0</v>
      </c>
      <c r="N30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08" s="49">
        <f>IF(AND(CRC_War_Room_SIMs[[#This Row],[Excluded]] = 0, OR(CRC_War_Room_SIMs[[#This Row],[False Resolution Miss]] &lt;&gt; "", ISNUMBER(SEARCH("False Resolution", CRC_War_Room_SIMs[[#This Row],[Labels]])))), 1, 0)</f>
        <v>0</v>
      </c>
      <c r="P308" s="50">
        <f>IF(AND(CRC_War_Room_SIMs[[#This Row],[Excluded]] = 0, OR(CRC_War_Room_SIMs[[#This Row],[SLA Miss]] &lt;&gt; "", ISNUMBER(SEARCH("SLA", CRC_War_Room_SIMs[[#This Row],[Labels]])))), 1, 0)</f>
        <v>0</v>
      </c>
    </row>
    <row r="309" spans="1:16" x14ac:dyDescent="0.25">
      <c r="A309" t="s">
        <v>2839</v>
      </c>
      <c r="B309" t="s">
        <v>2838</v>
      </c>
      <c r="C309" t="s">
        <v>2831</v>
      </c>
      <c r="H30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09" s="49">
        <f ca="1">IFERROR(WEEKNUM(CRC_War_Room_SIMs[[#This Row],[Ops Date]]), "N/A")</f>
        <v>30</v>
      </c>
      <c r="J30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0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0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09" s="50">
        <f>IF(AND(CRC_War_Room_SIMs[[#This Row],[CI]] = 0, CRC_War_Room_SIMs[[#This Row],[Miss]] = 1), 1, 0)</f>
        <v>0</v>
      </c>
      <c r="N30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09" s="49">
        <f>IF(AND(CRC_War_Room_SIMs[[#This Row],[Excluded]] = 0, OR(CRC_War_Room_SIMs[[#This Row],[False Resolution Miss]] &lt;&gt; "", ISNUMBER(SEARCH("False Resolution", CRC_War_Room_SIMs[[#This Row],[Labels]])))), 1, 0)</f>
        <v>0</v>
      </c>
      <c r="P309" s="50">
        <f>IF(AND(CRC_War_Room_SIMs[[#This Row],[Excluded]] = 0, OR(CRC_War_Room_SIMs[[#This Row],[SLA Miss]] &lt;&gt; "", ISNUMBER(SEARCH("SLA", CRC_War_Room_SIMs[[#This Row],[Labels]])))), 1, 0)</f>
        <v>0</v>
      </c>
    </row>
    <row r="310" spans="1:16" x14ac:dyDescent="0.25">
      <c r="A310" t="s">
        <v>2840</v>
      </c>
      <c r="B310" t="s">
        <v>2838</v>
      </c>
      <c r="C310" t="s">
        <v>2831</v>
      </c>
      <c r="H31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10" s="49">
        <f ca="1">IFERROR(WEEKNUM(CRC_War_Room_SIMs[[#This Row],[Ops Date]]), "N/A")</f>
        <v>30</v>
      </c>
      <c r="J31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1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1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10" s="50">
        <f>IF(AND(CRC_War_Room_SIMs[[#This Row],[CI]] = 0, CRC_War_Room_SIMs[[#This Row],[Miss]] = 1), 1, 0)</f>
        <v>0</v>
      </c>
      <c r="N31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10" s="49">
        <f>IF(AND(CRC_War_Room_SIMs[[#This Row],[Excluded]] = 0, OR(CRC_War_Room_SIMs[[#This Row],[False Resolution Miss]] &lt;&gt; "", ISNUMBER(SEARCH("False Resolution", CRC_War_Room_SIMs[[#This Row],[Labels]])))), 1, 0)</f>
        <v>0</v>
      </c>
      <c r="P310" s="50">
        <f>IF(AND(CRC_War_Room_SIMs[[#This Row],[Excluded]] = 0, OR(CRC_War_Room_SIMs[[#This Row],[SLA Miss]] &lt;&gt; "", ISNUMBER(SEARCH("SLA", CRC_War_Room_SIMs[[#This Row],[Labels]])))), 1, 0)</f>
        <v>0</v>
      </c>
    </row>
    <row r="311" spans="1:16" x14ac:dyDescent="0.25">
      <c r="A311" t="s">
        <v>2841</v>
      </c>
      <c r="B311" t="s">
        <v>2838</v>
      </c>
      <c r="C311" t="s">
        <v>2831</v>
      </c>
      <c r="H31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11" s="49">
        <f ca="1">IFERROR(WEEKNUM(CRC_War_Room_SIMs[[#This Row],[Ops Date]]), "N/A")</f>
        <v>30</v>
      </c>
      <c r="J31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1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1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11" s="50">
        <f>IF(AND(CRC_War_Room_SIMs[[#This Row],[CI]] = 0, CRC_War_Room_SIMs[[#This Row],[Miss]] = 1), 1, 0)</f>
        <v>0</v>
      </c>
      <c r="N31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11" s="49">
        <f>IF(AND(CRC_War_Room_SIMs[[#This Row],[Excluded]] = 0, OR(CRC_War_Room_SIMs[[#This Row],[False Resolution Miss]] &lt;&gt; "", ISNUMBER(SEARCH("False Resolution", CRC_War_Room_SIMs[[#This Row],[Labels]])))), 1, 0)</f>
        <v>0</v>
      </c>
      <c r="P311" s="50">
        <f>IF(AND(CRC_War_Room_SIMs[[#This Row],[Excluded]] = 0, OR(CRC_War_Room_SIMs[[#This Row],[SLA Miss]] &lt;&gt; "", ISNUMBER(SEARCH("SLA", CRC_War_Room_SIMs[[#This Row],[Labels]])))), 1, 0)</f>
        <v>0</v>
      </c>
    </row>
    <row r="312" spans="1:16" x14ac:dyDescent="0.25">
      <c r="A312" t="s">
        <v>2842</v>
      </c>
      <c r="B312" t="s">
        <v>2838</v>
      </c>
      <c r="C312" t="s">
        <v>2831</v>
      </c>
      <c r="H31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12" s="49">
        <f ca="1">IFERROR(WEEKNUM(CRC_War_Room_SIMs[[#This Row],[Ops Date]]), "N/A")</f>
        <v>30</v>
      </c>
      <c r="J31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1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1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12" s="50">
        <f>IF(AND(CRC_War_Room_SIMs[[#This Row],[CI]] = 0, CRC_War_Room_SIMs[[#This Row],[Miss]] = 1), 1, 0)</f>
        <v>0</v>
      </c>
      <c r="N31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12" s="49">
        <f>IF(AND(CRC_War_Room_SIMs[[#This Row],[Excluded]] = 0, OR(CRC_War_Room_SIMs[[#This Row],[False Resolution Miss]] &lt;&gt; "", ISNUMBER(SEARCH("False Resolution", CRC_War_Room_SIMs[[#This Row],[Labels]])))), 1, 0)</f>
        <v>0</v>
      </c>
      <c r="P312" s="50">
        <f>IF(AND(CRC_War_Room_SIMs[[#This Row],[Excluded]] = 0, OR(CRC_War_Room_SIMs[[#This Row],[SLA Miss]] &lt;&gt; "", ISNUMBER(SEARCH("SLA", CRC_War_Room_SIMs[[#This Row],[Labels]])))), 1, 0)</f>
        <v>0</v>
      </c>
    </row>
    <row r="313" spans="1:16" x14ac:dyDescent="0.25">
      <c r="A313" t="s">
        <v>2843</v>
      </c>
      <c r="B313" t="s">
        <v>2844</v>
      </c>
      <c r="C313" t="s">
        <v>2831</v>
      </c>
      <c r="H31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13" s="49">
        <f ca="1">IFERROR(WEEKNUM(CRC_War_Room_SIMs[[#This Row],[Ops Date]]), "N/A")</f>
        <v>30</v>
      </c>
      <c r="J31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1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1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13" s="50">
        <f>IF(AND(CRC_War_Room_SIMs[[#This Row],[CI]] = 0, CRC_War_Room_SIMs[[#This Row],[Miss]] = 1), 1, 0)</f>
        <v>0</v>
      </c>
      <c r="N31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13" s="49">
        <f>IF(AND(CRC_War_Room_SIMs[[#This Row],[Excluded]] = 0, OR(CRC_War_Room_SIMs[[#This Row],[False Resolution Miss]] &lt;&gt; "", ISNUMBER(SEARCH("False Resolution", CRC_War_Room_SIMs[[#This Row],[Labels]])))), 1, 0)</f>
        <v>0</v>
      </c>
      <c r="P313" s="50">
        <f>IF(AND(CRC_War_Room_SIMs[[#This Row],[Excluded]] = 0, OR(CRC_War_Room_SIMs[[#This Row],[SLA Miss]] &lt;&gt; "", ISNUMBER(SEARCH("SLA", CRC_War_Room_SIMs[[#This Row],[Labels]])))), 1, 0)</f>
        <v>0</v>
      </c>
    </row>
    <row r="314" spans="1:16" x14ac:dyDescent="0.25">
      <c r="A314" t="s">
        <v>2845</v>
      </c>
      <c r="B314" t="s">
        <v>2838</v>
      </c>
      <c r="C314" t="s">
        <v>2831</v>
      </c>
      <c r="H31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14" s="49">
        <f ca="1">IFERROR(WEEKNUM(CRC_War_Room_SIMs[[#This Row],[Ops Date]]), "N/A")</f>
        <v>30</v>
      </c>
      <c r="J31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1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1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14" s="50">
        <f>IF(AND(CRC_War_Room_SIMs[[#This Row],[CI]] = 0, CRC_War_Room_SIMs[[#This Row],[Miss]] = 1), 1, 0)</f>
        <v>0</v>
      </c>
      <c r="N31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14" s="49">
        <f>IF(AND(CRC_War_Room_SIMs[[#This Row],[Excluded]] = 0, OR(CRC_War_Room_SIMs[[#This Row],[False Resolution Miss]] &lt;&gt; "", ISNUMBER(SEARCH("False Resolution", CRC_War_Room_SIMs[[#This Row],[Labels]])))), 1, 0)</f>
        <v>0</v>
      </c>
      <c r="P314" s="50">
        <f>IF(AND(CRC_War_Room_SIMs[[#This Row],[Excluded]] = 0, OR(CRC_War_Room_SIMs[[#This Row],[SLA Miss]] &lt;&gt; "", ISNUMBER(SEARCH("SLA", CRC_War_Room_SIMs[[#This Row],[Labels]])))), 1, 0)</f>
        <v>0</v>
      </c>
    </row>
    <row r="315" spans="1:16" x14ac:dyDescent="0.25">
      <c r="A315" t="s">
        <v>2846</v>
      </c>
      <c r="B315" t="s">
        <v>2838</v>
      </c>
      <c r="C315" t="s">
        <v>2831</v>
      </c>
      <c r="H31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15" s="49">
        <f ca="1">IFERROR(WEEKNUM(CRC_War_Room_SIMs[[#This Row],[Ops Date]]), "N/A")</f>
        <v>30</v>
      </c>
      <c r="J31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1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1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15" s="50">
        <f>IF(AND(CRC_War_Room_SIMs[[#This Row],[CI]] = 0, CRC_War_Room_SIMs[[#This Row],[Miss]] = 1), 1, 0)</f>
        <v>0</v>
      </c>
      <c r="N31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15" s="49">
        <f>IF(AND(CRC_War_Room_SIMs[[#This Row],[Excluded]] = 0, OR(CRC_War_Room_SIMs[[#This Row],[False Resolution Miss]] &lt;&gt; "", ISNUMBER(SEARCH("False Resolution", CRC_War_Room_SIMs[[#This Row],[Labels]])))), 1, 0)</f>
        <v>0</v>
      </c>
      <c r="P315" s="50">
        <f>IF(AND(CRC_War_Room_SIMs[[#This Row],[Excluded]] = 0, OR(CRC_War_Room_SIMs[[#This Row],[SLA Miss]] &lt;&gt; "", ISNUMBER(SEARCH("SLA", CRC_War_Room_SIMs[[#This Row],[Labels]])))), 1, 0)</f>
        <v>0</v>
      </c>
    </row>
    <row r="316" spans="1:16" x14ac:dyDescent="0.25">
      <c r="A316" t="s">
        <v>2847</v>
      </c>
      <c r="B316" t="s">
        <v>2848</v>
      </c>
      <c r="C316" t="s">
        <v>2831</v>
      </c>
      <c r="H31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16" s="49">
        <f ca="1">IFERROR(WEEKNUM(CRC_War_Room_SIMs[[#This Row],[Ops Date]]), "N/A")</f>
        <v>30</v>
      </c>
      <c r="J31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1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1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16" s="50">
        <f>IF(AND(CRC_War_Room_SIMs[[#This Row],[CI]] = 0, CRC_War_Room_SIMs[[#This Row],[Miss]] = 1), 1, 0)</f>
        <v>0</v>
      </c>
      <c r="N31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16" s="49">
        <f>IF(AND(CRC_War_Room_SIMs[[#This Row],[Excluded]] = 0, OR(CRC_War_Room_SIMs[[#This Row],[False Resolution Miss]] &lt;&gt; "", ISNUMBER(SEARCH("False Resolution", CRC_War_Room_SIMs[[#This Row],[Labels]])))), 1, 0)</f>
        <v>0</v>
      </c>
      <c r="P316" s="50">
        <f>IF(AND(CRC_War_Room_SIMs[[#This Row],[Excluded]] = 0, OR(CRC_War_Room_SIMs[[#This Row],[SLA Miss]] &lt;&gt; "", ISNUMBER(SEARCH("SLA", CRC_War_Room_SIMs[[#This Row],[Labels]])))), 1, 0)</f>
        <v>0</v>
      </c>
    </row>
    <row r="317" spans="1:16" x14ac:dyDescent="0.25">
      <c r="A317" t="s">
        <v>2849</v>
      </c>
      <c r="B317" t="s">
        <v>2848</v>
      </c>
      <c r="C317" t="s">
        <v>2831</v>
      </c>
      <c r="H31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17" s="49">
        <f ca="1">IFERROR(WEEKNUM(CRC_War_Room_SIMs[[#This Row],[Ops Date]]), "N/A")</f>
        <v>30</v>
      </c>
      <c r="J31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1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1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17" s="50">
        <f>IF(AND(CRC_War_Room_SIMs[[#This Row],[CI]] = 0, CRC_War_Room_SIMs[[#This Row],[Miss]] = 1), 1, 0)</f>
        <v>0</v>
      </c>
      <c r="N31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17" s="49">
        <f>IF(AND(CRC_War_Room_SIMs[[#This Row],[Excluded]] = 0, OR(CRC_War_Room_SIMs[[#This Row],[False Resolution Miss]] &lt;&gt; "", ISNUMBER(SEARCH("False Resolution", CRC_War_Room_SIMs[[#This Row],[Labels]])))), 1, 0)</f>
        <v>0</v>
      </c>
      <c r="P317" s="50">
        <f>IF(AND(CRC_War_Room_SIMs[[#This Row],[Excluded]] = 0, OR(CRC_War_Room_SIMs[[#This Row],[SLA Miss]] &lt;&gt; "", ISNUMBER(SEARCH("SLA", CRC_War_Room_SIMs[[#This Row],[Labels]])))), 1, 0)</f>
        <v>0</v>
      </c>
    </row>
    <row r="318" spans="1:16" x14ac:dyDescent="0.25">
      <c r="A318" t="s">
        <v>2850</v>
      </c>
      <c r="B318" t="s">
        <v>2848</v>
      </c>
      <c r="C318" t="s">
        <v>2831</v>
      </c>
      <c r="H31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18" s="49">
        <f ca="1">IFERROR(WEEKNUM(CRC_War_Room_SIMs[[#This Row],[Ops Date]]), "N/A")</f>
        <v>30</v>
      </c>
      <c r="J31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1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1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18" s="50">
        <f>IF(AND(CRC_War_Room_SIMs[[#This Row],[CI]] = 0, CRC_War_Room_SIMs[[#This Row],[Miss]] = 1), 1, 0)</f>
        <v>0</v>
      </c>
      <c r="N31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18" s="49">
        <f>IF(AND(CRC_War_Room_SIMs[[#This Row],[Excluded]] = 0, OR(CRC_War_Room_SIMs[[#This Row],[False Resolution Miss]] &lt;&gt; "", ISNUMBER(SEARCH("False Resolution", CRC_War_Room_SIMs[[#This Row],[Labels]])))), 1, 0)</f>
        <v>0</v>
      </c>
      <c r="P318" s="50">
        <f>IF(AND(CRC_War_Room_SIMs[[#This Row],[Excluded]] = 0, OR(CRC_War_Room_SIMs[[#This Row],[SLA Miss]] &lt;&gt; "", ISNUMBER(SEARCH("SLA", CRC_War_Room_SIMs[[#This Row],[Labels]])))), 1, 0)</f>
        <v>0</v>
      </c>
    </row>
    <row r="319" spans="1:16" x14ac:dyDescent="0.25">
      <c r="A319" t="s">
        <v>2851</v>
      </c>
      <c r="B319" t="s">
        <v>2848</v>
      </c>
      <c r="C319" t="s">
        <v>2831</v>
      </c>
      <c r="H31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19" s="49">
        <f ca="1">IFERROR(WEEKNUM(CRC_War_Room_SIMs[[#This Row],[Ops Date]]), "N/A")</f>
        <v>30</v>
      </c>
      <c r="J31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1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1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19" s="50">
        <f>IF(AND(CRC_War_Room_SIMs[[#This Row],[CI]] = 0, CRC_War_Room_SIMs[[#This Row],[Miss]] = 1), 1, 0)</f>
        <v>0</v>
      </c>
      <c r="N31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19" s="49">
        <f>IF(AND(CRC_War_Room_SIMs[[#This Row],[Excluded]] = 0, OR(CRC_War_Room_SIMs[[#This Row],[False Resolution Miss]] &lt;&gt; "", ISNUMBER(SEARCH("False Resolution", CRC_War_Room_SIMs[[#This Row],[Labels]])))), 1, 0)</f>
        <v>0</v>
      </c>
      <c r="P319" s="50">
        <f>IF(AND(CRC_War_Room_SIMs[[#This Row],[Excluded]] = 0, OR(CRC_War_Room_SIMs[[#This Row],[SLA Miss]] &lt;&gt; "", ISNUMBER(SEARCH("SLA", CRC_War_Room_SIMs[[#This Row],[Labels]])))), 1, 0)</f>
        <v>0</v>
      </c>
    </row>
    <row r="320" spans="1:16" x14ac:dyDescent="0.25">
      <c r="A320" t="s">
        <v>2852</v>
      </c>
      <c r="B320" t="s">
        <v>2848</v>
      </c>
      <c r="C320" t="s">
        <v>2831</v>
      </c>
      <c r="H32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20" s="49">
        <f ca="1">IFERROR(WEEKNUM(CRC_War_Room_SIMs[[#This Row],[Ops Date]]), "N/A")</f>
        <v>30</v>
      </c>
      <c r="J32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2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2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20" s="50">
        <f>IF(AND(CRC_War_Room_SIMs[[#This Row],[CI]] = 0, CRC_War_Room_SIMs[[#This Row],[Miss]] = 1), 1, 0)</f>
        <v>0</v>
      </c>
      <c r="N32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20" s="49">
        <f>IF(AND(CRC_War_Room_SIMs[[#This Row],[Excluded]] = 0, OR(CRC_War_Room_SIMs[[#This Row],[False Resolution Miss]] &lt;&gt; "", ISNUMBER(SEARCH("False Resolution", CRC_War_Room_SIMs[[#This Row],[Labels]])))), 1, 0)</f>
        <v>0</v>
      </c>
      <c r="P320" s="50">
        <f>IF(AND(CRC_War_Room_SIMs[[#This Row],[Excluded]] = 0, OR(CRC_War_Room_SIMs[[#This Row],[SLA Miss]] &lt;&gt; "", ISNUMBER(SEARCH("SLA", CRC_War_Room_SIMs[[#This Row],[Labels]])))), 1, 0)</f>
        <v>0</v>
      </c>
    </row>
    <row r="321" spans="1:16" x14ac:dyDescent="0.25">
      <c r="A321" t="s">
        <v>2853</v>
      </c>
      <c r="B321" t="s">
        <v>2854</v>
      </c>
      <c r="C321" t="s">
        <v>2831</v>
      </c>
      <c r="H32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21" s="49">
        <f ca="1">IFERROR(WEEKNUM(CRC_War_Room_SIMs[[#This Row],[Ops Date]]), "N/A")</f>
        <v>30</v>
      </c>
      <c r="J32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2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2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21" s="50">
        <f>IF(AND(CRC_War_Room_SIMs[[#This Row],[CI]] = 0, CRC_War_Room_SIMs[[#This Row],[Miss]] = 1), 1, 0)</f>
        <v>0</v>
      </c>
      <c r="N32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21" s="49">
        <f>IF(AND(CRC_War_Room_SIMs[[#This Row],[Excluded]] = 0, OR(CRC_War_Room_SIMs[[#This Row],[False Resolution Miss]] &lt;&gt; "", ISNUMBER(SEARCH("False Resolution", CRC_War_Room_SIMs[[#This Row],[Labels]])))), 1, 0)</f>
        <v>0</v>
      </c>
      <c r="P321" s="50">
        <f>IF(AND(CRC_War_Room_SIMs[[#This Row],[Excluded]] = 0, OR(CRC_War_Room_SIMs[[#This Row],[SLA Miss]] &lt;&gt; "", ISNUMBER(SEARCH("SLA", CRC_War_Room_SIMs[[#This Row],[Labels]])))), 1, 0)</f>
        <v>0</v>
      </c>
    </row>
    <row r="322" spans="1:16" x14ac:dyDescent="0.25">
      <c r="A322" t="s">
        <v>2855</v>
      </c>
      <c r="B322" t="s">
        <v>2848</v>
      </c>
      <c r="C322" t="s">
        <v>2831</v>
      </c>
      <c r="H32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22" s="49">
        <f ca="1">IFERROR(WEEKNUM(CRC_War_Room_SIMs[[#This Row],[Ops Date]]), "N/A")</f>
        <v>30</v>
      </c>
      <c r="J32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2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2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22" s="50">
        <f>IF(AND(CRC_War_Room_SIMs[[#This Row],[CI]] = 0, CRC_War_Room_SIMs[[#This Row],[Miss]] = 1), 1, 0)</f>
        <v>0</v>
      </c>
      <c r="N32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22" s="49">
        <f>IF(AND(CRC_War_Room_SIMs[[#This Row],[Excluded]] = 0, OR(CRC_War_Room_SIMs[[#This Row],[False Resolution Miss]] &lt;&gt; "", ISNUMBER(SEARCH("False Resolution", CRC_War_Room_SIMs[[#This Row],[Labels]])))), 1, 0)</f>
        <v>0</v>
      </c>
      <c r="P322" s="50">
        <f>IF(AND(CRC_War_Room_SIMs[[#This Row],[Excluded]] = 0, OR(CRC_War_Room_SIMs[[#This Row],[SLA Miss]] &lt;&gt; "", ISNUMBER(SEARCH("SLA", CRC_War_Room_SIMs[[#This Row],[Labels]])))), 1, 0)</f>
        <v>0</v>
      </c>
    </row>
    <row r="323" spans="1:16" x14ac:dyDescent="0.25">
      <c r="A323" t="s">
        <v>2856</v>
      </c>
      <c r="B323" t="s">
        <v>2848</v>
      </c>
      <c r="C323" t="s">
        <v>2831</v>
      </c>
      <c r="H32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23" s="49">
        <f ca="1">IFERROR(WEEKNUM(CRC_War_Room_SIMs[[#This Row],[Ops Date]]), "N/A")</f>
        <v>30</v>
      </c>
      <c r="J32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2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2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23" s="50">
        <f>IF(AND(CRC_War_Room_SIMs[[#This Row],[CI]] = 0, CRC_War_Room_SIMs[[#This Row],[Miss]] = 1), 1, 0)</f>
        <v>0</v>
      </c>
      <c r="N32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23" s="49">
        <f>IF(AND(CRC_War_Room_SIMs[[#This Row],[Excluded]] = 0, OR(CRC_War_Room_SIMs[[#This Row],[False Resolution Miss]] &lt;&gt; "", ISNUMBER(SEARCH("False Resolution", CRC_War_Room_SIMs[[#This Row],[Labels]])))), 1, 0)</f>
        <v>0</v>
      </c>
      <c r="P323" s="50">
        <f>IF(AND(CRC_War_Room_SIMs[[#This Row],[Excluded]] = 0, OR(CRC_War_Room_SIMs[[#This Row],[SLA Miss]] &lt;&gt; "", ISNUMBER(SEARCH("SLA", CRC_War_Room_SIMs[[#This Row],[Labels]])))), 1, 0)</f>
        <v>0</v>
      </c>
    </row>
    <row r="324" spans="1:16" x14ac:dyDescent="0.25">
      <c r="A324" t="s">
        <v>2857</v>
      </c>
      <c r="B324" t="s">
        <v>2858</v>
      </c>
      <c r="C324" t="s">
        <v>2831</v>
      </c>
      <c r="H32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24" s="49">
        <f ca="1">IFERROR(WEEKNUM(CRC_War_Room_SIMs[[#This Row],[Ops Date]]), "N/A")</f>
        <v>30</v>
      </c>
      <c r="J32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2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2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24" s="50">
        <f>IF(AND(CRC_War_Room_SIMs[[#This Row],[CI]] = 0, CRC_War_Room_SIMs[[#This Row],[Miss]] = 1), 1, 0)</f>
        <v>0</v>
      </c>
      <c r="N32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24" s="49">
        <f>IF(AND(CRC_War_Room_SIMs[[#This Row],[Excluded]] = 0, OR(CRC_War_Room_SIMs[[#This Row],[False Resolution Miss]] &lt;&gt; "", ISNUMBER(SEARCH("False Resolution", CRC_War_Room_SIMs[[#This Row],[Labels]])))), 1, 0)</f>
        <v>0</v>
      </c>
      <c r="P324" s="50">
        <f>IF(AND(CRC_War_Room_SIMs[[#This Row],[Excluded]] = 0, OR(CRC_War_Room_SIMs[[#This Row],[SLA Miss]] &lt;&gt; "", ISNUMBER(SEARCH("SLA", CRC_War_Room_SIMs[[#This Row],[Labels]])))), 1, 0)</f>
        <v>0</v>
      </c>
    </row>
    <row r="325" spans="1:16" x14ac:dyDescent="0.25">
      <c r="A325" t="s">
        <v>2859</v>
      </c>
      <c r="B325" t="s">
        <v>2854</v>
      </c>
      <c r="C325" t="s">
        <v>2831</v>
      </c>
      <c r="H32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25" s="49">
        <f ca="1">IFERROR(WEEKNUM(CRC_War_Room_SIMs[[#This Row],[Ops Date]]), "N/A")</f>
        <v>30</v>
      </c>
      <c r="J32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2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2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25" s="50">
        <f>IF(AND(CRC_War_Room_SIMs[[#This Row],[CI]] = 0, CRC_War_Room_SIMs[[#This Row],[Miss]] = 1), 1, 0)</f>
        <v>0</v>
      </c>
      <c r="N32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25" s="49">
        <f>IF(AND(CRC_War_Room_SIMs[[#This Row],[Excluded]] = 0, OR(CRC_War_Room_SIMs[[#This Row],[False Resolution Miss]] &lt;&gt; "", ISNUMBER(SEARCH("False Resolution", CRC_War_Room_SIMs[[#This Row],[Labels]])))), 1, 0)</f>
        <v>0</v>
      </c>
      <c r="P325" s="50">
        <f>IF(AND(CRC_War_Room_SIMs[[#This Row],[Excluded]] = 0, OR(CRC_War_Room_SIMs[[#This Row],[SLA Miss]] &lt;&gt; "", ISNUMBER(SEARCH("SLA", CRC_War_Room_SIMs[[#This Row],[Labels]])))), 1, 0)</f>
        <v>0</v>
      </c>
    </row>
    <row r="326" spans="1:16" x14ac:dyDescent="0.25">
      <c r="A326" t="s">
        <v>2860</v>
      </c>
      <c r="B326" t="s">
        <v>2854</v>
      </c>
      <c r="C326" t="s">
        <v>2831</v>
      </c>
      <c r="H32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26" s="49">
        <f ca="1">IFERROR(WEEKNUM(CRC_War_Room_SIMs[[#This Row],[Ops Date]]), "N/A")</f>
        <v>30</v>
      </c>
      <c r="J32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2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2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26" s="50">
        <f>IF(AND(CRC_War_Room_SIMs[[#This Row],[CI]] = 0, CRC_War_Room_SIMs[[#This Row],[Miss]] = 1), 1, 0)</f>
        <v>0</v>
      </c>
      <c r="N32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26" s="49">
        <f>IF(AND(CRC_War_Room_SIMs[[#This Row],[Excluded]] = 0, OR(CRC_War_Room_SIMs[[#This Row],[False Resolution Miss]] &lt;&gt; "", ISNUMBER(SEARCH("False Resolution", CRC_War_Room_SIMs[[#This Row],[Labels]])))), 1, 0)</f>
        <v>0</v>
      </c>
      <c r="P326" s="50">
        <f>IF(AND(CRC_War_Room_SIMs[[#This Row],[Excluded]] = 0, OR(CRC_War_Room_SIMs[[#This Row],[SLA Miss]] &lt;&gt; "", ISNUMBER(SEARCH("SLA", CRC_War_Room_SIMs[[#This Row],[Labels]])))), 1, 0)</f>
        <v>0</v>
      </c>
    </row>
    <row r="327" spans="1:16" x14ac:dyDescent="0.25">
      <c r="A327" t="s">
        <v>2861</v>
      </c>
      <c r="B327" t="s">
        <v>2854</v>
      </c>
      <c r="C327" t="s">
        <v>2831</v>
      </c>
      <c r="H32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27" s="49">
        <f ca="1">IFERROR(WEEKNUM(CRC_War_Room_SIMs[[#This Row],[Ops Date]]), "N/A")</f>
        <v>30</v>
      </c>
      <c r="J32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2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2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27" s="50">
        <f>IF(AND(CRC_War_Room_SIMs[[#This Row],[CI]] = 0, CRC_War_Room_SIMs[[#This Row],[Miss]] = 1), 1, 0)</f>
        <v>0</v>
      </c>
      <c r="N32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27" s="49">
        <f>IF(AND(CRC_War_Room_SIMs[[#This Row],[Excluded]] = 0, OR(CRC_War_Room_SIMs[[#This Row],[False Resolution Miss]] &lt;&gt; "", ISNUMBER(SEARCH("False Resolution", CRC_War_Room_SIMs[[#This Row],[Labels]])))), 1, 0)</f>
        <v>0</v>
      </c>
      <c r="P327" s="50">
        <f>IF(AND(CRC_War_Room_SIMs[[#This Row],[Excluded]] = 0, OR(CRC_War_Room_SIMs[[#This Row],[SLA Miss]] &lt;&gt; "", ISNUMBER(SEARCH("SLA", CRC_War_Room_SIMs[[#This Row],[Labels]])))), 1, 0)</f>
        <v>0</v>
      </c>
    </row>
    <row r="328" spans="1:16" x14ac:dyDescent="0.25">
      <c r="A328" t="s">
        <v>2862</v>
      </c>
      <c r="B328" t="s">
        <v>2854</v>
      </c>
      <c r="C328" t="s">
        <v>2831</v>
      </c>
      <c r="H32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28" s="49">
        <f ca="1">IFERROR(WEEKNUM(CRC_War_Room_SIMs[[#This Row],[Ops Date]]), "N/A")</f>
        <v>30</v>
      </c>
      <c r="J32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2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2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28" s="50">
        <f>IF(AND(CRC_War_Room_SIMs[[#This Row],[CI]] = 0, CRC_War_Room_SIMs[[#This Row],[Miss]] = 1), 1, 0)</f>
        <v>0</v>
      </c>
      <c r="N32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28" s="49">
        <f>IF(AND(CRC_War_Room_SIMs[[#This Row],[Excluded]] = 0, OR(CRC_War_Room_SIMs[[#This Row],[False Resolution Miss]] &lt;&gt; "", ISNUMBER(SEARCH("False Resolution", CRC_War_Room_SIMs[[#This Row],[Labels]])))), 1, 0)</f>
        <v>0</v>
      </c>
      <c r="P328" s="50">
        <f>IF(AND(CRC_War_Room_SIMs[[#This Row],[Excluded]] = 0, OR(CRC_War_Room_SIMs[[#This Row],[SLA Miss]] &lt;&gt; "", ISNUMBER(SEARCH("SLA", CRC_War_Room_SIMs[[#This Row],[Labels]])))), 1, 0)</f>
        <v>0</v>
      </c>
    </row>
    <row r="329" spans="1:16" x14ac:dyDescent="0.25">
      <c r="A329" t="s">
        <v>2863</v>
      </c>
      <c r="B329" t="s">
        <v>2854</v>
      </c>
      <c r="C329" t="s">
        <v>2831</v>
      </c>
      <c r="H32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29" s="49">
        <f ca="1">IFERROR(WEEKNUM(CRC_War_Room_SIMs[[#This Row],[Ops Date]]), "N/A")</f>
        <v>30</v>
      </c>
      <c r="J32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2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2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29" s="50">
        <f>IF(AND(CRC_War_Room_SIMs[[#This Row],[CI]] = 0, CRC_War_Room_SIMs[[#This Row],[Miss]] = 1), 1, 0)</f>
        <v>0</v>
      </c>
      <c r="N32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29" s="49">
        <f>IF(AND(CRC_War_Room_SIMs[[#This Row],[Excluded]] = 0, OR(CRC_War_Room_SIMs[[#This Row],[False Resolution Miss]] &lt;&gt; "", ISNUMBER(SEARCH("False Resolution", CRC_War_Room_SIMs[[#This Row],[Labels]])))), 1, 0)</f>
        <v>0</v>
      </c>
      <c r="P329" s="50">
        <f>IF(AND(CRC_War_Room_SIMs[[#This Row],[Excluded]] = 0, OR(CRC_War_Room_SIMs[[#This Row],[SLA Miss]] &lt;&gt; "", ISNUMBER(SEARCH("SLA", CRC_War_Room_SIMs[[#This Row],[Labels]])))), 1, 0)</f>
        <v>0</v>
      </c>
    </row>
    <row r="330" spans="1:16" x14ac:dyDescent="0.25">
      <c r="A330" t="s">
        <v>2864</v>
      </c>
      <c r="B330" t="s">
        <v>2854</v>
      </c>
      <c r="C330" t="s">
        <v>2831</v>
      </c>
      <c r="H33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30" s="49">
        <f ca="1">IFERROR(WEEKNUM(CRC_War_Room_SIMs[[#This Row],[Ops Date]]), "N/A")</f>
        <v>30</v>
      </c>
      <c r="J33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3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3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30" s="50">
        <f>IF(AND(CRC_War_Room_SIMs[[#This Row],[CI]] = 0, CRC_War_Room_SIMs[[#This Row],[Miss]] = 1), 1, 0)</f>
        <v>0</v>
      </c>
      <c r="N33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30" s="49">
        <f>IF(AND(CRC_War_Room_SIMs[[#This Row],[Excluded]] = 0, OR(CRC_War_Room_SIMs[[#This Row],[False Resolution Miss]] &lt;&gt; "", ISNUMBER(SEARCH("False Resolution", CRC_War_Room_SIMs[[#This Row],[Labels]])))), 1, 0)</f>
        <v>0</v>
      </c>
      <c r="P330" s="50">
        <f>IF(AND(CRC_War_Room_SIMs[[#This Row],[Excluded]] = 0, OR(CRC_War_Room_SIMs[[#This Row],[SLA Miss]] &lt;&gt; "", ISNUMBER(SEARCH("SLA", CRC_War_Room_SIMs[[#This Row],[Labels]])))), 1, 0)</f>
        <v>0</v>
      </c>
    </row>
    <row r="331" spans="1:16" x14ac:dyDescent="0.25">
      <c r="A331" t="s">
        <v>2865</v>
      </c>
      <c r="B331" t="s">
        <v>2866</v>
      </c>
      <c r="C331" t="s">
        <v>2831</v>
      </c>
      <c r="H33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45499</v>
      </c>
      <c r="I331" s="49">
        <f ca="1">IFERROR(WEEKNUM(CRC_War_Room_SIMs[[#This Row],[Ops Date]]), "N/A")</f>
        <v>30</v>
      </c>
      <c r="J33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3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3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31" s="50">
        <f>IF(AND(CRC_War_Room_SIMs[[#This Row],[CI]] = 0, CRC_War_Room_SIMs[[#This Row],[Miss]] = 1), 1, 0)</f>
        <v>0</v>
      </c>
      <c r="N33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31" s="49">
        <f>IF(AND(CRC_War_Room_SIMs[[#This Row],[Excluded]] = 0, OR(CRC_War_Room_SIMs[[#This Row],[False Resolution Miss]] &lt;&gt; "", ISNUMBER(SEARCH("False Resolution", CRC_War_Room_SIMs[[#This Row],[Labels]])))), 1, 0)</f>
        <v>0</v>
      </c>
      <c r="P331" s="50">
        <f>IF(AND(CRC_War_Room_SIMs[[#This Row],[Excluded]] = 0, OR(CRC_War_Room_SIMs[[#This Row],[SLA Miss]] &lt;&gt; "", ISNUMBER(SEARCH("SLA", CRC_War_Room_SIMs[[#This Row],[Labels]])))), 1, 0)</f>
        <v>0</v>
      </c>
    </row>
    <row r="332" spans="1:16" x14ac:dyDescent="0.25">
      <c r="A332" t="s">
        <v>2867</v>
      </c>
      <c r="B332" t="s">
        <v>2789</v>
      </c>
      <c r="C332" t="s">
        <v>2868</v>
      </c>
      <c r="H33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32" s="49">
        <f ca="1">IFERROR(WEEKNUM(CRC_War_Room_SIMs[[#This Row],[Ops Date]]), "N/A")</f>
        <v>30</v>
      </c>
      <c r="J33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3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3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32" s="50">
        <f>IF(AND(CRC_War_Room_SIMs[[#This Row],[CI]] = 0, CRC_War_Room_SIMs[[#This Row],[Miss]] = 1), 1, 0)</f>
        <v>0</v>
      </c>
      <c r="N33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32" s="49">
        <f>IF(AND(CRC_War_Room_SIMs[[#This Row],[Excluded]] = 0, OR(CRC_War_Room_SIMs[[#This Row],[False Resolution Miss]] &lt;&gt; "", ISNUMBER(SEARCH("False Resolution", CRC_War_Room_SIMs[[#This Row],[Labels]])))), 1, 0)</f>
        <v>0</v>
      </c>
      <c r="P332" s="50">
        <f>IF(AND(CRC_War_Room_SIMs[[#This Row],[Excluded]] = 0, OR(CRC_War_Room_SIMs[[#This Row],[SLA Miss]] &lt;&gt; "", ISNUMBER(SEARCH("SLA", CRC_War_Room_SIMs[[#This Row],[Labels]])))), 1, 0)</f>
        <v>0</v>
      </c>
    </row>
    <row r="333" spans="1:16" x14ac:dyDescent="0.25">
      <c r="A333" t="s">
        <v>2869</v>
      </c>
      <c r="B333" t="s">
        <v>2789</v>
      </c>
      <c r="C333" t="s">
        <v>2868</v>
      </c>
      <c r="H33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33" s="49">
        <f ca="1">IFERROR(WEEKNUM(CRC_War_Room_SIMs[[#This Row],[Ops Date]]), "N/A")</f>
        <v>30</v>
      </c>
      <c r="J33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3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3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33" s="50">
        <f>IF(AND(CRC_War_Room_SIMs[[#This Row],[CI]] = 0, CRC_War_Room_SIMs[[#This Row],[Miss]] = 1), 1, 0)</f>
        <v>0</v>
      </c>
      <c r="N33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33" s="49">
        <f>IF(AND(CRC_War_Room_SIMs[[#This Row],[Excluded]] = 0, OR(CRC_War_Room_SIMs[[#This Row],[False Resolution Miss]] &lt;&gt; "", ISNUMBER(SEARCH("False Resolution", CRC_War_Room_SIMs[[#This Row],[Labels]])))), 1, 0)</f>
        <v>0</v>
      </c>
      <c r="P333" s="50">
        <f>IF(AND(CRC_War_Room_SIMs[[#This Row],[Excluded]] = 0, OR(CRC_War_Room_SIMs[[#This Row],[SLA Miss]] &lt;&gt; "", ISNUMBER(SEARCH("SLA", CRC_War_Room_SIMs[[#This Row],[Labels]])))), 1, 0)</f>
        <v>0</v>
      </c>
    </row>
    <row r="334" spans="1:16" x14ac:dyDescent="0.25">
      <c r="A334" t="s">
        <v>2870</v>
      </c>
      <c r="B334" t="s">
        <v>2789</v>
      </c>
      <c r="C334" t="s">
        <v>2868</v>
      </c>
      <c r="H33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34" s="49">
        <f ca="1">IFERROR(WEEKNUM(CRC_War_Room_SIMs[[#This Row],[Ops Date]]), "N/A")</f>
        <v>30</v>
      </c>
      <c r="J33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3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3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34" s="50">
        <f>IF(AND(CRC_War_Room_SIMs[[#This Row],[CI]] = 0, CRC_War_Room_SIMs[[#This Row],[Miss]] = 1), 1, 0)</f>
        <v>0</v>
      </c>
      <c r="N33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34" s="49">
        <f>IF(AND(CRC_War_Room_SIMs[[#This Row],[Excluded]] = 0, OR(CRC_War_Room_SIMs[[#This Row],[False Resolution Miss]] &lt;&gt; "", ISNUMBER(SEARCH("False Resolution", CRC_War_Room_SIMs[[#This Row],[Labels]])))), 1, 0)</f>
        <v>0</v>
      </c>
      <c r="P334" s="50">
        <f>IF(AND(CRC_War_Room_SIMs[[#This Row],[Excluded]] = 0, OR(CRC_War_Room_SIMs[[#This Row],[SLA Miss]] &lt;&gt; "", ISNUMBER(SEARCH("SLA", CRC_War_Room_SIMs[[#This Row],[Labels]])))), 1, 0)</f>
        <v>0</v>
      </c>
    </row>
    <row r="335" spans="1:16" x14ac:dyDescent="0.25">
      <c r="A335" t="s">
        <v>2871</v>
      </c>
      <c r="B335" t="s">
        <v>2789</v>
      </c>
      <c r="C335" t="s">
        <v>2868</v>
      </c>
      <c r="H33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35" s="49">
        <f ca="1">IFERROR(WEEKNUM(CRC_War_Room_SIMs[[#This Row],[Ops Date]]), "N/A")</f>
        <v>30</v>
      </c>
      <c r="J33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3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3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35" s="50">
        <f>IF(AND(CRC_War_Room_SIMs[[#This Row],[CI]] = 0, CRC_War_Room_SIMs[[#This Row],[Miss]] = 1), 1, 0)</f>
        <v>0</v>
      </c>
      <c r="N33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35" s="49">
        <f>IF(AND(CRC_War_Room_SIMs[[#This Row],[Excluded]] = 0, OR(CRC_War_Room_SIMs[[#This Row],[False Resolution Miss]] &lt;&gt; "", ISNUMBER(SEARCH("False Resolution", CRC_War_Room_SIMs[[#This Row],[Labels]])))), 1, 0)</f>
        <v>0</v>
      </c>
      <c r="P335" s="50">
        <f>IF(AND(CRC_War_Room_SIMs[[#This Row],[Excluded]] = 0, OR(CRC_War_Room_SIMs[[#This Row],[SLA Miss]] &lt;&gt; "", ISNUMBER(SEARCH("SLA", CRC_War_Room_SIMs[[#This Row],[Labels]])))), 1, 0)</f>
        <v>0</v>
      </c>
    </row>
    <row r="336" spans="1:16" x14ac:dyDescent="0.25">
      <c r="A336" t="s">
        <v>2872</v>
      </c>
      <c r="B336" t="s">
        <v>2873</v>
      </c>
      <c r="C336" t="s">
        <v>2868</v>
      </c>
      <c r="H33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36" s="49">
        <f ca="1">IFERROR(WEEKNUM(CRC_War_Room_SIMs[[#This Row],[Ops Date]]), "N/A")</f>
        <v>30</v>
      </c>
      <c r="J33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3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3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36" s="50">
        <f>IF(AND(CRC_War_Room_SIMs[[#This Row],[CI]] = 0, CRC_War_Room_SIMs[[#This Row],[Miss]] = 1), 1, 0)</f>
        <v>0</v>
      </c>
      <c r="N33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36" s="49">
        <f>IF(AND(CRC_War_Room_SIMs[[#This Row],[Excluded]] = 0, OR(CRC_War_Room_SIMs[[#This Row],[False Resolution Miss]] &lt;&gt; "", ISNUMBER(SEARCH("False Resolution", CRC_War_Room_SIMs[[#This Row],[Labels]])))), 1, 0)</f>
        <v>0</v>
      </c>
      <c r="P336" s="50">
        <f>IF(AND(CRC_War_Room_SIMs[[#This Row],[Excluded]] = 0, OR(CRC_War_Room_SIMs[[#This Row],[SLA Miss]] &lt;&gt; "", ISNUMBER(SEARCH("SLA", CRC_War_Room_SIMs[[#This Row],[Labels]])))), 1, 0)</f>
        <v>0</v>
      </c>
    </row>
    <row r="337" spans="1:16" x14ac:dyDescent="0.25">
      <c r="A337" t="s">
        <v>2874</v>
      </c>
      <c r="B337" t="s">
        <v>2875</v>
      </c>
      <c r="C337" t="s">
        <v>2868</v>
      </c>
      <c r="H33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37" s="49">
        <f ca="1">IFERROR(WEEKNUM(CRC_War_Room_SIMs[[#This Row],[Ops Date]]), "N/A")</f>
        <v>30</v>
      </c>
      <c r="J33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3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3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37" s="50">
        <f>IF(AND(CRC_War_Room_SIMs[[#This Row],[CI]] = 0, CRC_War_Room_SIMs[[#This Row],[Miss]] = 1), 1, 0)</f>
        <v>0</v>
      </c>
      <c r="N33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37" s="49">
        <f>IF(AND(CRC_War_Room_SIMs[[#This Row],[Excluded]] = 0, OR(CRC_War_Room_SIMs[[#This Row],[False Resolution Miss]] &lt;&gt; "", ISNUMBER(SEARCH("False Resolution", CRC_War_Room_SIMs[[#This Row],[Labels]])))), 1, 0)</f>
        <v>0</v>
      </c>
      <c r="P337" s="50">
        <f>IF(AND(CRC_War_Room_SIMs[[#This Row],[Excluded]] = 0, OR(CRC_War_Room_SIMs[[#This Row],[SLA Miss]] &lt;&gt; "", ISNUMBER(SEARCH("SLA", CRC_War_Room_SIMs[[#This Row],[Labels]])))), 1, 0)</f>
        <v>0</v>
      </c>
    </row>
    <row r="338" spans="1:16" x14ac:dyDescent="0.25">
      <c r="A338" t="s">
        <v>2876</v>
      </c>
      <c r="B338" t="s">
        <v>2877</v>
      </c>
      <c r="C338" t="s">
        <v>2790</v>
      </c>
      <c r="E338" t="s">
        <v>2473</v>
      </c>
      <c r="H33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38" s="49">
        <f ca="1">IFERROR(WEEKNUM(CRC_War_Room_SIMs[[#This Row],[Ops Date]]), "N/A")</f>
        <v>30</v>
      </c>
      <c r="J33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3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33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338" s="50">
        <f>IF(AND(CRC_War_Room_SIMs[[#This Row],[CI]] = 0, CRC_War_Room_SIMs[[#This Row],[Miss]] = 1), 1, 0)</f>
        <v>0</v>
      </c>
      <c r="N338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338" s="49">
        <f>IF(AND(CRC_War_Room_SIMs[[#This Row],[Excluded]] = 0, OR(CRC_War_Room_SIMs[[#This Row],[False Resolution Miss]] &lt;&gt; "", ISNUMBER(SEARCH("False Resolution", CRC_War_Room_SIMs[[#This Row],[Labels]])))), 1, 0)</f>
        <v>0</v>
      </c>
      <c r="P338" s="50">
        <f>IF(AND(CRC_War_Room_SIMs[[#This Row],[Excluded]] = 0, OR(CRC_War_Room_SIMs[[#This Row],[SLA Miss]] &lt;&gt; "", ISNUMBER(SEARCH("SLA", CRC_War_Room_SIMs[[#This Row],[Labels]])))), 1, 0)</f>
        <v>0</v>
      </c>
    </row>
    <row r="339" spans="1:16" x14ac:dyDescent="0.25">
      <c r="A339" t="s">
        <v>2878</v>
      </c>
      <c r="B339" t="s">
        <v>2875</v>
      </c>
      <c r="C339" t="s">
        <v>2868</v>
      </c>
      <c r="H33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39" s="49">
        <f ca="1">IFERROR(WEEKNUM(CRC_War_Room_SIMs[[#This Row],[Ops Date]]), "N/A")</f>
        <v>30</v>
      </c>
      <c r="J33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3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3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39" s="50">
        <f>IF(AND(CRC_War_Room_SIMs[[#This Row],[CI]] = 0, CRC_War_Room_SIMs[[#This Row],[Miss]] = 1), 1, 0)</f>
        <v>0</v>
      </c>
      <c r="N33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39" s="49">
        <f>IF(AND(CRC_War_Room_SIMs[[#This Row],[Excluded]] = 0, OR(CRC_War_Room_SIMs[[#This Row],[False Resolution Miss]] &lt;&gt; "", ISNUMBER(SEARCH("False Resolution", CRC_War_Room_SIMs[[#This Row],[Labels]])))), 1, 0)</f>
        <v>0</v>
      </c>
      <c r="P339" s="50">
        <f>IF(AND(CRC_War_Room_SIMs[[#This Row],[Excluded]] = 0, OR(CRC_War_Room_SIMs[[#This Row],[SLA Miss]] &lt;&gt; "", ISNUMBER(SEARCH("SLA", CRC_War_Room_SIMs[[#This Row],[Labels]])))), 1, 0)</f>
        <v>0</v>
      </c>
    </row>
    <row r="340" spans="1:16" x14ac:dyDescent="0.25">
      <c r="A340" t="s">
        <v>2879</v>
      </c>
      <c r="B340" t="s">
        <v>2880</v>
      </c>
      <c r="C340" t="s">
        <v>2868</v>
      </c>
      <c r="H34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40" s="49">
        <f ca="1">IFERROR(WEEKNUM(CRC_War_Room_SIMs[[#This Row],[Ops Date]]), "N/A")</f>
        <v>30</v>
      </c>
      <c r="J34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4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4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40" s="50">
        <f>IF(AND(CRC_War_Room_SIMs[[#This Row],[CI]] = 0, CRC_War_Room_SIMs[[#This Row],[Miss]] = 1), 1, 0)</f>
        <v>0</v>
      </c>
      <c r="N34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40" s="49">
        <f>IF(AND(CRC_War_Room_SIMs[[#This Row],[Excluded]] = 0, OR(CRC_War_Room_SIMs[[#This Row],[False Resolution Miss]] &lt;&gt; "", ISNUMBER(SEARCH("False Resolution", CRC_War_Room_SIMs[[#This Row],[Labels]])))), 1, 0)</f>
        <v>0</v>
      </c>
      <c r="P340" s="50">
        <f>IF(AND(CRC_War_Room_SIMs[[#This Row],[Excluded]] = 0, OR(CRC_War_Room_SIMs[[#This Row],[SLA Miss]] &lt;&gt; "", ISNUMBER(SEARCH("SLA", CRC_War_Room_SIMs[[#This Row],[Labels]])))), 1, 0)</f>
        <v>0</v>
      </c>
    </row>
    <row r="341" spans="1:16" x14ac:dyDescent="0.25">
      <c r="A341" t="s">
        <v>2881</v>
      </c>
      <c r="B341" t="s">
        <v>2877</v>
      </c>
      <c r="C341" t="s">
        <v>2868</v>
      </c>
      <c r="H34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41" s="49">
        <f ca="1">IFERROR(WEEKNUM(CRC_War_Room_SIMs[[#This Row],[Ops Date]]), "N/A")</f>
        <v>30</v>
      </c>
      <c r="J34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4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4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41" s="50">
        <f>IF(AND(CRC_War_Room_SIMs[[#This Row],[CI]] = 0, CRC_War_Room_SIMs[[#This Row],[Miss]] = 1), 1, 0)</f>
        <v>0</v>
      </c>
      <c r="N34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41" s="49">
        <f>IF(AND(CRC_War_Room_SIMs[[#This Row],[Excluded]] = 0, OR(CRC_War_Room_SIMs[[#This Row],[False Resolution Miss]] &lt;&gt; "", ISNUMBER(SEARCH("False Resolution", CRC_War_Room_SIMs[[#This Row],[Labels]])))), 1, 0)</f>
        <v>0</v>
      </c>
      <c r="P341" s="50">
        <f>IF(AND(CRC_War_Room_SIMs[[#This Row],[Excluded]] = 0, OR(CRC_War_Room_SIMs[[#This Row],[SLA Miss]] &lt;&gt; "", ISNUMBER(SEARCH("SLA", CRC_War_Room_SIMs[[#This Row],[Labels]])))), 1, 0)</f>
        <v>0</v>
      </c>
    </row>
    <row r="342" spans="1:16" x14ac:dyDescent="0.25">
      <c r="A342" t="s">
        <v>2882</v>
      </c>
      <c r="B342" t="s">
        <v>2875</v>
      </c>
      <c r="C342" t="s">
        <v>2868</v>
      </c>
      <c r="H34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42" s="49">
        <f ca="1">IFERROR(WEEKNUM(CRC_War_Room_SIMs[[#This Row],[Ops Date]]), "N/A")</f>
        <v>30</v>
      </c>
      <c r="J34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4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4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42" s="50">
        <f>IF(AND(CRC_War_Room_SIMs[[#This Row],[CI]] = 0, CRC_War_Room_SIMs[[#This Row],[Miss]] = 1), 1, 0)</f>
        <v>0</v>
      </c>
      <c r="N34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42" s="49">
        <f>IF(AND(CRC_War_Room_SIMs[[#This Row],[Excluded]] = 0, OR(CRC_War_Room_SIMs[[#This Row],[False Resolution Miss]] &lt;&gt; "", ISNUMBER(SEARCH("False Resolution", CRC_War_Room_SIMs[[#This Row],[Labels]])))), 1, 0)</f>
        <v>0</v>
      </c>
      <c r="P342" s="50">
        <f>IF(AND(CRC_War_Room_SIMs[[#This Row],[Excluded]] = 0, OR(CRC_War_Room_SIMs[[#This Row],[SLA Miss]] &lt;&gt; "", ISNUMBER(SEARCH("SLA", CRC_War_Room_SIMs[[#This Row],[Labels]])))), 1, 0)</f>
        <v>0</v>
      </c>
    </row>
    <row r="343" spans="1:16" x14ac:dyDescent="0.25">
      <c r="A343" t="s">
        <v>2883</v>
      </c>
      <c r="B343" t="s">
        <v>2877</v>
      </c>
      <c r="C343" t="s">
        <v>2868</v>
      </c>
      <c r="H34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43" s="49">
        <f ca="1">IFERROR(WEEKNUM(CRC_War_Room_SIMs[[#This Row],[Ops Date]]), "N/A")</f>
        <v>30</v>
      </c>
      <c r="J34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4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4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43" s="50">
        <f>IF(AND(CRC_War_Room_SIMs[[#This Row],[CI]] = 0, CRC_War_Room_SIMs[[#This Row],[Miss]] = 1), 1, 0)</f>
        <v>0</v>
      </c>
      <c r="N34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43" s="49">
        <f>IF(AND(CRC_War_Room_SIMs[[#This Row],[Excluded]] = 0, OR(CRC_War_Room_SIMs[[#This Row],[False Resolution Miss]] &lt;&gt; "", ISNUMBER(SEARCH("False Resolution", CRC_War_Room_SIMs[[#This Row],[Labels]])))), 1, 0)</f>
        <v>0</v>
      </c>
      <c r="P343" s="50">
        <f>IF(AND(CRC_War_Room_SIMs[[#This Row],[Excluded]] = 0, OR(CRC_War_Room_SIMs[[#This Row],[SLA Miss]] &lt;&gt; "", ISNUMBER(SEARCH("SLA", CRC_War_Room_SIMs[[#This Row],[Labels]])))), 1, 0)</f>
        <v>0</v>
      </c>
    </row>
    <row r="344" spans="1:16" x14ac:dyDescent="0.25">
      <c r="A344" t="s">
        <v>2884</v>
      </c>
      <c r="B344" t="s">
        <v>2875</v>
      </c>
      <c r="C344" t="s">
        <v>2868</v>
      </c>
      <c r="H34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44" s="49">
        <f ca="1">IFERROR(WEEKNUM(CRC_War_Room_SIMs[[#This Row],[Ops Date]]), "N/A")</f>
        <v>30</v>
      </c>
      <c r="J34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4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4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44" s="50">
        <f>IF(AND(CRC_War_Room_SIMs[[#This Row],[CI]] = 0, CRC_War_Room_SIMs[[#This Row],[Miss]] = 1), 1, 0)</f>
        <v>0</v>
      </c>
      <c r="N34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44" s="49">
        <f>IF(AND(CRC_War_Room_SIMs[[#This Row],[Excluded]] = 0, OR(CRC_War_Room_SIMs[[#This Row],[False Resolution Miss]] &lt;&gt; "", ISNUMBER(SEARCH("False Resolution", CRC_War_Room_SIMs[[#This Row],[Labels]])))), 1, 0)</f>
        <v>0</v>
      </c>
      <c r="P344" s="50">
        <f>IF(AND(CRC_War_Room_SIMs[[#This Row],[Excluded]] = 0, OR(CRC_War_Room_SIMs[[#This Row],[SLA Miss]] &lt;&gt; "", ISNUMBER(SEARCH("SLA", CRC_War_Room_SIMs[[#This Row],[Labels]])))), 1, 0)</f>
        <v>0</v>
      </c>
    </row>
    <row r="345" spans="1:16" x14ac:dyDescent="0.25">
      <c r="A345" t="s">
        <v>2885</v>
      </c>
      <c r="B345" t="s">
        <v>2880</v>
      </c>
      <c r="C345" t="s">
        <v>2868</v>
      </c>
      <c r="H34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45" s="49">
        <f ca="1">IFERROR(WEEKNUM(CRC_War_Room_SIMs[[#This Row],[Ops Date]]), "N/A")</f>
        <v>30</v>
      </c>
      <c r="J34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4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4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45" s="50">
        <f>IF(AND(CRC_War_Room_SIMs[[#This Row],[CI]] = 0, CRC_War_Room_SIMs[[#This Row],[Miss]] = 1), 1, 0)</f>
        <v>0</v>
      </c>
      <c r="N34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45" s="49">
        <f>IF(AND(CRC_War_Room_SIMs[[#This Row],[Excluded]] = 0, OR(CRC_War_Room_SIMs[[#This Row],[False Resolution Miss]] &lt;&gt; "", ISNUMBER(SEARCH("False Resolution", CRC_War_Room_SIMs[[#This Row],[Labels]])))), 1, 0)</f>
        <v>0</v>
      </c>
      <c r="P345" s="50">
        <f>IF(AND(CRC_War_Room_SIMs[[#This Row],[Excluded]] = 0, OR(CRC_War_Room_SIMs[[#This Row],[SLA Miss]] &lt;&gt; "", ISNUMBER(SEARCH("SLA", CRC_War_Room_SIMs[[#This Row],[Labels]])))), 1, 0)</f>
        <v>0</v>
      </c>
    </row>
    <row r="346" spans="1:16" x14ac:dyDescent="0.25">
      <c r="A346" t="s">
        <v>2886</v>
      </c>
      <c r="B346" t="s">
        <v>2873</v>
      </c>
      <c r="C346" t="s">
        <v>2868</v>
      </c>
      <c r="H34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46" s="49">
        <f ca="1">IFERROR(WEEKNUM(CRC_War_Room_SIMs[[#This Row],[Ops Date]]), "N/A")</f>
        <v>30</v>
      </c>
      <c r="J34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4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4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46" s="50">
        <f>IF(AND(CRC_War_Room_SIMs[[#This Row],[CI]] = 0, CRC_War_Room_SIMs[[#This Row],[Miss]] = 1), 1, 0)</f>
        <v>0</v>
      </c>
      <c r="N34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46" s="49">
        <f>IF(AND(CRC_War_Room_SIMs[[#This Row],[Excluded]] = 0, OR(CRC_War_Room_SIMs[[#This Row],[False Resolution Miss]] &lt;&gt; "", ISNUMBER(SEARCH("False Resolution", CRC_War_Room_SIMs[[#This Row],[Labels]])))), 1, 0)</f>
        <v>0</v>
      </c>
      <c r="P346" s="50">
        <f>IF(AND(CRC_War_Room_SIMs[[#This Row],[Excluded]] = 0, OR(CRC_War_Room_SIMs[[#This Row],[SLA Miss]] &lt;&gt; "", ISNUMBER(SEARCH("SLA", CRC_War_Room_SIMs[[#This Row],[Labels]])))), 1, 0)</f>
        <v>0</v>
      </c>
    </row>
    <row r="347" spans="1:16" x14ac:dyDescent="0.25">
      <c r="A347" t="s">
        <v>2887</v>
      </c>
      <c r="B347" t="s">
        <v>2875</v>
      </c>
      <c r="C347" t="s">
        <v>2868</v>
      </c>
      <c r="H34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47" s="49">
        <f ca="1">IFERROR(WEEKNUM(CRC_War_Room_SIMs[[#This Row],[Ops Date]]), "N/A")</f>
        <v>30</v>
      </c>
      <c r="J34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4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4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47" s="50">
        <f>IF(AND(CRC_War_Room_SIMs[[#This Row],[CI]] = 0, CRC_War_Room_SIMs[[#This Row],[Miss]] = 1), 1, 0)</f>
        <v>0</v>
      </c>
      <c r="N34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47" s="49">
        <f>IF(AND(CRC_War_Room_SIMs[[#This Row],[Excluded]] = 0, OR(CRC_War_Room_SIMs[[#This Row],[False Resolution Miss]] &lt;&gt; "", ISNUMBER(SEARCH("False Resolution", CRC_War_Room_SIMs[[#This Row],[Labels]])))), 1, 0)</f>
        <v>0</v>
      </c>
      <c r="P347" s="50">
        <f>IF(AND(CRC_War_Room_SIMs[[#This Row],[Excluded]] = 0, OR(CRC_War_Room_SIMs[[#This Row],[SLA Miss]] &lt;&gt; "", ISNUMBER(SEARCH("SLA", CRC_War_Room_SIMs[[#This Row],[Labels]])))), 1, 0)</f>
        <v>0</v>
      </c>
    </row>
    <row r="348" spans="1:16" x14ac:dyDescent="0.25">
      <c r="A348" t="s">
        <v>2888</v>
      </c>
      <c r="B348" t="s">
        <v>2873</v>
      </c>
      <c r="C348" t="s">
        <v>2868</v>
      </c>
      <c r="H34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48" s="49">
        <f ca="1">IFERROR(WEEKNUM(CRC_War_Room_SIMs[[#This Row],[Ops Date]]), "N/A")</f>
        <v>30</v>
      </c>
      <c r="J34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4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4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48" s="50">
        <f>IF(AND(CRC_War_Room_SIMs[[#This Row],[CI]] = 0, CRC_War_Room_SIMs[[#This Row],[Miss]] = 1), 1, 0)</f>
        <v>0</v>
      </c>
      <c r="N34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48" s="49">
        <f>IF(AND(CRC_War_Room_SIMs[[#This Row],[Excluded]] = 0, OR(CRC_War_Room_SIMs[[#This Row],[False Resolution Miss]] &lt;&gt; "", ISNUMBER(SEARCH("False Resolution", CRC_War_Room_SIMs[[#This Row],[Labels]])))), 1, 0)</f>
        <v>0</v>
      </c>
      <c r="P348" s="50">
        <f>IF(AND(CRC_War_Room_SIMs[[#This Row],[Excluded]] = 0, OR(CRC_War_Room_SIMs[[#This Row],[SLA Miss]] &lt;&gt; "", ISNUMBER(SEARCH("SLA", CRC_War_Room_SIMs[[#This Row],[Labels]])))), 1, 0)</f>
        <v>0</v>
      </c>
    </row>
    <row r="349" spans="1:16" x14ac:dyDescent="0.25">
      <c r="A349" t="s">
        <v>2889</v>
      </c>
      <c r="B349" t="s">
        <v>2880</v>
      </c>
      <c r="C349" t="s">
        <v>2868</v>
      </c>
      <c r="H34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49" s="49">
        <f ca="1">IFERROR(WEEKNUM(CRC_War_Room_SIMs[[#This Row],[Ops Date]]), "N/A")</f>
        <v>30</v>
      </c>
      <c r="J34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4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4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49" s="50">
        <f>IF(AND(CRC_War_Room_SIMs[[#This Row],[CI]] = 0, CRC_War_Room_SIMs[[#This Row],[Miss]] = 1), 1, 0)</f>
        <v>0</v>
      </c>
      <c r="N34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49" s="49">
        <f>IF(AND(CRC_War_Room_SIMs[[#This Row],[Excluded]] = 0, OR(CRC_War_Room_SIMs[[#This Row],[False Resolution Miss]] &lt;&gt; "", ISNUMBER(SEARCH("False Resolution", CRC_War_Room_SIMs[[#This Row],[Labels]])))), 1, 0)</f>
        <v>0</v>
      </c>
      <c r="P349" s="50">
        <f>IF(AND(CRC_War_Room_SIMs[[#This Row],[Excluded]] = 0, OR(CRC_War_Room_SIMs[[#This Row],[SLA Miss]] &lt;&gt; "", ISNUMBER(SEARCH("SLA", CRC_War_Room_SIMs[[#This Row],[Labels]])))), 1, 0)</f>
        <v>0</v>
      </c>
    </row>
    <row r="350" spans="1:16" x14ac:dyDescent="0.25">
      <c r="A350" t="s">
        <v>2890</v>
      </c>
      <c r="B350" t="s">
        <v>2875</v>
      </c>
      <c r="C350" t="s">
        <v>2868</v>
      </c>
      <c r="H35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50" s="49">
        <f ca="1">IFERROR(WEEKNUM(CRC_War_Room_SIMs[[#This Row],[Ops Date]]), "N/A")</f>
        <v>30</v>
      </c>
      <c r="J35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5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5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50" s="50">
        <f>IF(AND(CRC_War_Room_SIMs[[#This Row],[CI]] = 0, CRC_War_Room_SIMs[[#This Row],[Miss]] = 1), 1, 0)</f>
        <v>0</v>
      </c>
      <c r="N35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50" s="49">
        <f>IF(AND(CRC_War_Room_SIMs[[#This Row],[Excluded]] = 0, OR(CRC_War_Room_SIMs[[#This Row],[False Resolution Miss]] &lt;&gt; "", ISNUMBER(SEARCH("False Resolution", CRC_War_Room_SIMs[[#This Row],[Labels]])))), 1, 0)</f>
        <v>0</v>
      </c>
      <c r="P350" s="50">
        <f>IF(AND(CRC_War_Room_SIMs[[#This Row],[Excluded]] = 0, OR(CRC_War_Room_SIMs[[#This Row],[SLA Miss]] &lt;&gt; "", ISNUMBER(SEARCH("SLA", CRC_War_Room_SIMs[[#This Row],[Labels]])))), 1, 0)</f>
        <v>0</v>
      </c>
    </row>
    <row r="351" spans="1:16" x14ac:dyDescent="0.25">
      <c r="A351" t="s">
        <v>2891</v>
      </c>
      <c r="B351" t="s">
        <v>2873</v>
      </c>
      <c r="C351" t="s">
        <v>2868</v>
      </c>
      <c r="H35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51" s="49">
        <f ca="1">IFERROR(WEEKNUM(CRC_War_Room_SIMs[[#This Row],[Ops Date]]), "N/A")</f>
        <v>30</v>
      </c>
      <c r="J35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5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5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51" s="50">
        <f>IF(AND(CRC_War_Room_SIMs[[#This Row],[CI]] = 0, CRC_War_Room_SIMs[[#This Row],[Miss]] = 1), 1, 0)</f>
        <v>0</v>
      </c>
      <c r="N35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51" s="49">
        <f>IF(AND(CRC_War_Room_SIMs[[#This Row],[Excluded]] = 0, OR(CRC_War_Room_SIMs[[#This Row],[False Resolution Miss]] &lt;&gt; "", ISNUMBER(SEARCH("False Resolution", CRC_War_Room_SIMs[[#This Row],[Labels]])))), 1, 0)</f>
        <v>0</v>
      </c>
      <c r="P351" s="50">
        <f>IF(AND(CRC_War_Room_SIMs[[#This Row],[Excluded]] = 0, OR(CRC_War_Room_SIMs[[#This Row],[SLA Miss]] &lt;&gt; "", ISNUMBER(SEARCH("SLA", CRC_War_Room_SIMs[[#This Row],[Labels]])))), 1, 0)</f>
        <v>0</v>
      </c>
    </row>
    <row r="352" spans="1:16" x14ac:dyDescent="0.25">
      <c r="A352" t="s">
        <v>2892</v>
      </c>
      <c r="B352" t="s">
        <v>2875</v>
      </c>
      <c r="C352" t="s">
        <v>2868</v>
      </c>
      <c r="H35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52" s="49">
        <f ca="1">IFERROR(WEEKNUM(CRC_War_Room_SIMs[[#This Row],[Ops Date]]), "N/A")</f>
        <v>30</v>
      </c>
      <c r="J35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5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5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52" s="50">
        <f>IF(AND(CRC_War_Room_SIMs[[#This Row],[CI]] = 0, CRC_War_Room_SIMs[[#This Row],[Miss]] = 1), 1, 0)</f>
        <v>0</v>
      </c>
      <c r="N35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52" s="49">
        <f>IF(AND(CRC_War_Room_SIMs[[#This Row],[Excluded]] = 0, OR(CRC_War_Room_SIMs[[#This Row],[False Resolution Miss]] &lt;&gt; "", ISNUMBER(SEARCH("False Resolution", CRC_War_Room_SIMs[[#This Row],[Labels]])))), 1, 0)</f>
        <v>0</v>
      </c>
      <c r="P352" s="50">
        <f>IF(AND(CRC_War_Room_SIMs[[#This Row],[Excluded]] = 0, OR(CRC_War_Room_SIMs[[#This Row],[SLA Miss]] &lt;&gt; "", ISNUMBER(SEARCH("SLA", CRC_War_Room_SIMs[[#This Row],[Labels]])))), 1, 0)</f>
        <v>0</v>
      </c>
    </row>
    <row r="353" spans="1:16" x14ac:dyDescent="0.25">
      <c r="A353" t="s">
        <v>2893</v>
      </c>
      <c r="B353" t="s">
        <v>2873</v>
      </c>
      <c r="C353" t="s">
        <v>2868</v>
      </c>
      <c r="H35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53" s="49">
        <f ca="1">IFERROR(WEEKNUM(CRC_War_Room_SIMs[[#This Row],[Ops Date]]), "N/A")</f>
        <v>30</v>
      </c>
      <c r="J35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5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5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53" s="50">
        <f>IF(AND(CRC_War_Room_SIMs[[#This Row],[CI]] = 0, CRC_War_Room_SIMs[[#This Row],[Miss]] = 1), 1, 0)</f>
        <v>0</v>
      </c>
      <c r="N35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53" s="49">
        <f>IF(AND(CRC_War_Room_SIMs[[#This Row],[Excluded]] = 0, OR(CRC_War_Room_SIMs[[#This Row],[False Resolution Miss]] &lt;&gt; "", ISNUMBER(SEARCH("False Resolution", CRC_War_Room_SIMs[[#This Row],[Labels]])))), 1, 0)</f>
        <v>0</v>
      </c>
      <c r="P353" s="50">
        <f>IF(AND(CRC_War_Room_SIMs[[#This Row],[Excluded]] = 0, OR(CRC_War_Room_SIMs[[#This Row],[SLA Miss]] &lt;&gt; "", ISNUMBER(SEARCH("SLA", CRC_War_Room_SIMs[[#This Row],[Labels]])))), 1, 0)</f>
        <v>0</v>
      </c>
    </row>
    <row r="354" spans="1:16" x14ac:dyDescent="0.25">
      <c r="A354" t="s">
        <v>2894</v>
      </c>
      <c r="B354" t="s">
        <v>2880</v>
      </c>
      <c r="C354" t="s">
        <v>2868</v>
      </c>
      <c r="H35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54" s="49">
        <f ca="1">IFERROR(WEEKNUM(CRC_War_Room_SIMs[[#This Row],[Ops Date]]), "N/A")</f>
        <v>30</v>
      </c>
      <c r="J35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5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5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54" s="50">
        <f>IF(AND(CRC_War_Room_SIMs[[#This Row],[CI]] = 0, CRC_War_Room_SIMs[[#This Row],[Miss]] = 1), 1, 0)</f>
        <v>0</v>
      </c>
      <c r="N35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54" s="49">
        <f>IF(AND(CRC_War_Room_SIMs[[#This Row],[Excluded]] = 0, OR(CRC_War_Room_SIMs[[#This Row],[False Resolution Miss]] &lt;&gt; "", ISNUMBER(SEARCH("False Resolution", CRC_War_Room_SIMs[[#This Row],[Labels]])))), 1, 0)</f>
        <v>0</v>
      </c>
      <c r="P354" s="50">
        <f>IF(AND(CRC_War_Room_SIMs[[#This Row],[Excluded]] = 0, OR(CRC_War_Room_SIMs[[#This Row],[SLA Miss]] &lt;&gt; "", ISNUMBER(SEARCH("SLA", CRC_War_Room_SIMs[[#This Row],[Labels]])))), 1, 0)</f>
        <v>0</v>
      </c>
    </row>
    <row r="355" spans="1:16" x14ac:dyDescent="0.25">
      <c r="A355" t="s">
        <v>2895</v>
      </c>
      <c r="B355" t="s">
        <v>2875</v>
      </c>
      <c r="C355" t="s">
        <v>2868</v>
      </c>
      <c r="H35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55" s="49">
        <f ca="1">IFERROR(WEEKNUM(CRC_War_Room_SIMs[[#This Row],[Ops Date]]), "N/A")</f>
        <v>30</v>
      </c>
      <c r="J35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5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5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55" s="50">
        <f>IF(AND(CRC_War_Room_SIMs[[#This Row],[CI]] = 0, CRC_War_Room_SIMs[[#This Row],[Miss]] = 1), 1, 0)</f>
        <v>0</v>
      </c>
      <c r="N35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55" s="49">
        <f>IF(AND(CRC_War_Room_SIMs[[#This Row],[Excluded]] = 0, OR(CRC_War_Room_SIMs[[#This Row],[False Resolution Miss]] &lt;&gt; "", ISNUMBER(SEARCH("False Resolution", CRC_War_Room_SIMs[[#This Row],[Labels]])))), 1, 0)</f>
        <v>0</v>
      </c>
      <c r="P355" s="50">
        <f>IF(AND(CRC_War_Room_SIMs[[#This Row],[Excluded]] = 0, OR(CRC_War_Room_SIMs[[#This Row],[SLA Miss]] &lt;&gt; "", ISNUMBER(SEARCH("SLA", CRC_War_Room_SIMs[[#This Row],[Labels]])))), 1, 0)</f>
        <v>0</v>
      </c>
    </row>
    <row r="356" spans="1:16" x14ac:dyDescent="0.25">
      <c r="A356" t="s">
        <v>2896</v>
      </c>
      <c r="B356" t="s">
        <v>2873</v>
      </c>
      <c r="C356" t="s">
        <v>2868</v>
      </c>
      <c r="H35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56" s="49">
        <f ca="1">IFERROR(WEEKNUM(CRC_War_Room_SIMs[[#This Row],[Ops Date]]), "N/A")</f>
        <v>30</v>
      </c>
      <c r="J35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5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5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56" s="50">
        <f>IF(AND(CRC_War_Room_SIMs[[#This Row],[CI]] = 0, CRC_War_Room_SIMs[[#This Row],[Miss]] = 1), 1, 0)</f>
        <v>0</v>
      </c>
      <c r="N35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56" s="49">
        <f>IF(AND(CRC_War_Room_SIMs[[#This Row],[Excluded]] = 0, OR(CRC_War_Room_SIMs[[#This Row],[False Resolution Miss]] &lt;&gt; "", ISNUMBER(SEARCH("False Resolution", CRC_War_Room_SIMs[[#This Row],[Labels]])))), 1, 0)</f>
        <v>0</v>
      </c>
      <c r="P356" s="50">
        <f>IF(AND(CRC_War_Room_SIMs[[#This Row],[Excluded]] = 0, OR(CRC_War_Room_SIMs[[#This Row],[SLA Miss]] &lt;&gt; "", ISNUMBER(SEARCH("SLA", CRC_War_Room_SIMs[[#This Row],[Labels]])))), 1, 0)</f>
        <v>0</v>
      </c>
    </row>
    <row r="357" spans="1:16" x14ac:dyDescent="0.25">
      <c r="A357" t="s">
        <v>2897</v>
      </c>
      <c r="B357" t="s">
        <v>2875</v>
      </c>
      <c r="C357" t="s">
        <v>2790</v>
      </c>
      <c r="E357" t="s">
        <v>2898</v>
      </c>
      <c r="H35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57" s="49">
        <f ca="1">IFERROR(WEEKNUM(CRC_War_Room_SIMs[[#This Row],[Ops Date]]), "N/A")</f>
        <v>30</v>
      </c>
      <c r="J35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5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35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357" s="50">
        <f>IF(AND(CRC_War_Room_SIMs[[#This Row],[CI]] = 0, CRC_War_Room_SIMs[[#This Row],[Miss]] = 1), 1, 0)</f>
        <v>0</v>
      </c>
      <c r="N357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357" s="49">
        <f>IF(AND(CRC_War_Room_SIMs[[#This Row],[Excluded]] = 0, OR(CRC_War_Room_SIMs[[#This Row],[False Resolution Miss]] &lt;&gt; "", ISNUMBER(SEARCH("False Resolution", CRC_War_Room_SIMs[[#This Row],[Labels]])))), 1, 0)</f>
        <v>0</v>
      </c>
      <c r="P357" s="50">
        <f>IF(AND(CRC_War_Room_SIMs[[#This Row],[Excluded]] = 0, OR(CRC_War_Room_SIMs[[#This Row],[SLA Miss]] &lt;&gt; "", ISNUMBER(SEARCH("SLA", CRC_War_Room_SIMs[[#This Row],[Labels]])))), 1, 0)</f>
        <v>0</v>
      </c>
    </row>
    <row r="358" spans="1:16" x14ac:dyDescent="0.25">
      <c r="A358" t="s">
        <v>2899</v>
      </c>
      <c r="B358" t="s">
        <v>2873</v>
      </c>
      <c r="C358" t="s">
        <v>2868</v>
      </c>
      <c r="H35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58" s="49">
        <f ca="1">IFERROR(WEEKNUM(CRC_War_Room_SIMs[[#This Row],[Ops Date]]), "N/A")</f>
        <v>30</v>
      </c>
      <c r="J35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5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5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58" s="50">
        <f>IF(AND(CRC_War_Room_SIMs[[#This Row],[CI]] = 0, CRC_War_Room_SIMs[[#This Row],[Miss]] = 1), 1, 0)</f>
        <v>0</v>
      </c>
      <c r="N35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58" s="49">
        <f>IF(AND(CRC_War_Room_SIMs[[#This Row],[Excluded]] = 0, OR(CRC_War_Room_SIMs[[#This Row],[False Resolution Miss]] &lt;&gt; "", ISNUMBER(SEARCH("False Resolution", CRC_War_Room_SIMs[[#This Row],[Labels]])))), 1, 0)</f>
        <v>0</v>
      </c>
      <c r="P358" s="50">
        <f>IF(AND(CRC_War_Room_SIMs[[#This Row],[Excluded]] = 0, OR(CRC_War_Room_SIMs[[#This Row],[SLA Miss]] &lt;&gt; "", ISNUMBER(SEARCH("SLA", CRC_War_Room_SIMs[[#This Row],[Labels]])))), 1, 0)</f>
        <v>0</v>
      </c>
    </row>
    <row r="359" spans="1:16" x14ac:dyDescent="0.25">
      <c r="A359" t="s">
        <v>2900</v>
      </c>
      <c r="B359" t="s">
        <v>2880</v>
      </c>
      <c r="C359" t="s">
        <v>2868</v>
      </c>
      <c r="H35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59" s="49">
        <f ca="1">IFERROR(WEEKNUM(CRC_War_Room_SIMs[[#This Row],[Ops Date]]), "N/A")</f>
        <v>30</v>
      </c>
      <c r="J35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5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5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59" s="50">
        <f>IF(AND(CRC_War_Room_SIMs[[#This Row],[CI]] = 0, CRC_War_Room_SIMs[[#This Row],[Miss]] = 1), 1, 0)</f>
        <v>0</v>
      </c>
      <c r="N35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59" s="49">
        <f>IF(AND(CRC_War_Room_SIMs[[#This Row],[Excluded]] = 0, OR(CRC_War_Room_SIMs[[#This Row],[False Resolution Miss]] &lt;&gt; "", ISNUMBER(SEARCH("False Resolution", CRC_War_Room_SIMs[[#This Row],[Labels]])))), 1, 0)</f>
        <v>0</v>
      </c>
      <c r="P359" s="50">
        <f>IF(AND(CRC_War_Room_SIMs[[#This Row],[Excluded]] = 0, OR(CRC_War_Room_SIMs[[#This Row],[SLA Miss]] &lt;&gt; "", ISNUMBER(SEARCH("SLA", CRC_War_Room_SIMs[[#This Row],[Labels]])))), 1, 0)</f>
        <v>0</v>
      </c>
    </row>
    <row r="360" spans="1:16" x14ac:dyDescent="0.25">
      <c r="A360" t="s">
        <v>2901</v>
      </c>
      <c r="B360" t="s">
        <v>2875</v>
      </c>
      <c r="C360" t="s">
        <v>2868</v>
      </c>
      <c r="H36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60" s="49">
        <f ca="1">IFERROR(WEEKNUM(CRC_War_Room_SIMs[[#This Row],[Ops Date]]), "N/A")</f>
        <v>30</v>
      </c>
      <c r="J36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6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6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60" s="50">
        <f>IF(AND(CRC_War_Room_SIMs[[#This Row],[CI]] = 0, CRC_War_Room_SIMs[[#This Row],[Miss]] = 1), 1, 0)</f>
        <v>0</v>
      </c>
      <c r="N36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60" s="49">
        <f>IF(AND(CRC_War_Room_SIMs[[#This Row],[Excluded]] = 0, OR(CRC_War_Room_SIMs[[#This Row],[False Resolution Miss]] &lt;&gt; "", ISNUMBER(SEARCH("False Resolution", CRC_War_Room_SIMs[[#This Row],[Labels]])))), 1, 0)</f>
        <v>0</v>
      </c>
      <c r="P360" s="50">
        <f>IF(AND(CRC_War_Room_SIMs[[#This Row],[Excluded]] = 0, OR(CRC_War_Room_SIMs[[#This Row],[SLA Miss]] &lt;&gt; "", ISNUMBER(SEARCH("SLA", CRC_War_Room_SIMs[[#This Row],[Labels]])))), 1, 0)</f>
        <v>0</v>
      </c>
    </row>
    <row r="361" spans="1:16" x14ac:dyDescent="0.25">
      <c r="A361" t="s">
        <v>2902</v>
      </c>
      <c r="B361" t="s">
        <v>2873</v>
      </c>
      <c r="C361" t="s">
        <v>2868</v>
      </c>
      <c r="H36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61" s="49">
        <f ca="1">IFERROR(WEEKNUM(CRC_War_Room_SIMs[[#This Row],[Ops Date]]), "N/A")</f>
        <v>30</v>
      </c>
      <c r="J36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6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6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61" s="50">
        <f>IF(AND(CRC_War_Room_SIMs[[#This Row],[CI]] = 0, CRC_War_Room_SIMs[[#This Row],[Miss]] = 1), 1, 0)</f>
        <v>0</v>
      </c>
      <c r="N36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61" s="49">
        <f>IF(AND(CRC_War_Room_SIMs[[#This Row],[Excluded]] = 0, OR(CRC_War_Room_SIMs[[#This Row],[False Resolution Miss]] &lt;&gt; "", ISNUMBER(SEARCH("False Resolution", CRC_War_Room_SIMs[[#This Row],[Labels]])))), 1, 0)</f>
        <v>0</v>
      </c>
      <c r="P361" s="50">
        <f>IF(AND(CRC_War_Room_SIMs[[#This Row],[Excluded]] = 0, OR(CRC_War_Room_SIMs[[#This Row],[SLA Miss]] &lt;&gt; "", ISNUMBER(SEARCH("SLA", CRC_War_Room_SIMs[[#This Row],[Labels]])))), 1, 0)</f>
        <v>0</v>
      </c>
    </row>
    <row r="362" spans="1:16" x14ac:dyDescent="0.25">
      <c r="A362" t="s">
        <v>2903</v>
      </c>
      <c r="B362" t="s">
        <v>2875</v>
      </c>
      <c r="C362" t="s">
        <v>2868</v>
      </c>
      <c r="H36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62" s="49">
        <f ca="1">IFERROR(WEEKNUM(CRC_War_Room_SIMs[[#This Row],[Ops Date]]), "N/A")</f>
        <v>30</v>
      </c>
      <c r="J36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6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6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62" s="50">
        <f>IF(AND(CRC_War_Room_SIMs[[#This Row],[CI]] = 0, CRC_War_Room_SIMs[[#This Row],[Miss]] = 1), 1, 0)</f>
        <v>0</v>
      </c>
      <c r="N36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62" s="49">
        <f>IF(AND(CRC_War_Room_SIMs[[#This Row],[Excluded]] = 0, OR(CRC_War_Room_SIMs[[#This Row],[False Resolution Miss]] &lt;&gt; "", ISNUMBER(SEARCH("False Resolution", CRC_War_Room_SIMs[[#This Row],[Labels]])))), 1, 0)</f>
        <v>0</v>
      </c>
      <c r="P362" s="50">
        <f>IF(AND(CRC_War_Room_SIMs[[#This Row],[Excluded]] = 0, OR(CRC_War_Room_SIMs[[#This Row],[SLA Miss]] &lt;&gt; "", ISNUMBER(SEARCH("SLA", CRC_War_Room_SIMs[[#This Row],[Labels]])))), 1, 0)</f>
        <v>0</v>
      </c>
    </row>
    <row r="363" spans="1:16" x14ac:dyDescent="0.25">
      <c r="A363" t="s">
        <v>2904</v>
      </c>
      <c r="B363" t="s">
        <v>2873</v>
      </c>
      <c r="C363" t="s">
        <v>2868</v>
      </c>
      <c r="H36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63" s="49">
        <f ca="1">IFERROR(WEEKNUM(CRC_War_Room_SIMs[[#This Row],[Ops Date]]), "N/A")</f>
        <v>30</v>
      </c>
      <c r="J36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6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6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63" s="50">
        <f>IF(AND(CRC_War_Room_SIMs[[#This Row],[CI]] = 0, CRC_War_Room_SIMs[[#This Row],[Miss]] = 1), 1, 0)</f>
        <v>0</v>
      </c>
      <c r="N36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63" s="49">
        <f>IF(AND(CRC_War_Room_SIMs[[#This Row],[Excluded]] = 0, OR(CRC_War_Room_SIMs[[#This Row],[False Resolution Miss]] &lt;&gt; "", ISNUMBER(SEARCH("False Resolution", CRC_War_Room_SIMs[[#This Row],[Labels]])))), 1, 0)</f>
        <v>0</v>
      </c>
      <c r="P363" s="50">
        <f>IF(AND(CRC_War_Room_SIMs[[#This Row],[Excluded]] = 0, OR(CRC_War_Room_SIMs[[#This Row],[SLA Miss]] &lt;&gt; "", ISNUMBER(SEARCH("SLA", CRC_War_Room_SIMs[[#This Row],[Labels]])))), 1, 0)</f>
        <v>0</v>
      </c>
    </row>
    <row r="364" spans="1:16" x14ac:dyDescent="0.25">
      <c r="A364" t="s">
        <v>2905</v>
      </c>
      <c r="B364" t="s">
        <v>2880</v>
      </c>
      <c r="C364" t="s">
        <v>2868</v>
      </c>
      <c r="H36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64" s="49">
        <f ca="1">IFERROR(WEEKNUM(CRC_War_Room_SIMs[[#This Row],[Ops Date]]), "N/A")</f>
        <v>30</v>
      </c>
      <c r="J36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6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6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64" s="50">
        <f>IF(AND(CRC_War_Room_SIMs[[#This Row],[CI]] = 0, CRC_War_Room_SIMs[[#This Row],[Miss]] = 1), 1, 0)</f>
        <v>0</v>
      </c>
      <c r="N36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64" s="49">
        <f>IF(AND(CRC_War_Room_SIMs[[#This Row],[Excluded]] = 0, OR(CRC_War_Room_SIMs[[#This Row],[False Resolution Miss]] &lt;&gt; "", ISNUMBER(SEARCH("False Resolution", CRC_War_Room_SIMs[[#This Row],[Labels]])))), 1, 0)</f>
        <v>0</v>
      </c>
      <c r="P364" s="50">
        <f>IF(AND(CRC_War_Room_SIMs[[#This Row],[Excluded]] = 0, OR(CRC_War_Room_SIMs[[#This Row],[SLA Miss]] &lt;&gt; "", ISNUMBER(SEARCH("SLA", CRC_War_Room_SIMs[[#This Row],[Labels]])))), 1, 0)</f>
        <v>0</v>
      </c>
    </row>
    <row r="365" spans="1:16" x14ac:dyDescent="0.25">
      <c r="A365" t="s">
        <v>2906</v>
      </c>
      <c r="B365" t="s">
        <v>2875</v>
      </c>
      <c r="C365" t="s">
        <v>2868</v>
      </c>
      <c r="H36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65" s="49">
        <f ca="1">IFERROR(WEEKNUM(CRC_War_Room_SIMs[[#This Row],[Ops Date]]), "N/A")</f>
        <v>30</v>
      </c>
      <c r="J36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6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6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65" s="50">
        <f>IF(AND(CRC_War_Room_SIMs[[#This Row],[CI]] = 0, CRC_War_Room_SIMs[[#This Row],[Miss]] = 1), 1, 0)</f>
        <v>0</v>
      </c>
      <c r="N36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65" s="49">
        <f>IF(AND(CRC_War_Room_SIMs[[#This Row],[Excluded]] = 0, OR(CRC_War_Room_SIMs[[#This Row],[False Resolution Miss]] &lt;&gt; "", ISNUMBER(SEARCH("False Resolution", CRC_War_Room_SIMs[[#This Row],[Labels]])))), 1, 0)</f>
        <v>0</v>
      </c>
      <c r="P365" s="50">
        <f>IF(AND(CRC_War_Room_SIMs[[#This Row],[Excluded]] = 0, OR(CRC_War_Room_SIMs[[#This Row],[SLA Miss]] &lt;&gt; "", ISNUMBER(SEARCH("SLA", CRC_War_Room_SIMs[[#This Row],[Labels]])))), 1, 0)</f>
        <v>0</v>
      </c>
    </row>
    <row r="366" spans="1:16" x14ac:dyDescent="0.25">
      <c r="A366" t="s">
        <v>2907</v>
      </c>
      <c r="B366" t="s">
        <v>2875</v>
      </c>
      <c r="C366" t="s">
        <v>2868</v>
      </c>
      <c r="H36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66" s="49">
        <f ca="1">IFERROR(WEEKNUM(CRC_War_Room_SIMs[[#This Row],[Ops Date]]), "N/A")</f>
        <v>30</v>
      </c>
      <c r="J36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6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6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66" s="50">
        <f>IF(AND(CRC_War_Room_SIMs[[#This Row],[CI]] = 0, CRC_War_Room_SIMs[[#This Row],[Miss]] = 1), 1, 0)</f>
        <v>0</v>
      </c>
      <c r="N36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66" s="49">
        <f>IF(AND(CRC_War_Room_SIMs[[#This Row],[Excluded]] = 0, OR(CRC_War_Room_SIMs[[#This Row],[False Resolution Miss]] &lt;&gt; "", ISNUMBER(SEARCH("False Resolution", CRC_War_Room_SIMs[[#This Row],[Labels]])))), 1, 0)</f>
        <v>0</v>
      </c>
      <c r="P366" s="50">
        <f>IF(AND(CRC_War_Room_SIMs[[#This Row],[Excluded]] = 0, OR(CRC_War_Room_SIMs[[#This Row],[SLA Miss]] &lt;&gt; "", ISNUMBER(SEARCH("SLA", CRC_War_Room_SIMs[[#This Row],[Labels]])))), 1, 0)</f>
        <v>0</v>
      </c>
    </row>
    <row r="367" spans="1:16" x14ac:dyDescent="0.25">
      <c r="A367" t="s">
        <v>2908</v>
      </c>
      <c r="B367" t="s">
        <v>2877</v>
      </c>
      <c r="C367" t="s">
        <v>2868</v>
      </c>
      <c r="H36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67" s="49">
        <f ca="1">IFERROR(WEEKNUM(CRC_War_Room_SIMs[[#This Row],[Ops Date]]), "N/A")</f>
        <v>30</v>
      </c>
      <c r="J36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6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6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67" s="50">
        <f>IF(AND(CRC_War_Room_SIMs[[#This Row],[CI]] = 0, CRC_War_Room_SIMs[[#This Row],[Miss]] = 1), 1, 0)</f>
        <v>0</v>
      </c>
      <c r="N36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67" s="49">
        <f>IF(AND(CRC_War_Room_SIMs[[#This Row],[Excluded]] = 0, OR(CRC_War_Room_SIMs[[#This Row],[False Resolution Miss]] &lt;&gt; "", ISNUMBER(SEARCH("False Resolution", CRC_War_Room_SIMs[[#This Row],[Labels]])))), 1, 0)</f>
        <v>0</v>
      </c>
      <c r="P367" s="50">
        <f>IF(AND(CRC_War_Room_SIMs[[#This Row],[Excluded]] = 0, OR(CRC_War_Room_SIMs[[#This Row],[SLA Miss]] &lt;&gt; "", ISNUMBER(SEARCH("SLA", CRC_War_Room_SIMs[[#This Row],[Labels]])))), 1, 0)</f>
        <v>0</v>
      </c>
    </row>
    <row r="368" spans="1:16" x14ac:dyDescent="0.25">
      <c r="A368" t="s">
        <v>2909</v>
      </c>
      <c r="B368" t="s">
        <v>2875</v>
      </c>
      <c r="C368" t="s">
        <v>2868</v>
      </c>
      <c r="H36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68" s="49">
        <f ca="1">IFERROR(WEEKNUM(CRC_War_Room_SIMs[[#This Row],[Ops Date]]), "N/A")</f>
        <v>30</v>
      </c>
      <c r="J36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6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6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68" s="50">
        <f>IF(AND(CRC_War_Room_SIMs[[#This Row],[CI]] = 0, CRC_War_Room_SIMs[[#This Row],[Miss]] = 1), 1, 0)</f>
        <v>0</v>
      </c>
      <c r="N36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68" s="49">
        <f>IF(AND(CRC_War_Room_SIMs[[#This Row],[Excluded]] = 0, OR(CRC_War_Room_SIMs[[#This Row],[False Resolution Miss]] &lt;&gt; "", ISNUMBER(SEARCH("False Resolution", CRC_War_Room_SIMs[[#This Row],[Labels]])))), 1, 0)</f>
        <v>0</v>
      </c>
      <c r="P368" s="50">
        <f>IF(AND(CRC_War_Room_SIMs[[#This Row],[Excluded]] = 0, OR(CRC_War_Room_SIMs[[#This Row],[SLA Miss]] &lt;&gt; "", ISNUMBER(SEARCH("SLA", CRC_War_Room_SIMs[[#This Row],[Labels]])))), 1, 0)</f>
        <v>0</v>
      </c>
    </row>
    <row r="369" spans="1:16" x14ac:dyDescent="0.25">
      <c r="A369" t="s">
        <v>2910</v>
      </c>
      <c r="B369" t="s">
        <v>2877</v>
      </c>
      <c r="C369" t="s">
        <v>2868</v>
      </c>
      <c r="H36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69" s="49">
        <f ca="1">IFERROR(WEEKNUM(CRC_War_Room_SIMs[[#This Row],[Ops Date]]), "N/A")</f>
        <v>30</v>
      </c>
      <c r="J36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6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6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69" s="50">
        <f>IF(AND(CRC_War_Room_SIMs[[#This Row],[CI]] = 0, CRC_War_Room_SIMs[[#This Row],[Miss]] = 1), 1, 0)</f>
        <v>0</v>
      </c>
      <c r="N36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69" s="49">
        <f>IF(AND(CRC_War_Room_SIMs[[#This Row],[Excluded]] = 0, OR(CRC_War_Room_SIMs[[#This Row],[False Resolution Miss]] &lt;&gt; "", ISNUMBER(SEARCH("False Resolution", CRC_War_Room_SIMs[[#This Row],[Labels]])))), 1, 0)</f>
        <v>0</v>
      </c>
      <c r="P369" s="50">
        <f>IF(AND(CRC_War_Room_SIMs[[#This Row],[Excluded]] = 0, OR(CRC_War_Room_SIMs[[#This Row],[SLA Miss]] &lt;&gt; "", ISNUMBER(SEARCH("SLA", CRC_War_Room_SIMs[[#This Row],[Labels]])))), 1, 0)</f>
        <v>0</v>
      </c>
    </row>
    <row r="370" spans="1:16" x14ac:dyDescent="0.25">
      <c r="A370" t="s">
        <v>2911</v>
      </c>
      <c r="B370" t="s">
        <v>2877</v>
      </c>
      <c r="C370" t="s">
        <v>2868</v>
      </c>
      <c r="H37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70" s="49">
        <f ca="1">IFERROR(WEEKNUM(CRC_War_Room_SIMs[[#This Row],[Ops Date]]), "N/A")</f>
        <v>30</v>
      </c>
      <c r="J37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7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7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70" s="50">
        <f>IF(AND(CRC_War_Room_SIMs[[#This Row],[CI]] = 0, CRC_War_Room_SIMs[[#This Row],[Miss]] = 1), 1, 0)</f>
        <v>0</v>
      </c>
      <c r="N37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70" s="49">
        <f>IF(AND(CRC_War_Room_SIMs[[#This Row],[Excluded]] = 0, OR(CRC_War_Room_SIMs[[#This Row],[False Resolution Miss]] &lt;&gt; "", ISNUMBER(SEARCH("False Resolution", CRC_War_Room_SIMs[[#This Row],[Labels]])))), 1, 0)</f>
        <v>0</v>
      </c>
      <c r="P370" s="50">
        <f>IF(AND(CRC_War_Room_SIMs[[#This Row],[Excluded]] = 0, OR(CRC_War_Room_SIMs[[#This Row],[SLA Miss]] &lt;&gt; "", ISNUMBER(SEARCH("SLA", CRC_War_Room_SIMs[[#This Row],[Labels]])))), 1, 0)</f>
        <v>0</v>
      </c>
    </row>
    <row r="371" spans="1:16" x14ac:dyDescent="0.25">
      <c r="A371" t="s">
        <v>2912</v>
      </c>
      <c r="B371" t="s">
        <v>2789</v>
      </c>
      <c r="C371" t="s">
        <v>2868</v>
      </c>
      <c r="H37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71" s="49">
        <f ca="1">IFERROR(WEEKNUM(CRC_War_Room_SIMs[[#This Row],[Ops Date]]), "N/A")</f>
        <v>30</v>
      </c>
      <c r="J37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7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7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71" s="50">
        <f>IF(AND(CRC_War_Room_SIMs[[#This Row],[CI]] = 0, CRC_War_Room_SIMs[[#This Row],[Miss]] = 1), 1, 0)</f>
        <v>0</v>
      </c>
      <c r="N37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71" s="49">
        <f>IF(AND(CRC_War_Room_SIMs[[#This Row],[Excluded]] = 0, OR(CRC_War_Room_SIMs[[#This Row],[False Resolution Miss]] &lt;&gt; "", ISNUMBER(SEARCH("False Resolution", CRC_War_Room_SIMs[[#This Row],[Labels]])))), 1, 0)</f>
        <v>0</v>
      </c>
      <c r="P371" s="50">
        <f>IF(AND(CRC_War_Room_SIMs[[#This Row],[Excluded]] = 0, OR(CRC_War_Room_SIMs[[#This Row],[SLA Miss]] &lt;&gt; "", ISNUMBER(SEARCH("SLA", CRC_War_Room_SIMs[[#This Row],[Labels]])))), 1, 0)</f>
        <v>0</v>
      </c>
    </row>
    <row r="372" spans="1:16" x14ac:dyDescent="0.25">
      <c r="A372" t="s">
        <v>2913</v>
      </c>
      <c r="B372" t="s">
        <v>2880</v>
      </c>
      <c r="C372" t="s">
        <v>2868</v>
      </c>
      <c r="H37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72" s="49">
        <f ca="1">IFERROR(WEEKNUM(CRC_War_Room_SIMs[[#This Row],[Ops Date]]), "N/A")</f>
        <v>30</v>
      </c>
      <c r="J37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7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7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72" s="50">
        <f>IF(AND(CRC_War_Room_SIMs[[#This Row],[CI]] = 0, CRC_War_Room_SIMs[[#This Row],[Miss]] = 1), 1, 0)</f>
        <v>0</v>
      </c>
      <c r="N37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72" s="49">
        <f>IF(AND(CRC_War_Room_SIMs[[#This Row],[Excluded]] = 0, OR(CRC_War_Room_SIMs[[#This Row],[False Resolution Miss]] &lt;&gt; "", ISNUMBER(SEARCH("False Resolution", CRC_War_Room_SIMs[[#This Row],[Labels]])))), 1, 0)</f>
        <v>0</v>
      </c>
      <c r="P372" s="50">
        <f>IF(AND(CRC_War_Room_SIMs[[#This Row],[Excluded]] = 0, OR(CRC_War_Room_SIMs[[#This Row],[SLA Miss]] &lt;&gt; "", ISNUMBER(SEARCH("SLA", CRC_War_Room_SIMs[[#This Row],[Labels]])))), 1, 0)</f>
        <v>0</v>
      </c>
    </row>
    <row r="373" spans="1:16" x14ac:dyDescent="0.25">
      <c r="A373" t="s">
        <v>2914</v>
      </c>
      <c r="B373" t="s">
        <v>2880</v>
      </c>
      <c r="C373" t="s">
        <v>2868</v>
      </c>
      <c r="H37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73" s="49">
        <f ca="1">IFERROR(WEEKNUM(CRC_War_Room_SIMs[[#This Row],[Ops Date]]), "N/A")</f>
        <v>30</v>
      </c>
      <c r="J37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7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7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73" s="50">
        <f>IF(AND(CRC_War_Room_SIMs[[#This Row],[CI]] = 0, CRC_War_Room_SIMs[[#This Row],[Miss]] = 1), 1, 0)</f>
        <v>0</v>
      </c>
      <c r="N37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73" s="49">
        <f>IF(AND(CRC_War_Room_SIMs[[#This Row],[Excluded]] = 0, OR(CRC_War_Room_SIMs[[#This Row],[False Resolution Miss]] &lt;&gt; "", ISNUMBER(SEARCH("False Resolution", CRC_War_Room_SIMs[[#This Row],[Labels]])))), 1, 0)</f>
        <v>0</v>
      </c>
      <c r="P373" s="50">
        <f>IF(AND(CRC_War_Room_SIMs[[#This Row],[Excluded]] = 0, OR(CRC_War_Room_SIMs[[#This Row],[SLA Miss]] &lt;&gt; "", ISNUMBER(SEARCH("SLA", CRC_War_Room_SIMs[[#This Row],[Labels]])))), 1, 0)</f>
        <v>0</v>
      </c>
    </row>
    <row r="374" spans="1:16" x14ac:dyDescent="0.25">
      <c r="A374" t="s">
        <v>2915</v>
      </c>
      <c r="B374" t="s">
        <v>2880</v>
      </c>
      <c r="C374" t="s">
        <v>2868</v>
      </c>
      <c r="H37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74" s="49">
        <f ca="1">IFERROR(WEEKNUM(CRC_War_Room_SIMs[[#This Row],[Ops Date]]), "N/A")</f>
        <v>30</v>
      </c>
      <c r="J37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7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7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74" s="50">
        <f>IF(AND(CRC_War_Room_SIMs[[#This Row],[CI]] = 0, CRC_War_Room_SIMs[[#This Row],[Miss]] = 1), 1, 0)</f>
        <v>0</v>
      </c>
      <c r="N37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74" s="49">
        <f>IF(AND(CRC_War_Room_SIMs[[#This Row],[Excluded]] = 0, OR(CRC_War_Room_SIMs[[#This Row],[False Resolution Miss]] &lt;&gt; "", ISNUMBER(SEARCH("False Resolution", CRC_War_Room_SIMs[[#This Row],[Labels]])))), 1, 0)</f>
        <v>0</v>
      </c>
      <c r="P374" s="50">
        <f>IF(AND(CRC_War_Room_SIMs[[#This Row],[Excluded]] = 0, OR(CRC_War_Room_SIMs[[#This Row],[SLA Miss]] &lt;&gt; "", ISNUMBER(SEARCH("SLA", CRC_War_Room_SIMs[[#This Row],[Labels]])))), 1, 0)</f>
        <v>0</v>
      </c>
    </row>
    <row r="375" spans="1:16" x14ac:dyDescent="0.25">
      <c r="A375" t="s">
        <v>2916</v>
      </c>
      <c r="B375" t="s">
        <v>2880</v>
      </c>
      <c r="C375" t="s">
        <v>2868</v>
      </c>
      <c r="H37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75" s="49">
        <f ca="1">IFERROR(WEEKNUM(CRC_War_Room_SIMs[[#This Row],[Ops Date]]), "N/A")</f>
        <v>30</v>
      </c>
      <c r="J37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7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7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75" s="50">
        <f>IF(AND(CRC_War_Room_SIMs[[#This Row],[CI]] = 0, CRC_War_Room_SIMs[[#This Row],[Miss]] = 1), 1, 0)</f>
        <v>0</v>
      </c>
      <c r="N37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75" s="49">
        <f>IF(AND(CRC_War_Room_SIMs[[#This Row],[Excluded]] = 0, OR(CRC_War_Room_SIMs[[#This Row],[False Resolution Miss]] &lt;&gt; "", ISNUMBER(SEARCH("False Resolution", CRC_War_Room_SIMs[[#This Row],[Labels]])))), 1, 0)</f>
        <v>0</v>
      </c>
      <c r="P375" s="50">
        <f>IF(AND(CRC_War_Room_SIMs[[#This Row],[Excluded]] = 0, OR(CRC_War_Room_SIMs[[#This Row],[SLA Miss]] &lt;&gt; "", ISNUMBER(SEARCH("SLA", CRC_War_Room_SIMs[[#This Row],[Labels]])))), 1, 0)</f>
        <v>0</v>
      </c>
    </row>
    <row r="376" spans="1:16" x14ac:dyDescent="0.25">
      <c r="A376" t="s">
        <v>2917</v>
      </c>
      <c r="B376" t="s">
        <v>2789</v>
      </c>
      <c r="C376" t="s">
        <v>2868</v>
      </c>
      <c r="H37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76" s="49">
        <f ca="1">IFERROR(WEEKNUM(CRC_War_Room_SIMs[[#This Row],[Ops Date]]), "N/A")</f>
        <v>30</v>
      </c>
      <c r="J37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7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7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76" s="50">
        <f>IF(AND(CRC_War_Room_SIMs[[#This Row],[CI]] = 0, CRC_War_Room_SIMs[[#This Row],[Miss]] = 1), 1, 0)</f>
        <v>0</v>
      </c>
      <c r="N37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76" s="49">
        <f>IF(AND(CRC_War_Room_SIMs[[#This Row],[Excluded]] = 0, OR(CRC_War_Room_SIMs[[#This Row],[False Resolution Miss]] &lt;&gt; "", ISNUMBER(SEARCH("False Resolution", CRC_War_Room_SIMs[[#This Row],[Labels]])))), 1, 0)</f>
        <v>0</v>
      </c>
      <c r="P376" s="50">
        <f>IF(AND(CRC_War_Room_SIMs[[#This Row],[Excluded]] = 0, OR(CRC_War_Room_SIMs[[#This Row],[SLA Miss]] &lt;&gt; "", ISNUMBER(SEARCH("SLA", CRC_War_Room_SIMs[[#This Row],[Labels]])))), 1, 0)</f>
        <v>0</v>
      </c>
    </row>
    <row r="377" spans="1:16" x14ac:dyDescent="0.25">
      <c r="A377" t="s">
        <v>2918</v>
      </c>
      <c r="B377" t="s">
        <v>2880</v>
      </c>
      <c r="C377" t="s">
        <v>2868</v>
      </c>
      <c r="H37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77" s="49">
        <f ca="1">IFERROR(WEEKNUM(CRC_War_Room_SIMs[[#This Row],[Ops Date]]), "N/A")</f>
        <v>30</v>
      </c>
      <c r="J37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7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7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77" s="50">
        <f>IF(AND(CRC_War_Room_SIMs[[#This Row],[CI]] = 0, CRC_War_Room_SIMs[[#This Row],[Miss]] = 1), 1, 0)</f>
        <v>0</v>
      </c>
      <c r="N37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77" s="49">
        <f>IF(AND(CRC_War_Room_SIMs[[#This Row],[Excluded]] = 0, OR(CRC_War_Room_SIMs[[#This Row],[False Resolution Miss]] &lt;&gt; "", ISNUMBER(SEARCH("False Resolution", CRC_War_Room_SIMs[[#This Row],[Labels]])))), 1, 0)</f>
        <v>0</v>
      </c>
      <c r="P377" s="50">
        <f>IF(AND(CRC_War_Room_SIMs[[#This Row],[Excluded]] = 0, OR(CRC_War_Room_SIMs[[#This Row],[SLA Miss]] &lt;&gt; "", ISNUMBER(SEARCH("SLA", CRC_War_Room_SIMs[[#This Row],[Labels]])))), 1, 0)</f>
        <v>0</v>
      </c>
    </row>
    <row r="378" spans="1:16" x14ac:dyDescent="0.25">
      <c r="A378" t="s">
        <v>2919</v>
      </c>
      <c r="B378" t="s">
        <v>2880</v>
      </c>
      <c r="C378" t="s">
        <v>2868</v>
      </c>
      <c r="H37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78" s="49">
        <f ca="1">IFERROR(WEEKNUM(CRC_War_Room_SIMs[[#This Row],[Ops Date]]), "N/A")</f>
        <v>30</v>
      </c>
      <c r="J37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7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7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78" s="50">
        <f>IF(AND(CRC_War_Room_SIMs[[#This Row],[CI]] = 0, CRC_War_Room_SIMs[[#This Row],[Miss]] = 1), 1, 0)</f>
        <v>0</v>
      </c>
      <c r="N37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78" s="49">
        <f>IF(AND(CRC_War_Room_SIMs[[#This Row],[Excluded]] = 0, OR(CRC_War_Room_SIMs[[#This Row],[False Resolution Miss]] &lt;&gt; "", ISNUMBER(SEARCH("False Resolution", CRC_War_Room_SIMs[[#This Row],[Labels]])))), 1, 0)</f>
        <v>0</v>
      </c>
      <c r="P378" s="50">
        <f>IF(AND(CRC_War_Room_SIMs[[#This Row],[Excluded]] = 0, OR(CRC_War_Room_SIMs[[#This Row],[SLA Miss]] &lt;&gt; "", ISNUMBER(SEARCH("SLA", CRC_War_Room_SIMs[[#This Row],[Labels]])))), 1, 0)</f>
        <v>0</v>
      </c>
    </row>
    <row r="379" spans="1:16" x14ac:dyDescent="0.25">
      <c r="A379" t="s">
        <v>2920</v>
      </c>
      <c r="B379" t="s">
        <v>2880</v>
      </c>
      <c r="C379" t="s">
        <v>2868</v>
      </c>
      <c r="H37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79" s="49">
        <f ca="1">IFERROR(WEEKNUM(CRC_War_Room_SIMs[[#This Row],[Ops Date]]), "N/A")</f>
        <v>30</v>
      </c>
      <c r="J37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7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7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79" s="50">
        <f>IF(AND(CRC_War_Room_SIMs[[#This Row],[CI]] = 0, CRC_War_Room_SIMs[[#This Row],[Miss]] = 1), 1, 0)</f>
        <v>0</v>
      </c>
      <c r="N37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79" s="49">
        <f>IF(AND(CRC_War_Room_SIMs[[#This Row],[Excluded]] = 0, OR(CRC_War_Room_SIMs[[#This Row],[False Resolution Miss]] &lt;&gt; "", ISNUMBER(SEARCH("False Resolution", CRC_War_Room_SIMs[[#This Row],[Labels]])))), 1, 0)</f>
        <v>0</v>
      </c>
      <c r="P379" s="50">
        <f>IF(AND(CRC_War_Room_SIMs[[#This Row],[Excluded]] = 0, OR(CRC_War_Room_SIMs[[#This Row],[SLA Miss]] &lt;&gt; "", ISNUMBER(SEARCH("SLA", CRC_War_Room_SIMs[[#This Row],[Labels]])))), 1, 0)</f>
        <v>0</v>
      </c>
    </row>
    <row r="380" spans="1:16" x14ac:dyDescent="0.25">
      <c r="A380" t="s">
        <v>2921</v>
      </c>
      <c r="B380" t="s">
        <v>2922</v>
      </c>
      <c r="C380" t="s">
        <v>2868</v>
      </c>
      <c r="H38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80" s="49">
        <f ca="1">IFERROR(WEEKNUM(CRC_War_Room_SIMs[[#This Row],[Ops Date]]), "N/A")</f>
        <v>30</v>
      </c>
      <c r="J38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8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8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80" s="50">
        <f>IF(AND(CRC_War_Room_SIMs[[#This Row],[CI]] = 0, CRC_War_Room_SIMs[[#This Row],[Miss]] = 1), 1, 0)</f>
        <v>0</v>
      </c>
      <c r="N38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80" s="49">
        <f>IF(AND(CRC_War_Room_SIMs[[#This Row],[Excluded]] = 0, OR(CRC_War_Room_SIMs[[#This Row],[False Resolution Miss]] &lt;&gt; "", ISNUMBER(SEARCH("False Resolution", CRC_War_Room_SIMs[[#This Row],[Labels]])))), 1, 0)</f>
        <v>0</v>
      </c>
      <c r="P380" s="50">
        <f>IF(AND(CRC_War_Room_SIMs[[#This Row],[Excluded]] = 0, OR(CRC_War_Room_SIMs[[#This Row],[SLA Miss]] &lt;&gt; "", ISNUMBER(SEARCH("SLA", CRC_War_Room_SIMs[[#This Row],[Labels]])))), 1, 0)</f>
        <v>0</v>
      </c>
    </row>
    <row r="381" spans="1:16" x14ac:dyDescent="0.25">
      <c r="A381" t="s">
        <v>2923</v>
      </c>
      <c r="B381" t="s">
        <v>2924</v>
      </c>
      <c r="C381" t="s">
        <v>2868</v>
      </c>
      <c r="H38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81" s="49">
        <f ca="1">IFERROR(WEEKNUM(CRC_War_Room_SIMs[[#This Row],[Ops Date]]), "N/A")</f>
        <v>30</v>
      </c>
      <c r="J38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8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8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81" s="50">
        <f>IF(AND(CRC_War_Room_SIMs[[#This Row],[CI]] = 0, CRC_War_Room_SIMs[[#This Row],[Miss]] = 1), 1, 0)</f>
        <v>0</v>
      </c>
      <c r="N38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81" s="49">
        <f>IF(AND(CRC_War_Room_SIMs[[#This Row],[Excluded]] = 0, OR(CRC_War_Room_SIMs[[#This Row],[False Resolution Miss]] &lt;&gt; "", ISNUMBER(SEARCH("False Resolution", CRC_War_Room_SIMs[[#This Row],[Labels]])))), 1, 0)</f>
        <v>0</v>
      </c>
      <c r="P381" s="50">
        <f>IF(AND(CRC_War_Room_SIMs[[#This Row],[Excluded]] = 0, OR(CRC_War_Room_SIMs[[#This Row],[SLA Miss]] &lt;&gt; "", ISNUMBER(SEARCH("SLA", CRC_War_Room_SIMs[[#This Row],[Labels]])))), 1, 0)</f>
        <v>0</v>
      </c>
    </row>
    <row r="382" spans="1:16" x14ac:dyDescent="0.25">
      <c r="A382" t="s">
        <v>2925</v>
      </c>
      <c r="B382" t="s">
        <v>2922</v>
      </c>
      <c r="C382" t="s">
        <v>2868</v>
      </c>
      <c r="H38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82" s="49">
        <f ca="1">IFERROR(WEEKNUM(CRC_War_Room_SIMs[[#This Row],[Ops Date]]), "N/A")</f>
        <v>30</v>
      </c>
      <c r="J38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8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8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82" s="50">
        <f>IF(AND(CRC_War_Room_SIMs[[#This Row],[CI]] = 0, CRC_War_Room_SIMs[[#This Row],[Miss]] = 1), 1, 0)</f>
        <v>0</v>
      </c>
      <c r="N38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82" s="49">
        <f>IF(AND(CRC_War_Room_SIMs[[#This Row],[Excluded]] = 0, OR(CRC_War_Room_SIMs[[#This Row],[False Resolution Miss]] &lt;&gt; "", ISNUMBER(SEARCH("False Resolution", CRC_War_Room_SIMs[[#This Row],[Labels]])))), 1, 0)</f>
        <v>0</v>
      </c>
      <c r="P382" s="50">
        <f>IF(AND(CRC_War_Room_SIMs[[#This Row],[Excluded]] = 0, OR(CRC_War_Room_SIMs[[#This Row],[SLA Miss]] &lt;&gt; "", ISNUMBER(SEARCH("SLA", CRC_War_Room_SIMs[[#This Row],[Labels]])))), 1, 0)</f>
        <v>0</v>
      </c>
    </row>
    <row r="383" spans="1:16" x14ac:dyDescent="0.25">
      <c r="A383" t="s">
        <v>2926</v>
      </c>
      <c r="B383" t="s">
        <v>2922</v>
      </c>
      <c r="C383" t="s">
        <v>2868</v>
      </c>
      <c r="H38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83" s="49">
        <f ca="1">IFERROR(WEEKNUM(CRC_War_Room_SIMs[[#This Row],[Ops Date]]), "N/A")</f>
        <v>30</v>
      </c>
      <c r="J38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8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8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83" s="50">
        <f>IF(AND(CRC_War_Room_SIMs[[#This Row],[CI]] = 0, CRC_War_Room_SIMs[[#This Row],[Miss]] = 1), 1, 0)</f>
        <v>0</v>
      </c>
      <c r="N38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83" s="49">
        <f>IF(AND(CRC_War_Room_SIMs[[#This Row],[Excluded]] = 0, OR(CRC_War_Room_SIMs[[#This Row],[False Resolution Miss]] &lt;&gt; "", ISNUMBER(SEARCH("False Resolution", CRC_War_Room_SIMs[[#This Row],[Labels]])))), 1, 0)</f>
        <v>0</v>
      </c>
      <c r="P383" s="50">
        <f>IF(AND(CRC_War_Room_SIMs[[#This Row],[Excluded]] = 0, OR(CRC_War_Room_SIMs[[#This Row],[SLA Miss]] &lt;&gt; "", ISNUMBER(SEARCH("SLA", CRC_War_Room_SIMs[[#This Row],[Labels]])))), 1, 0)</f>
        <v>0</v>
      </c>
    </row>
    <row r="384" spans="1:16" x14ac:dyDescent="0.25">
      <c r="A384" t="s">
        <v>2927</v>
      </c>
      <c r="B384" t="s">
        <v>2924</v>
      </c>
      <c r="C384" t="s">
        <v>2868</v>
      </c>
      <c r="H38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84" s="49">
        <f ca="1">IFERROR(WEEKNUM(CRC_War_Room_SIMs[[#This Row],[Ops Date]]), "N/A")</f>
        <v>30</v>
      </c>
      <c r="J38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8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8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84" s="50">
        <f>IF(AND(CRC_War_Room_SIMs[[#This Row],[CI]] = 0, CRC_War_Room_SIMs[[#This Row],[Miss]] = 1), 1, 0)</f>
        <v>0</v>
      </c>
      <c r="N38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84" s="49">
        <f>IF(AND(CRC_War_Room_SIMs[[#This Row],[Excluded]] = 0, OR(CRC_War_Room_SIMs[[#This Row],[False Resolution Miss]] &lt;&gt; "", ISNUMBER(SEARCH("False Resolution", CRC_War_Room_SIMs[[#This Row],[Labels]])))), 1, 0)</f>
        <v>0</v>
      </c>
      <c r="P384" s="50">
        <f>IF(AND(CRC_War_Room_SIMs[[#This Row],[Excluded]] = 0, OR(CRC_War_Room_SIMs[[#This Row],[SLA Miss]] &lt;&gt; "", ISNUMBER(SEARCH("SLA", CRC_War_Room_SIMs[[#This Row],[Labels]])))), 1, 0)</f>
        <v>0</v>
      </c>
    </row>
    <row r="385" spans="1:16" x14ac:dyDescent="0.25">
      <c r="A385" t="s">
        <v>2928</v>
      </c>
      <c r="B385" t="s">
        <v>2922</v>
      </c>
      <c r="C385" t="s">
        <v>2868</v>
      </c>
      <c r="H38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85" s="49">
        <f ca="1">IFERROR(WEEKNUM(CRC_War_Room_SIMs[[#This Row],[Ops Date]]), "N/A")</f>
        <v>30</v>
      </c>
      <c r="J38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8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8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85" s="50">
        <f>IF(AND(CRC_War_Room_SIMs[[#This Row],[CI]] = 0, CRC_War_Room_SIMs[[#This Row],[Miss]] = 1), 1, 0)</f>
        <v>0</v>
      </c>
      <c r="N38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85" s="49">
        <f>IF(AND(CRC_War_Room_SIMs[[#This Row],[Excluded]] = 0, OR(CRC_War_Room_SIMs[[#This Row],[False Resolution Miss]] &lt;&gt; "", ISNUMBER(SEARCH("False Resolution", CRC_War_Room_SIMs[[#This Row],[Labels]])))), 1, 0)</f>
        <v>0</v>
      </c>
      <c r="P385" s="50">
        <f>IF(AND(CRC_War_Room_SIMs[[#This Row],[Excluded]] = 0, OR(CRC_War_Room_SIMs[[#This Row],[SLA Miss]] &lt;&gt; "", ISNUMBER(SEARCH("SLA", CRC_War_Room_SIMs[[#This Row],[Labels]])))), 1, 0)</f>
        <v>0</v>
      </c>
    </row>
    <row r="386" spans="1:16" x14ac:dyDescent="0.25">
      <c r="A386" t="s">
        <v>2929</v>
      </c>
      <c r="B386" t="s">
        <v>2924</v>
      </c>
      <c r="C386" t="s">
        <v>2868</v>
      </c>
      <c r="H38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86" s="49">
        <f ca="1">IFERROR(WEEKNUM(CRC_War_Room_SIMs[[#This Row],[Ops Date]]), "N/A")</f>
        <v>30</v>
      </c>
      <c r="J38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8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8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86" s="50">
        <f>IF(AND(CRC_War_Room_SIMs[[#This Row],[CI]] = 0, CRC_War_Room_SIMs[[#This Row],[Miss]] = 1), 1, 0)</f>
        <v>0</v>
      </c>
      <c r="N38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86" s="49">
        <f>IF(AND(CRC_War_Room_SIMs[[#This Row],[Excluded]] = 0, OR(CRC_War_Room_SIMs[[#This Row],[False Resolution Miss]] &lt;&gt; "", ISNUMBER(SEARCH("False Resolution", CRC_War_Room_SIMs[[#This Row],[Labels]])))), 1, 0)</f>
        <v>0</v>
      </c>
      <c r="P386" s="50">
        <f>IF(AND(CRC_War_Room_SIMs[[#This Row],[Excluded]] = 0, OR(CRC_War_Room_SIMs[[#This Row],[SLA Miss]] &lt;&gt; "", ISNUMBER(SEARCH("SLA", CRC_War_Room_SIMs[[#This Row],[Labels]])))), 1, 0)</f>
        <v>0</v>
      </c>
    </row>
    <row r="387" spans="1:16" x14ac:dyDescent="0.25">
      <c r="A387" t="s">
        <v>2930</v>
      </c>
      <c r="B387" t="s">
        <v>2922</v>
      </c>
      <c r="C387" t="s">
        <v>2868</v>
      </c>
      <c r="H38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87" s="49">
        <f ca="1">IFERROR(WEEKNUM(CRC_War_Room_SIMs[[#This Row],[Ops Date]]), "N/A")</f>
        <v>30</v>
      </c>
      <c r="J38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8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8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87" s="50">
        <f>IF(AND(CRC_War_Room_SIMs[[#This Row],[CI]] = 0, CRC_War_Room_SIMs[[#This Row],[Miss]] = 1), 1, 0)</f>
        <v>0</v>
      </c>
      <c r="N38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87" s="49">
        <f>IF(AND(CRC_War_Room_SIMs[[#This Row],[Excluded]] = 0, OR(CRC_War_Room_SIMs[[#This Row],[False Resolution Miss]] &lt;&gt; "", ISNUMBER(SEARCH("False Resolution", CRC_War_Room_SIMs[[#This Row],[Labels]])))), 1, 0)</f>
        <v>0</v>
      </c>
      <c r="P387" s="50">
        <f>IF(AND(CRC_War_Room_SIMs[[#This Row],[Excluded]] = 0, OR(CRC_War_Room_SIMs[[#This Row],[SLA Miss]] &lt;&gt; "", ISNUMBER(SEARCH("SLA", CRC_War_Room_SIMs[[#This Row],[Labels]])))), 1, 0)</f>
        <v>0</v>
      </c>
    </row>
    <row r="388" spans="1:16" x14ac:dyDescent="0.25">
      <c r="A388" t="s">
        <v>2931</v>
      </c>
      <c r="B388" t="s">
        <v>2924</v>
      </c>
      <c r="C388" t="s">
        <v>2790</v>
      </c>
      <c r="H38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88" s="49">
        <f ca="1">IFERROR(WEEKNUM(CRC_War_Room_SIMs[[#This Row],[Ops Date]]), "N/A")</f>
        <v>30</v>
      </c>
      <c r="J38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8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38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388" s="50">
        <f>IF(AND(CRC_War_Room_SIMs[[#This Row],[CI]] = 0, CRC_War_Room_SIMs[[#This Row],[Miss]] = 1), 1, 0)</f>
        <v>0</v>
      </c>
      <c r="N38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88" s="49">
        <f>IF(AND(CRC_War_Room_SIMs[[#This Row],[Excluded]] = 0, OR(CRC_War_Room_SIMs[[#This Row],[False Resolution Miss]] &lt;&gt; "", ISNUMBER(SEARCH("False Resolution", CRC_War_Room_SIMs[[#This Row],[Labels]])))), 1, 0)</f>
        <v>0</v>
      </c>
      <c r="P388" s="50">
        <f>IF(AND(CRC_War_Room_SIMs[[#This Row],[Excluded]] = 0, OR(CRC_War_Room_SIMs[[#This Row],[SLA Miss]] &lt;&gt; "", ISNUMBER(SEARCH("SLA", CRC_War_Room_SIMs[[#This Row],[Labels]])))), 1, 0)</f>
        <v>0</v>
      </c>
    </row>
    <row r="389" spans="1:16" x14ac:dyDescent="0.25">
      <c r="A389" t="s">
        <v>2932</v>
      </c>
      <c r="B389" t="s">
        <v>2924</v>
      </c>
      <c r="C389" t="s">
        <v>2868</v>
      </c>
      <c r="H38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89" s="49">
        <f ca="1">IFERROR(WEEKNUM(CRC_War_Room_SIMs[[#This Row],[Ops Date]]), "N/A")</f>
        <v>30</v>
      </c>
      <c r="J38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8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8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89" s="50">
        <f>IF(AND(CRC_War_Room_SIMs[[#This Row],[CI]] = 0, CRC_War_Room_SIMs[[#This Row],[Miss]] = 1), 1, 0)</f>
        <v>0</v>
      </c>
      <c r="N38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89" s="49">
        <f>IF(AND(CRC_War_Room_SIMs[[#This Row],[Excluded]] = 0, OR(CRC_War_Room_SIMs[[#This Row],[False Resolution Miss]] &lt;&gt; "", ISNUMBER(SEARCH("False Resolution", CRC_War_Room_SIMs[[#This Row],[Labels]])))), 1, 0)</f>
        <v>0</v>
      </c>
      <c r="P389" s="50">
        <f>IF(AND(CRC_War_Room_SIMs[[#This Row],[Excluded]] = 0, OR(CRC_War_Room_SIMs[[#This Row],[SLA Miss]] &lt;&gt; "", ISNUMBER(SEARCH("SLA", CRC_War_Room_SIMs[[#This Row],[Labels]])))), 1, 0)</f>
        <v>0</v>
      </c>
    </row>
    <row r="390" spans="1:16" x14ac:dyDescent="0.25">
      <c r="A390" t="s">
        <v>2933</v>
      </c>
      <c r="B390" t="s">
        <v>2922</v>
      </c>
      <c r="C390" t="s">
        <v>2868</v>
      </c>
      <c r="H39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90" s="49">
        <f ca="1">IFERROR(WEEKNUM(CRC_War_Room_SIMs[[#This Row],[Ops Date]]), "N/A")</f>
        <v>30</v>
      </c>
      <c r="J39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9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9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90" s="50">
        <f>IF(AND(CRC_War_Room_SIMs[[#This Row],[CI]] = 0, CRC_War_Room_SIMs[[#This Row],[Miss]] = 1), 1, 0)</f>
        <v>0</v>
      </c>
      <c r="N39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90" s="49">
        <f>IF(AND(CRC_War_Room_SIMs[[#This Row],[Excluded]] = 0, OR(CRC_War_Room_SIMs[[#This Row],[False Resolution Miss]] &lt;&gt; "", ISNUMBER(SEARCH("False Resolution", CRC_War_Room_SIMs[[#This Row],[Labels]])))), 1, 0)</f>
        <v>0</v>
      </c>
      <c r="P390" s="50">
        <f>IF(AND(CRC_War_Room_SIMs[[#This Row],[Excluded]] = 0, OR(CRC_War_Room_SIMs[[#This Row],[SLA Miss]] &lt;&gt; "", ISNUMBER(SEARCH("SLA", CRC_War_Room_SIMs[[#This Row],[Labels]])))), 1, 0)</f>
        <v>0</v>
      </c>
    </row>
    <row r="391" spans="1:16" x14ac:dyDescent="0.25">
      <c r="A391" t="s">
        <v>2934</v>
      </c>
      <c r="B391" t="s">
        <v>2922</v>
      </c>
      <c r="C391" t="s">
        <v>2868</v>
      </c>
      <c r="H39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91" s="49">
        <f ca="1">IFERROR(WEEKNUM(CRC_War_Room_SIMs[[#This Row],[Ops Date]]), "N/A")</f>
        <v>30</v>
      </c>
      <c r="J39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9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9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91" s="50">
        <f>IF(AND(CRC_War_Room_SIMs[[#This Row],[CI]] = 0, CRC_War_Room_SIMs[[#This Row],[Miss]] = 1), 1, 0)</f>
        <v>0</v>
      </c>
      <c r="N39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91" s="49">
        <f>IF(AND(CRC_War_Room_SIMs[[#This Row],[Excluded]] = 0, OR(CRC_War_Room_SIMs[[#This Row],[False Resolution Miss]] &lt;&gt; "", ISNUMBER(SEARCH("False Resolution", CRC_War_Room_SIMs[[#This Row],[Labels]])))), 1, 0)</f>
        <v>0</v>
      </c>
      <c r="P391" s="50">
        <f>IF(AND(CRC_War_Room_SIMs[[#This Row],[Excluded]] = 0, OR(CRC_War_Room_SIMs[[#This Row],[SLA Miss]] &lt;&gt; "", ISNUMBER(SEARCH("SLA", CRC_War_Room_SIMs[[#This Row],[Labels]])))), 1, 0)</f>
        <v>0</v>
      </c>
    </row>
    <row r="392" spans="1:16" x14ac:dyDescent="0.25">
      <c r="A392" t="s">
        <v>2935</v>
      </c>
      <c r="B392" t="s">
        <v>2924</v>
      </c>
      <c r="C392" t="s">
        <v>2790</v>
      </c>
      <c r="H39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92" s="49">
        <f ca="1">IFERROR(WEEKNUM(CRC_War_Room_SIMs[[#This Row],[Ops Date]]), "N/A")</f>
        <v>30</v>
      </c>
      <c r="J39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9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39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392" s="50">
        <f>IF(AND(CRC_War_Room_SIMs[[#This Row],[CI]] = 0, CRC_War_Room_SIMs[[#This Row],[Miss]] = 1), 1, 0)</f>
        <v>0</v>
      </c>
      <c r="N39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92" s="49">
        <f>IF(AND(CRC_War_Room_SIMs[[#This Row],[Excluded]] = 0, OR(CRC_War_Room_SIMs[[#This Row],[False Resolution Miss]] &lt;&gt; "", ISNUMBER(SEARCH("False Resolution", CRC_War_Room_SIMs[[#This Row],[Labels]])))), 1, 0)</f>
        <v>0</v>
      </c>
      <c r="P392" s="50">
        <f>IF(AND(CRC_War_Room_SIMs[[#This Row],[Excluded]] = 0, OR(CRC_War_Room_SIMs[[#This Row],[SLA Miss]] &lt;&gt; "", ISNUMBER(SEARCH("SLA", CRC_War_Room_SIMs[[#This Row],[Labels]])))), 1, 0)</f>
        <v>0</v>
      </c>
    </row>
    <row r="393" spans="1:16" x14ac:dyDescent="0.25">
      <c r="A393" t="s">
        <v>2936</v>
      </c>
      <c r="B393" t="s">
        <v>2924</v>
      </c>
      <c r="C393" t="s">
        <v>2868</v>
      </c>
      <c r="H39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93" s="49">
        <f ca="1">IFERROR(WEEKNUM(CRC_War_Room_SIMs[[#This Row],[Ops Date]]), "N/A")</f>
        <v>30</v>
      </c>
      <c r="J39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9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9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93" s="50">
        <f>IF(AND(CRC_War_Room_SIMs[[#This Row],[CI]] = 0, CRC_War_Room_SIMs[[#This Row],[Miss]] = 1), 1, 0)</f>
        <v>0</v>
      </c>
      <c r="N39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93" s="49">
        <f>IF(AND(CRC_War_Room_SIMs[[#This Row],[Excluded]] = 0, OR(CRC_War_Room_SIMs[[#This Row],[False Resolution Miss]] &lt;&gt; "", ISNUMBER(SEARCH("False Resolution", CRC_War_Room_SIMs[[#This Row],[Labels]])))), 1, 0)</f>
        <v>0</v>
      </c>
      <c r="P393" s="50">
        <f>IF(AND(CRC_War_Room_SIMs[[#This Row],[Excluded]] = 0, OR(CRC_War_Room_SIMs[[#This Row],[SLA Miss]] &lt;&gt; "", ISNUMBER(SEARCH("SLA", CRC_War_Room_SIMs[[#This Row],[Labels]])))), 1, 0)</f>
        <v>0</v>
      </c>
    </row>
    <row r="394" spans="1:16" x14ac:dyDescent="0.25">
      <c r="A394" t="s">
        <v>2937</v>
      </c>
      <c r="B394" t="s">
        <v>2922</v>
      </c>
      <c r="C394" t="s">
        <v>2868</v>
      </c>
      <c r="H39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94" s="49">
        <f ca="1">IFERROR(WEEKNUM(CRC_War_Room_SIMs[[#This Row],[Ops Date]]), "N/A")</f>
        <v>30</v>
      </c>
      <c r="J39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9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9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94" s="50">
        <f>IF(AND(CRC_War_Room_SIMs[[#This Row],[CI]] = 0, CRC_War_Room_SIMs[[#This Row],[Miss]] = 1), 1, 0)</f>
        <v>0</v>
      </c>
      <c r="N39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94" s="49">
        <f>IF(AND(CRC_War_Room_SIMs[[#This Row],[Excluded]] = 0, OR(CRC_War_Room_SIMs[[#This Row],[False Resolution Miss]] &lt;&gt; "", ISNUMBER(SEARCH("False Resolution", CRC_War_Room_SIMs[[#This Row],[Labels]])))), 1, 0)</f>
        <v>0</v>
      </c>
      <c r="P394" s="50">
        <f>IF(AND(CRC_War_Room_SIMs[[#This Row],[Excluded]] = 0, OR(CRC_War_Room_SIMs[[#This Row],[SLA Miss]] &lt;&gt; "", ISNUMBER(SEARCH("SLA", CRC_War_Room_SIMs[[#This Row],[Labels]])))), 1, 0)</f>
        <v>0</v>
      </c>
    </row>
    <row r="395" spans="1:16" x14ac:dyDescent="0.25">
      <c r="A395" t="s">
        <v>2938</v>
      </c>
      <c r="B395" t="s">
        <v>2922</v>
      </c>
      <c r="C395" t="s">
        <v>2868</v>
      </c>
      <c r="H39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95" s="49">
        <f ca="1">IFERROR(WEEKNUM(CRC_War_Room_SIMs[[#This Row],[Ops Date]]), "N/A")</f>
        <v>30</v>
      </c>
      <c r="J39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9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9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95" s="50">
        <f>IF(AND(CRC_War_Room_SIMs[[#This Row],[CI]] = 0, CRC_War_Room_SIMs[[#This Row],[Miss]] = 1), 1, 0)</f>
        <v>0</v>
      </c>
      <c r="N39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95" s="49">
        <f>IF(AND(CRC_War_Room_SIMs[[#This Row],[Excluded]] = 0, OR(CRC_War_Room_SIMs[[#This Row],[False Resolution Miss]] &lt;&gt; "", ISNUMBER(SEARCH("False Resolution", CRC_War_Room_SIMs[[#This Row],[Labels]])))), 1, 0)</f>
        <v>0</v>
      </c>
      <c r="P395" s="50">
        <f>IF(AND(CRC_War_Room_SIMs[[#This Row],[Excluded]] = 0, OR(CRC_War_Room_SIMs[[#This Row],[SLA Miss]] &lt;&gt; "", ISNUMBER(SEARCH("SLA", CRC_War_Room_SIMs[[#This Row],[Labels]])))), 1, 0)</f>
        <v>0</v>
      </c>
    </row>
    <row r="396" spans="1:16" x14ac:dyDescent="0.25">
      <c r="A396" t="s">
        <v>2939</v>
      </c>
      <c r="B396" t="s">
        <v>2922</v>
      </c>
      <c r="C396" t="s">
        <v>2868</v>
      </c>
      <c r="H39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96" s="49">
        <f ca="1">IFERROR(WEEKNUM(CRC_War_Room_SIMs[[#This Row],[Ops Date]]), "N/A")</f>
        <v>30</v>
      </c>
      <c r="J39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9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9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96" s="50">
        <f>IF(AND(CRC_War_Room_SIMs[[#This Row],[CI]] = 0, CRC_War_Room_SIMs[[#This Row],[Miss]] = 1), 1, 0)</f>
        <v>0</v>
      </c>
      <c r="N39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96" s="49">
        <f>IF(AND(CRC_War_Room_SIMs[[#This Row],[Excluded]] = 0, OR(CRC_War_Room_SIMs[[#This Row],[False Resolution Miss]] &lt;&gt; "", ISNUMBER(SEARCH("False Resolution", CRC_War_Room_SIMs[[#This Row],[Labels]])))), 1, 0)</f>
        <v>0</v>
      </c>
      <c r="P396" s="50">
        <f>IF(AND(CRC_War_Room_SIMs[[#This Row],[Excluded]] = 0, OR(CRC_War_Room_SIMs[[#This Row],[SLA Miss]] &lt;&gt; "", ISNUMBER(SEARCH("SLA", CRC_War_Room_SIMs[[#This Row],[Labels]])))), 1, 0)</f>
        <v>0</v>
      </c>
    </row>
    <row r="397" spans="1:16" x14ac:dyDescent="0.25">
      <c r="A397" t="s">
        <v>2940</v>
      </c>
      <c r="B397" t="s">
        <v>2922</v>
      </c>
      <c r="C397" t="s">
        <v>2868</v>
      </c>
      <c r="H39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97" s="49">
        <f ca="1">IFERROR(WEEKNUM(CRC_War_Room_SIMs[[#This Row],[Ops Date]]), "N/A")</f>
        <v>30</v>
      </c>
      <c r="J39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9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9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97" s="50">
        <f>IF(AND(CRC_War_Room_SIMs[[#This Row],[CI]] = 0, CRC_War_Room_SIMs[[#This Row],[Miss]] = 1), 1, 0)</f>
        <v>0</v>
      </c>
      <c r="N39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97" s="49">
        <f>IF(AND(CRC_War_Room_SIMs[[#This Row],[Excluded]] = 0, OR(CRC_War_Room_SIMs[[#This Row],[False Resolution Miss]] &lt;&gt; "", ISNUMBER(SEARCH("False Resolution", CRC_War_Room_SIMs[[#This Row],[Labels]])))), 1, 0)</f>
        <v>0</v>
      </c>
      <c r="P397" s="50">
        <f>IF(AND(CRC_War_Room_SIMs[[#This Row],[Excluded]] = 0, OR(CRC_War_Room_SIMs[[#This Row],[SLA Miss]] &lt;&gt; "", ISNUMBER(SEARCH("SLA", CRC_War_Room_SIMs[[#This Row],[Labels]])))), 1, 0)</f>
        <v>0</v>
      </c>
    </row>
    <row r="398" spans="1:16" x14ac:dyDescent="0.25">
      <c r="A398" t="s">
        <v>2941</v>
      </c>
      <c r="B398" t="s">
        <v>2922</v>
      </c>
      <c r="C398" t="s">
        <v>2868</v>
      </c>
      <c r="H39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98" s="49">
        <f ca="1">IFERROR(WEEKNUM(CRC_War_Room_SIMs[[#This Row],[Ops Date]]), "N/A")</f>
        <v>30</v>
      </c>
      <c r="J39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9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9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98" s="50">
        <f>IF(AND(CRC_War_Room_SIMs[[#This Row],[CI]] = 0, CRC_War_Room_SIMs[[#This Row],[Miss]] = 1), 1, 0)</f>
        <v>0</v>
      </c>
      <c r="N39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98" s="49">
        <f>IF(AND(CRC_War_Room_SIMs[[#This Row],[Excluded]] = 0, OR(CRC_War_Room_SIMs[[#This Row],[False Resolution Miss]] &lt;&gt; "", ISNUMBER(SEARCH("False Resolution", CRC_War_Room_SIMs[[#This Row],[Labels]])))), 1, 0)</f>
        <v>0</v>
      </c>
      <c r="P398" s="50">
        <f>IF(AND(CRC_War_Room_SIMs[[#This Row],[Excluded]] = 0, OR(CRC_War_Room_SIMs[[#This Row],[SLA Miss]] &lt;&gt; "", ISNUMBER(SEARCH("SLA", CRC_War_Room_SIMs[[#This Row],[Labels]])))), 1, 0)</f>
        <v>0</v>
      </c>
    </row>
    <row r="399" spans="1:16" x14ac:dyDescent="0.25">
      <c r="A399" t="s">
        <v>2942</v>
      </c>
      <c r="B399" t="s">
        <v>2943</v>
      </c>
      <c r="C399" t="s">
        <v>2868</v>
      </c>
      <c r="H39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399" s="49">
        <f ca="1">IFERROR(WEEKNUM(CRC_War_Room_SIMs[[#This Row],[Ops Date]]), "N/A")</f>
        <v>30</v>
      </c>
      <c r="J39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39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39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399" s="50">
        <f>IF(AND(CRC_War_Room_SIMs[[#This Row],[CI]] = 0, CRC_War_Room_SIMs[[#This Row],[Miss]] = 1), 1, 0)</f>
        <v>0</v>
      </c>
      <c r="N39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399" s="49">
        <f>IF(AND(CRC_War_Room_SIMs[[#This Row],[Excluded]] = 0, OR(CRC_War_Room_SIMs[[#This Row],[False Resolution Miss]] &lt;&gt; "", ISNUMBER(SEARCH("False Resolution", CRC_War_Room_SIMs[[#This Row],[Labels]])))), 1, 0)</f>
        <v>0</v>
      </c>
      <c r="P399" s="50">
        <f>IF(AND(CRC_War_Room_SIMs[[#This Row],[Excluded]] = 0, OR(CRC_War_Room_SIMs[[#This Row],[SLA Miss]] &lt;&gt; "", ISNUMBER(SEARCH("SLA", CRC_War_Room_SIMs[[#This Row],[Labels]])))), 1, 0)</f>
        <v>0</v>
      </c>
    </row>
    <row r="400" spans="1:16" x14ac:dyDescent="0.25">
      <c r="A400" t="s">
        <v>2944</v>
      </c>
      <c r="B400" t="s">
        <v>2943</v>
      </c>
      <c r="C400" t="s">
        <v>2790</v>
      </c>
      <c r="H40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400" s="49">
        <f ca="1">IFERROR(WEEKNUM(CRC_War_Room_SIMs[[#This Row],[Ops Date]]), "N/A")</f>
        <v>30</v>
      </c>
      <c r="J40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0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40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400" s="50">
        <f>IF(AND(CRC_War_Room_SIMs[[#This Row],[CI]] = 0, CRC_War_Room_SIMs[[#This Row],[Miss]] = 1), 1, 0)</f>
        <v>0</v>
      </c>
      <c r="N40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00" s="49">
        <f>IF(AND(CRC_War_Room_SIMs[[#This Row],[Excluded]] = 0, OR(CRC_War_Room_SIMs[[#This Row],[False Resolution Miss]] &lt;&gt; "", ISNUMBER(SEARCH("False Resolution", CRC_War_Room_SIMs[[#This Row],[Labels]])))), 1, 0)</f>
        <v>0</v>
      </c>
      <c r="P400" s="50">
        <f>IF(AND(CRC_War_Room_SIMs[[#This Row],[Excluded]] = 0, OR(CRC_War_Room_SIMs[[#This Row],[SLA Miss]] &lt;&gt; "", ISNUMBER(SEARCH("SLA", CRC_War_Room_SIMs[[#This Row],[Labels]])))), 1, 0)</f>
        <v>0</v>
      </c>
    </row>
    <row r="401" spans="1:16" x14ac:dyDescent="0.25">
      <c r="A401" t="s">
        <v>2945</v>
      </c>
      <c r="B401" t="s">
        <v>2943</v>
      </c>
      <c r="C401" t="s">
        <v>2868</v>
      </c>
      <c r="H40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401" s="49">
        <f ca="1">IFERROR(WEEKNUM(CRC_War_Room_SIMs[[#This Row],[Ops Date]]), "N/A")</f>
        <v>30</v>
      </c>
      <c r="J40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0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0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01" s="50">
        <f>IF(AND(CRC_War_Room_SIMs[[#This Row],[CI]] = 0, CRC_War_Room_SIMs[[#This Row],[Miss]] = 1), 1, 0)</f>
        <v>0</v>
      </c>
      <c r="N40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01" s="49">
        <f>IF(AND(CRC_War_Room_SIMs[[#This Row],[Excluded]] = 0, OR(CRC_War_Room_SIMs[[#This Row],[False Resolution Miss]] &lt;&gt; "", ISNUMBER(SEARCH("False Resolution", CRC_War_Room_SIMs[[#This Row],[Labels]])))), 1, 0)</f>
        <v>0</v>
      </c>
      <c r="P401" s="50">
        <f>IF(AND(CRC_War_Room_SIMs[[#This Row],[Excluded]] = 0, OR(CRC_War_Room_SIMs[[#This Row],[SLA Miss]] &lt;&gt; "", ISNUMBER(SEARCH("SLA", CRC_War_Room_SIMs[[#This Row],[Labels]])))), 1, 0)</f>
        <v>0</v>
      </c>
    </row>
    <row r="402" spans="1:16" x14ac:dyDescent="0.25">
      <c r="A402" t="s">
        <v>2946</v>
      </c>
      <c r="B402" t="s">
        <v>2943</v>
      </c>
      <c r="C402" t="s">
        <v>2790</v>
      </c>
      <c r="H40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402" s="49">
        <f ca="1">IFERROR(WEEKNUM(CRC_War_Room_SIMs[[#This Row],[Ops Date]]), "N/A")</f>
        <v>30</v>
      </c>
      <c r="J40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0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40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402" s="50">
        <f>IF(AND(CRC_War_Room_SIMs[[#This Row],[CI]] = 0, CRC_War_Room_SIMs[[#This Row],[Miss]] = 1), 1, 0)</f>
        <v>0</v>
      </c>
      <c r="N40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02" s="49">
        <f>IF(AND(CRC_War_Room_SIMs[[#This Row],[Excluded]] = 0, OR(CRC_War_Room_SIMs[[#This Row],[False Resolution Miss]] &lt;&gt; "", ISNUMBER(SEARCH("False Resolution", CRC_War_Room_SIMs[[#This Row],[Labels]])))), 1, 0)</f>
        <v>0</v>
      </c>
      <c r="P402" s="50">
        <f>IF(AND(CRC_War_Room_SIMs[[#This Row],[Excluded]] = 0, OR(CRC_War_Room_SIMs[[#This Row],[SLA Miss]] &lt;&gt; "", ISNUMBER(SEARCH("SLA", CRC_War_Room_SIMs[[#This Row],[Labels]])))), 1, 0)</f>
        <v>0</v>
      </c>
    </row>
    <row r="403" spans="1:16" x14ac:dyDescent="0.25">
      <c r="A403" t="s">
        <v>2947</v>
      </c>
      <c r="B403" t="s">
        <v>2943</v>
      </c>
      <c r="C403" t="s">
        <v>2868</v>
      </c>
      <c r="H40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403" s="49">
        <f ca="1">IFERROR(WEEKNUM(CRC_War_Room_SIMs[[#This Row],[Ops Date]]), "N/A")</f>
        <v>30</v>
      </c>
      <c r="J40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0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0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03" s="50">
        <f>IF(AND(CRC_War_Room_SIMs[[#This Row],[CI]] = 0, CRC_War_Room_SIMs[[#This Row],[Miss]] = 1), 1, 0)</f>
        <v>0</v>
      </c>
      <c r="N40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03" s="49">
        <f>IF(AND(CRC_War_Room_SIMs[[#This Row],[Excluded]] = 0, OR(CRC_War_Room_SIMs[[#This Row],[False Resolution Miss]] &lt;&gt; "", ISNUMBER(SEARCH("False Resolution", CRC_War_Room_SIMs[[#This Row],[Labels]])))), 1, 0)</f>
        <v>0</v>
      </c>
      <c r="P403" s="50">
        <f>IF(AND(CRC_War_Room_SIMs[[#This Row],[Excluded]] = 0, OR(CRC_War_Room_SIMs[[#This Row],[SLA Miss]] &lt;&gt; "", ISNUMBER(SEARCH("SLA", CRC_War_Room_SIMs[[#This Row],[Labels]])))), 1, 0)</f>
        <v>0</v>
      </c>
    </row>
    <row r="404" spans="1:16" x14ac:dyDescent="0.25">
      <c r="A404" t="s">
        <v>2948</v>
      </c>
      <c r="B404" t="s">
        <v>2943</v>
      </c>
      <c r="C404" t="s">
        <v>2868</v>
      </c>
      <c r="H40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404" s="49">
        <f ca="1">IFERROR(WEEKNUM(CRC_War_Room_SIMs[[#This Row],[Ops Date]]), "N/A")</f>
        <v>30</v>
      </c>
      <c r="J40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0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0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04" s="50">
        <f>IF(AND(CRC_War_Room_SIMs[[#This Row],[CI]] = 0, CRC_War_Room_SIMs[[#This Row],[Miss]] = 1), 1, 0)</f>
        <v>0</v>
      </c>
      <c r="N40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04" s="49">
        <f>IF(AND(CRC_War_Room_SIMs[[#This Row],[Excluded]] = 0, OR(CRC_War_Room_SIMs[[#This Row],[False Resolution Miss]] &lt;&gt; "", ISNUMBER(SEARCH("False Resolution", CRC_War_Room_SIMs[[#This Row],[Labels]])))), 1, 0)</f>
        <v>0</v>
      </c>
      <c r="P404" s="50">
        <f>IF(AND(CRC_War_Room_SIMs[[#This Row],[Excluded]] = 0, OR(CRC_War_Room_SIMs[[#This Row],[SLA Miss]] &lt;&gt; "", ISNUMBER(SEARCH("SLA", CRC_War_Room_SIMs[[#This Row],[Labels]])))), 1, 0)</f>
        <v>0</v>
      </c>
    </row>
    <row r="405" spans="1:16" x14ac:dyDescent="0.25">
      <c r="A405" t="s">
        <v>2949</v>
      </c>
      <c r="B405" t="s">
        <v>2943</v>
      </c>
      <c r="C405" t="s">
        <v>2790</v>
      </c>
      <c r="H40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45498</v>
      </c>
      <c r="I405" s="49">
        <f ca="1">IFERROR(WEEKNUM(CRC_War_Room_SIMs[[#This Row],[Ops Date]]), "N/A")</f>
        <v>30</v>
      </c>
      <c r="J40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0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40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405" s="50">
        <f>IF(AND(CRC_War_Room_SIMs[[#This Row],[CI]] = 0, CRC_War_Room_SIMs[[#This Row],[Miss]] = 1), 1, 0)</f>
        <v>0</v>
      </c>
      <c r="N40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05" s="49">
        <f>IF(AND(CRC_War_Room_SIMs[[#This Row],[Excluded]] = 0, OR(CRC_War_Room_SIMs[[#This Row],[False Resolution Miss]] &lt;&gt; "", ISNUMBER(SEARCH("False Resolution", CRC_War_Room_SIMs[[#This Row],[Labels]])))), 1, 0)</f>
        <v>0</v>
      </c>
      <c r="P405" s="50">
        <f>IF(AND(CRC_War_Room_SIMs[[#This Row],[Excluded]] = 0, OR(CRC_War_Room_SIMs[[#This Row],[SLA Miss]] &lt;&gt; "", ISNUMBER(SEARCH("SLA", CRC_War_Room_SIMs[[#This Row],[Labels]])))), 1, 0)</f>
        <v>0</v>
      </c>
    </row>
    <row r="406" spans="1:16" x14ac:dyDescent="0.25">
      <c r="A406" t="s">
        <v>2950</v>
      </c>
      <c r="B406" t="s">
        <v>2951</v>
      </c>
      <c r="C406" t="s">
        <v>2952</v>
      </c>
      <c r="E406" t="s">
        <v>2490</v>
      </c>
      <c r="H40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06" s="49">
        <f ca="1">IFERROR(WEEKNUM(CRC_War_Room_SIMs[[#This Row],[Ops Date]]), "N/A")</f>
        <v>30</v>
      </c>
      <c r="J40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0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40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406" s="50">
        <f>IF(AND(CRC_War_Room_SIMs[[#This Row],[CI]] = 0, CRC_War_Room_SIMs[[#This Row],[Miss]] = 1), 1, 0)</f>
        <v>0</v>
      </c>
      <c r="N406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406" s="49">
        <f>IF(AND(CRC_War_Room_SIMs[[#This Row],[Excluded]] = 0, OR(CRC_War_Room_SIMs[[#This Row],[False Resolution Miss]] &lt;&gt; "", ISNUMBER(SEARCH("False Resolution", CRC_War_Room_SIMs[[#This Row],[Labels]])))), 1, 0)</f>
        <v>0</v>
      </c>
      <c r="P406" s="50">
        <f>IF(AND(CRC_War_Room_SIMs[[#This Row],[Excluded]] = 0, OR(CRC_War_Room_SIMs[[#This Row],[SLA Miss]] &lt;&gt; "", ISNUMBER(SEARCH("SLA", CRC_War_Room_SIMs[[#This Row],[Labels]])))), 1, 0)</f>
        <v>0</v>
      </c>
    </row>
    <row r="407" spans="1:16" x14ac:dyDescent="0.25">
      <c r="A407" t="s">
        <v>2953</v>
      </c>
      <c r="B407" t="s">
        <v>2951</v>
      </c>
      <c r="C407" t="s">
        <v>2954</v>
      </c>
      <c r="H40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07" s="49">
        <f ca="1">IFERROR(WEEKNUM(CRC_War_Room_SIMs[[#This Row],[Ops Date]]), "N/A")</f>
        <v>30</v>
      </c>
      <c r="J40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0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0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07" s="50">
        <f>IF(AND(CRC_War_Room_SIMs[[#This Row],[CI]] = 0, CRC_War_Room_SIMs[[#This Row],[Miss]] = 1), 1, 0)</f>
        <v>0</v>
      </c>
      <c r="N40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07" s="49">
        <f>IF(AND(CRC_War_Room_SIMs[[#This Row],[Excluded]] = 0, OR(CRC_War_Room_SIMs[[#This Row],[False Resolution Miss]] &lt;&gt; "", ISNUMBER(SEARCH("False Resolution", CRC_War_Room_SIMs[[#This Row],[Labels]])))), 1, 0)</f>
        <v>0</v>
      </c>
      <c r="P407" s="50">
        <f>IF(AND(CRC_War_Room_SIMs[[#This Row],[Excluded]] = 0, OR(CRC_War_Room_SIMs[[#This Row],[SLA Miss]] &lt;&gt; "", ISNUMBER(SEARCH("SLA", CRC_War_Room_SIMs[[#This Row],[Labels]])))), 1, 0)</f>
        <v>0</v>
      </c>
    </row>
    <row r="408" spans="1:16" x14ac:dyDescent="0.25">
      <c r="A408" t="s">
        <v>2955</v>
      </c>
      <c r="B408" t="s">
        <v>2956</v>
      </c>
      <c r="C408" t="s">
        <v>2954</v>
      </c>
      <c r="H40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08" s="49">
        <f ca="1">IFERROR(WEEKNUM(CRC_War_Room_SIMs[[#This Row],[Ops Date]]), "N/A")</f>
        <v>30</v>
      </c>
      <c r="J40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0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0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08" s="50">
        <f>IF(AND(CRC_War_Room_SIMs[[#This Row],[CI]] = 0, CRC_War_Room_SIMs[[#This Row],[Miss]] = 1), 1, 0)</f>
        <v>0</v>
      </c>
      <c r="N40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08" s="49">
        <f>IF(AND(CRC_War_Room_SIMs[[#This Row],[Excluded]] = 0, OR(CRC_War_Room_SIMs[[#This Row],[False Resolution Miss]] &lt;&gt; "", ISNUMBER(SEARCH("False Resolution", CRC_War_Room_SIMs[[#This Row],[Labels]])))), 1, 0)</f>
        <v>0</v>
      </c>
      <c r="P408" s="50">
        <f>IF(AND(CRC_War_Room_SIMs[[#This Row],[Excluded]] = 0, OR(CRC_War_Room_SIMs[[#This Row],[SLA Miss]] &lt;&gt; "", ISNUMBER(SEARCH("SLA", CRC_War_Room_SIMs[[#This Row],[Labels]])))), 1, 0)</f>
        <v>0</v>
      </c>
    </row>
    <row r="409" spans="1:16" x14ac:dyDescent="0.25">
      <c r="A409" t="s">
        <v>2957</v>
      </c>
      <c r="B409" t="s">
        <v>2951</v>
      </c>
      <c r="C409" t="s">
        <v>2954</v>
      </c>
      <c r="H40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09" s="49">
        <f ca="1">IFERROR(WEEKNUM(CRC_War_Room_SIMs[[#This Row],[Ops Date]]), "N/A")</f>
        <v>30</v>
      </c>
      <c r="J40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0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0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09" s="50">
        <f>IF(AND(CRC_War_Room_SIMs[[#This Row],[CI]] = 0, CRC_War_Room_SIMs[[#This Row],[Miss]] = 1), 1, 0)</f>
        <v>0</v>
      </c>
      <c r="N40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09" s="49">
        <f>IF(AND(CRC_War_Room_SIMs[[#This Row],[Excluded]] = 0, OR(CRC_War_Room_SIMs[[#This Row],[False Resolution Miss]] &lt;&gt; "", ISNUMBER(SEARCH("False Resolution", CRC_War_Room_SIMs[[#This Row],[Labels]])))), 1, 0)</f>
        <v>0</v>
      </c>
      <c r="P409" s="50">
        <f>IF(AND(CRC_War_Room_SIMs[[#This Row],[Excluded]] = 0, OR(CRC_War_Room_SIMs[[#This Row],[SLA Miss]] &lt;&gt; "", ISNUMBER(SEARCH("SLA", CRC_War_Room_SIMs[[#This Row],[Labels]])))), 1, 0)</f>
        <v>0</v>
      </c>
    </row>
    <row r="410" spans="1:16" x14ac:dyDescent="0.25">
      <c r="A410" t="s">
        <v>2958</v>
      </c>
      <c r="B410" t="s">
        <v>2951</v>
      </c>
      <c r="C410" t="s">
        <v>2954</v>
      </c>
      <c r="H41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10" s="49">
        <f ca="1">IFERROR(WEEKNUM(CRC_War_Room_SIMs[[#This Row],[Ops Date]]), "N/A")</f>
        <v>30</v>
      </c>
      <c r="J41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1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1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10" s="50">
        <f>IF(AND(CRC_War_Room_SIMs[[#This Row],[CI]] = 0, CRC_War_Room_SIMs[[#This Row],[Miss]] = 1), 1, 0)</f>
        <v>0</v>
      </c>
      <c r="N41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10" s="49">
        <f>IF(AND(CRC_War_Room_SIMs[[#This Row],[Excluded]] = 0, OR(CRC_War_Room_SIMs[[#This Row],[False Resolution Miss]] &lt;&gt; "", ISNUMBER(SEARCH("False Resolution", CRC_War_Room_SIMs[[#This Row],[Labels]])))), 1, 0)</f>
        <v>0</v>
      </c>
      <c r="P410" s="50">
        <f>IF(AND(CRC_War_Room_SIMs[[#This Row],[Excluded]] = 0, OR(CRC_War_Room_SIMs[[#This Row],[SLA Miss]] &lt;&gt; "", ISNUMBER(SEARCH("SLA", CRC_War_Room_SIMs[[#This Row],[Labels]])))), 1, 0)</f>
        <v>0</v>
      </c>
    </row>
    <row r="411" spans="1:16" x14ac:dyDescent="0.25">
      <c r="A411" t="s">
        <v>2959</v>
      </c>
      <c r="B411" t="s">
        <v>2951</v>
      </c>
      <c r="C411" t="s">
        <v>2954</v>
      </c>
      <c r="H41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11" s="49">
        <f ca="1">IFERROR(WEEKNUM(CRC_War_Room_SIMs[[#This Row],[Ops Date]]), "N/A")</f>
        <v>30</v>
      </c>
      <c r="J41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1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1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11" s="50">
        <f>IF(AND(CRC_War_Room_SIMs[[#This Row],[CI]] = 0, CRC_War_Room_SIMs[[#This Row],[Miss]] = 1), 1, 0)</f>
        <v>0</v>
      </c>
      <c r="N41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11" s="49">
        <f>IF(AND(CRC_War_Room_SIMs[[#This Row],[Excluded]] = 0, OR(CRC_War_Room_SIMs[[#This Row],[False Resolution Miss]] &lt;&gt; "", ISNUMBER(SEARCH("False Resolution", CRC_War_Room_SIMs[[#This Row],[Labels]])))), 1, 0)</f>
        <v>0</v>
      </c>
      <c r="P411" s="50">
        <f>IF(AND(CRC_War_Room_SIMs[[#This Row],[Excluded]] = 0, OR(CRC_War_Room_SIMs[[#This Row],[SLA Miss]] &lt;&gt; "", ISNUMBER(SEARCH("SLA", CRC_War_Room_SIMs[[#This Row],[Labels]])))), 1, 0)</f>
        <v>0</v>
      </c>
    </row>
    <row r="412" spans="1:16" x14ac:dyDescent="0.25">
      <c r="A412" t="s">
        <v>2960</v>
      </c>
      <c r="B412" t="s">
        <v>2956</v>
      </c>
      <c r="C412" t="s">
        <v>2954</v>
      </c>
      <c r="H41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12" s="49">
        <f ca="1">IFERROR(WEEKNUM(CRC_War_Room_SIMs[[#This Row],[Ops Date]]), "N/A")</f>
        <v>30</v>
      </c>
      <c r="J41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1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1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12" s="50">
        <f>IF(AND(CRC_War_Room_SIMs[[#This Row],[CI]] = 0, CRC_War_Room_SIMs[[#This Row],[Miss]] = 1), 1, 0)</f>
        <v>0</v>
      </c>
      <c r="N41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12" s="49">
        <f>IF(AND(CRC_War_Room_SIMs[[#This Row],[Excluded]] = 0, OR(CRC_War_Room_SIMs[[#This Row],[False Resolution Miss]] &lt;&gt; "", ISNUMBER(SEARCH("False Resolution", CRC_War_Room_SIMs[[#This Row],[Labels]])))), 1, 0)</f>
        <v>0</v>
      </c>
      <c r="P412" s="50">
        <f>IF(AND(CRC_War_Room_SIMs[[#This Row],[Excluded]] = 0, OR(CRC_War_Room_SIMs[[#This Row],[SLA Miss]] &lt;&gt; "", ISNUMBER(SEARCH("SLA", CRC_War_Room_SIMs[[#This Row],[Labels]])))), 1, 0)</f>
        <v>0</v>
      </c>
    </row>
    <row r="413" spans="1:16" x14ac:dyDescent="0.25">
      <c r="A413" t="s">
        <v>2961</v>
      </c>
      <c r="B413" t="s">
        <v>2956</v>
      </c>
      <c r="C413" t="s">
        <v>2954</v>
      </c>
      <c r="H41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13" s="49">
        <f ca="1">IFERROR(WEEKNUM(CRC_War_Room_SIMs[[#This Row],[Ops Date]]), "N/A")</f>
        <v>30</v>
      </c>
      <c r="J41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1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1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13" s="50">
        <f>IF(AND(CRC_War_Room_SIMs[[#This Row],[CI]] = 0, CRC_War_Room_SIMs[[#This Row],[Miss]] = 1), 1, 0)</f>
        <v>0</v>
      </c>
      <c r="N41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13" s="49">
        <f>IF(AND(CRC_War_Room_SIMs[[#This Row],[Excluded]] = 0, OR(CRC_War_Room_SIMs[[#This Row],[False Resolution Miss]] &lt;&gt; "", ISNUMBER(SEARCH("False Resolution", CRC_War_Room_SIMs[[#This Row],[Labels]])))), 1, 0)</f>
        <v>0</v>
      </c>
      <c r="P413" s="50">
        <f>IF(AND(CRC_War_Room_SIMs[[#This Row],[Excluded]] = 0, OR(CRC_War_Room_SIMs[[#This Row],[SLA Miss]] &lt;&gt; "", ISNUMBER(SEARCH("SLA", CRC_War_Room_SIMs[[#This Row],[Labels]])))), 1, 0)</f>
        <v>0</v>
      </c>
    </row>
    <row r="414" spans="1:16" x14ac:dyDescent="0.25">
      <c r="A414" t="s">
        <v>2962</v>
      </c>
      <c r="B414" t="s">
        <v>2956</v>
      </c>
      <c r="C414" t="s">
        <v>2954</v>
      </c>
      <c r="H41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14" s="49">
        <f ca="1">IFERROR(WEEKNUM(CRC_War_Room_SIMs[[#This Row],[Ops Date]]), "N/A")</f>
        <v>30</v>
      </c>
      <c r="J41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1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1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14" s="50">
        <f>IF(AND(CRC_War_Room_SIMs[[#This Row],[CI]] = 0, CRC_War_Room_SIMs[[#This Row],[Miss]] = 1), 1, 0)</f>
        <v>0</v>
      </c>
      <c r="N41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14" s="49">
        <f>IF(AND(CRC_War_Room_SIMs[[#This Row],[Excluded]] = 0, OR(CRC_War_Room_SIMs[[#This Row],[False Resolution Miss]] &lt;&gt; "", ISNUMBER(SEARCH("False Resolution", CRC_War_Room_SIMs[[#This Row],[Labels]])))), 1, 0)</f>
        <v>0</v>
      </c>
      <c r="P414" s="50">
        <f>IF(AND(CRC_War_Room_SIMs[[#This Row],[Excluded]] = 0, OR(CRC_War_Room_SIMs[[#This Row],[SLA Miss]] &lt;&gt; "", ISNUMBER(SEARCH("SLA", CRC_War_Room_SIMs[[#This Row],[Labels]])))), 1, 0)</f>
        <v>0</v>
      </c>
    </row>
    <row r="415" spans="1:16" x14ac:dyDescent="0.25">
      <c r="A415" t="s">
        <v>2963</v>
      </c>
      <c r="B415" t="s">
        <v>2964</v>
      </c>
      <c r="C415" t="s">
        <v>2954</v>
      </c>
      <c r="H41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15" s="49">
        <f ca="1">IFERROR(WEEKNUM(CRC_War_Room_SIMs[[#This Row],[Ops Date]]), "N/A")</f>
        <v>30</v>
      </c>
      <c r="J41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1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1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15" s="50">
        <f>IF(AND(CRC_War_Room_SIMs[[#This Row],[CI]] = 0, CRC_War_Room_SIMs[[#This Row],[Miss]] = 1), 1, 0)</f>
        <v>0</v>
      </c>
      <c r="N41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15" s="49">
        <f>IF(AND(CRC_War_Room_SIMs[[#This Row],[Excluded]] = 0, OR(CRC_War_Room_SIMs[[#This Row],[False Resolution Miss]] &lt;&gt; "", ISNUMBER(SEARCH("False Resolution", CRC_War_Room_SIMs[[#This Row],[Labels]])))), 1, 0)</f>
        <v>0</v>
      </c>
      <c r="P415" s="50">
        <f>IF(AND(CRC_War_Room_SIMs[[#This Row],[Excluded]] = 0, OR(CRC_War_Room_SIMs[[#This Row],[SLA Miss]] &lt;&gt; "", ISNUMBER(SEARCH("SLA", CRC_War_Room_SIMs[[#This Row],[Labels]])))), 1, 0)</f>
        <v>0</v>
      </c>
    </row>
    <row r="416" spans="1:16" x14ac:dyDescent="0.25">
      <c r="A416" t="s">
        <v>2965</v>
      </c>
      <c r="B416" t="s">
        <v>2964</v>
      </c>
      <c r="C416" t="s">
        <v>2954</v>
      </c>
      <c r="H41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16" s="49">
        <f ca="1">IFERROR(WEEKNUM(CRC_War_Room_SIMs[[#This Row],[Ops Date]]), "N/A")</f>
        <v>30</v>
      </c>
      <c r="J41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1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1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16" s="50">
        <f>IF(AND(CRC_War_Room_SIMs[[#This Row],[CI]] = 0, CRC_War_Room_SIMs[[#This Row],[Miss]] = 1), 1, 0)</f>
        <v>0</v>
      </c>
      <c r="N41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16" s="49">
        <f>IF(AND(CRC_War_Room_SIMs[[#This Row],[Excluded]] = 0, OR(CRC_War_Room_SIMs[[#This Row],[False Resolution Miss]] &lt;&gt; "", ISNUMBER(SEARCH("False Resolution", CRC_War_Room_SIMs[[#This Row],[Labels]])))), 1, 0)</f>
        <v>0</v>
      </c>
      <c r="P416" s="50">
        <f>IF(AND(CRC_War_Room_SIMs[[#This Row],[Excluded]] = 0, OR(CRC_War_Room_SIMs[[#This Row],[SLA Miss]] &lt;&gt; "", ISNUMBER(SEARCH("SLA", CRC_War_Room_SIMs[[#This Row],[Labels]])))), 1, 0)</f>
        <v>0</v>
      </c>
    </row>
    <row r="417" spans="1:16" x14ac:dyDescent="0.25">
      <c r="A417" t="s">
        <v>2966</v>
      </c>
      <c r="B417" t="s">
        <v>2956</v>
      </c>
      <c r="C417" t="s">
        <v>2954</v>
      </c>
      <c r="H41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17" s="49">
        <f ca="1">IFERROR(WEEKNUM(CRC_War_Room_SIMs[[#This Row],[Ops Date]]), "N/A")</f>
        <v>30</v>
      </c>
      <c r="J41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1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1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17" s="50">
        <f>IF(AND(CRC_War_Room_SIMs[[#This Row],[CI]] = 0, CRC_War_Room_SIMs[[#This Row],[Miss]] = 1), 1, 0)</f>
        <v>0</v>
      </c>
      <c r="N41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17" s="49">
        <f>IF(AND(CRC_War_Room_SIMs[[#This Row],[Excluded]] = 0, OR(CRC_War_Room_SIMs[[#This Row],[False Resolution Miss]] &lt;&gt; "", ISNUMBER(SEARCH("False Resolution", CRC_War_Room_SIMs[[#This Row],[Labels]])))), 1, 0)</f>
        <v>0</v>
      </c>
      <c r="P417" s="50">
        <f>IF(AND(CRC_War_Room_SIMs[[#This Row],[Excluded]] = 0, OR(CRC_War_Room_SIMs[[#This Row],[SLA Miss]] &lt;&gt; "", ISNUMBER(SEARCH("SLA", CRC_War_Room_SIMs[[#This Row],[Labels]])))), 1, 0)</f>
        <v>0</v>
      </c>
    </row>
    <row r="418" spans="1:16" x14ac:dyDescent="0.25">
      <c r="A418" t="s">
        <v>2967</v>
      </c>
      <c r="B418" t="s">
        <v>2968</v>
      </c>
      <c r="C418" t="s">
        <v>2954</v>
      </c>
      <c r="H41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18" s="49">
        <f ca="1">IFERROR(WEEKNUM(CRC_War_Room_SIMs[[#This Row],[Ops Date]]), "N/A")</f>
        <v>30</v>
      </c>
      <c r="J41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1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1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18" s="50">
        <f>IF(AND(CRC_War_Room_SIMs[[#This Row],[CI]] = 0, CRC_War_Room_SIMs[[#This Row],[Miss]] = 1), 1, 0)</f>
        <v>0</v>
      </c>
      <c r="N41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18" s="49">
        <f>IF(AND(CRC_War_Room_SIMs[[#This Row],[Excluded]] = 0, OR(CRC_War_Room_SIMs[[#This Row],[False Resolution Miss]] &lt;&gt; "", ISNUMBER(SEARCH("False Resolution", CRC_War_Room_SIMs[[#This Row],[Labels]])))), 1, 0)</f>
        <v>0</v>
      </c>
      <c r="P418" s="50">
        <f>IF(AND(CRC_War_Room_SIMs[[#This Row],[Excluded]] = 0, OR(CRC_War_Room_SIMs[[#This Row],[SLA Miss]] &lt;&gt; "", ISNUMBER(SEARCH("SLA", CRC_War_Room_SIMs[[#This Row],[Labels]])))), 1, 0)</f>
        <v>0</v>
      </c>
    </row>
    <row r="419" spans="1:16" x14ac:dyDescent="0.25">
      <c r="A419" t="s">
        <v>2969</v>
      </c>
      <c r="B419" t="s">
        <v>2956</v>
      </c>
      <c r="C419" t="s">
        <v>2954</v>
      </c>
      <c r="H41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19" s="49">
        <f ca="1">IFERROR(WEEKNUM(CRC_War_Room_SIMs[[#This Row],[Ops Date]]), "N/A")</f>
        <v>30</v>
      </c>
      <c r="J41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1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1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19" s="50">
        <f>IF(AND(CRC_War_Room_SIMs[[#This Row],[CI]] = 0, CRC_War_Room_SIMs[[#This Row],[Miss]] = 1), 1, 0)</f>
        <v>0</v>
      </c>
      <c r="N41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19" s="49">
        <f>IF(AND(CRC_War_Room_SIMs[[#This Row],[Excluded]] = 0, OR(CRC_War_Room_SIMs[[#This Row],[False Resolution Miss]] &lt;&gt; "", ISNUMBER(SEARCH("False Resolution", CRC_War_Room_SIMs[[#This Row],[Labels]])))), 1, 0)</f>
        <v>0</v>
      </c>
      <c r="P419" s="50">
        <f>IF(AND(CRC_War_Room_SIMs[[#This Row],[Excluded]] = 0, OR(CRC_War_Room_SIMs[[#This Row],[SLA Miss]] &lt;&gt; "", ISNUMBER(SEARCH("SLA", CRC_War_Room_SIMs[[#This Row],[Labels]])))), 1, 0)</f>
        <v>0</v>
      </c>
    </row>
    <row r="420" spans="1:16" x14ac:dyDescent="0.25">
      <c r="A420" t="s">
        <v>2970</v>
      </c>
      <c r="B420" t="s">
        <v>2964</v>
      </c>
      <c r="C420" t="s">
        <v>2954</v>
      </c>
      <c r="H42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20" s="49">
        <f ca="1">IFERROR(WEEKNUM(CRC_War_Room_SIMs[[#This Row],[Ops Date]]), "N/A")</f>
        <v>30</v>
      </c>
      <c r="J42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2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2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20" s="50">
        <f>IF(AND(CRC_War_Room_SIMs[[#This Row],[CI]] = 0, CRC_War_Room_SIMs[[#This Row],[Miss]] = 1), 1, 0)</f>
        <v>0</v>
      </c>
      <c r="N42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20" s="49">
        <f>IF(AND(CRC_War_Room_SIMs[[#This Row],[Excluded]] = 0, OR(CRC_War_Room_SIMs[[#This Row],[False Resolution Miss]] &lt;&gt; "", ISNUMBER(SEARCH("False Resolution", CRC_War_Room_SIMs[[#This Row],[Labels]])))), 1, 0)</f>
        <v>0</v>
      </c>
      <c r="P420" s="50">
        <f>IF(AND(CRC_War_Room_SIMs[[#This Row],[Excluded]] = 0, OR(CRC_War_Room_SIMs[[#This Row],[SLA Miss]] &lt;&gt; "", ISNUMBER(SEARCH("SLA", CRC_War_Room_SIMs[[#This Row],[Labels]])))), 1, 0)</f>
        <v>0</v>
      </c>
    </row>
    <row r="421" spans="1:16" x14ac:dyDescent="0.25">
      <c r="A421" t="s">
        <v>2971</v>
      </c>
      <c r="B421" t="s">
        <v>2964</v>
      </c>
      <c r="C421" t="s">
        <v>2954</v>
      </c>
      <c r="H42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21" s="49">
        <f ca="1">IFERROR(WEEKNUM(CRC_War_Room_SIMs[[#This Row],[Ops Date]]), "N/A")</f>
        <v>30</v>
      </c>
      <c r="J42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2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2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21" s="50">
        <f>IF(AND(CRC_War_Room_SIMs[[#This Row],[CI]] = 0, CRC_War_Room_SIMs[[#This Row],[Miss]] = 1), 1, 0)</f>
        <v>0</v>
      </c>
      <c r="N42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21" s="49">
        <f>IF(AND(CRC_War_Room_SIMs[[#This Row],[Excluded]] = 0, OR(CRC_War_Room_SIMs[[#This Row],[False Resolution Miss]] &lt;&gt; "", ISNUMBER(SEARCH("False Resolution", CRC_War_Room_SIMs[[#This Row],[Labels]])))), 1, 0)</f>
        <v>0</v>
      </c>
      <c r="P421" s="50">
        <f>IF(AND(CRC_War_Room_SIMs[[#This Row],[Excluded]] = 0, OR(CRC_War_Room_SIMs[[#This Row],[SLA Miss]] &lt;&gt; "", ISNUMBER(SEARCH("SLA", CRC_War_Room_SIMs[[#This Row],[Labels]])))), 1, 0)</f>
        <v>0</v>
      </c>
    </row>
    <row r="422" spans="1:16" x14ac:dyDescent="0.25">
      <c r="A422" t="s">
        <v>2972</v>
      </c>
      <c r="B422" t="s">
        <v>2956</v>
      </c>
      <c r="C422" t="s">
        <v>2954</v>
      </c>
      <c r="H42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22" s="49">
        <f ca="1">IFERROR(WEEKNUM(CRC_War_Room_SIMs[[#This Row],[Ops Date]]), "N/A")</f>
        <v>30</v>
      </c>
      <c r="J42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2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2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22" s="50">
        <f>IF(AND(CRC_War_Room_SIMs[[#This Row],[CI]] = 0, CRC_War_Room_SIMs[[#This Row],[Miss]] = 1), 1, 0)</f>
        <v>0</v>
      </c>
      <c r="N42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22" s="49">
        <f>IF(AND(CRC_War_Room_SIMs[[#This Row],[Excluded]] = 0, OR(CRC_War_Room_SIMs[[#This Row],[False Resolution Miss]] &lt;&gt; "", ISNUMBER(SEARCH("False Resolution", CRC_War_Room_SIMs[[#This Row],[Labels]])))), 1, 0)</f>
        <v>0</v>
      </c>
      <c r="P422" s="50">
        <f>IF(AND(CRC_War_Room_SIMs[[#This Row],[Excluded]] = 0, OR(CRC_War_Room_SIMs[[#This Row],[SLA Miss]] &lt;&gt; "", ISNUMBER(SEARCH("SLA", CRC_War_Room_SIMs[[#This Row],[Labels]])))), 1, 0)</f>
        <v>0</v>
      </c>
    </row>
    <row r="423" spans="1:16" x14ac:dyDescent="0.25">
      <c r="A423" t="s">
        <v>2973</v>
      </c>
      <c r="B423" t="s">
        <v>2968</v>
      </c>
      <c r="C423" t="s">
        <v>2954</v>
      </c>
      <c r="H42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23" s="49">
        <f ca="1">IFERROR(WEEKNUM(CRC_War_Room_SIMs[[#This Row],[Ops Date]]), "N/A")</f>
        <v>30</v>
      </c>
      <c r="J42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2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2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23" s="50">
        <f>IF(AND(CRC_War_Room_SIMs[[#This Row],[CI]] = 0, CRC_War_Room_SIMs[[#This Row],[Miss]] = 1), 1, 0)</f>
        <v>0</v>
      </c>
      <c r="N42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23" s="49">
        <f>IF(AND(CRC_War_Room_SIMs[[#This Row],[Excluded]] = 0, OR(CRC_War_Room_SIMs[[#This Row],[False Resolution Miss]] &lt;&gt; "", ISNUMBER(SEARCH("False Resolution", CRC_War_Room_SIMs[[#This Row],[Labels]])))), 1, 0)</f>
        <v>0</v>
      </c>
      <c r="P423" s="50">
        <f>IF(AND(CRC_War_Room_SIMs[[#This Row],[Excluded]] = 0, OR(CRC_War_Room_SIMs[[#This Row],[SLA Miss]] &lt;&gt; "", ISNUMBER(SEARCH("SLA", CRC_War_Room_SIMs[[#This Row],[Labels]])))), 1, 0)</f>
        <v>0</v>
      </c>
    </row>
    <row r="424" spans="1:16" x14ac:dyDescent="0.25">
      <c r="A424" t="s">
        <v>2974</v>
      </c>
      <c r="B424" t="s">
        <v>2964</v>
      </c>
      <c r="C424" t="s">
        <v>2954</v>
      </c>
      <c r="H42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24" s="49">
        <f ca="1">IFERROR(WEEKNUM(CRC_War_Room_SIMs[[#This Row],[Ops Date]]), "N/A")</f>
        <v>30</v>
      </c>
      <c r="J42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2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2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24" s="50">
        <f>IF(AND(CRC_War_Room_SIMs[[#This Row],[CI]] = 0, CRC_War_Room_SIMs[[#This Row],[Miss]] = 1), 1, 0)</f>
        <v>0</v>
      </c>
      <c r="N42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24" s="49">
        <f>IF(AND(CRC_War_Room_SIMs[[#This Row],[Excluded]] = 0, OR(CRC_War_Room_SIMs[[#This Row],[False Resolution Miss]] &lt;&gt; "", ISNUMBER(SEARCH("False Resolution", CRC_War_Room_SIMs[[#This Row],[Labels]])))), 1, 0)</f>
        <v>0</v>
      </c>
      <c r="P424" s="50">
        <f>IF(AND(CRC_War_Room_SIMs[[#This Row],[Excluded]] = 0, OR(CRC_War_Room_SIMs[[#This Row],[SLA Miss]] &lt;&gt; "", ISNUMBER(SEARCH("SLA", CRC_War_Room_SIMs[[#This Row],[Labels]])))), 1, 0)</f>
        <v>0</v>
      </c>
    </row>
    <row r="425" spans="1:16" x14ac:dyDescent="0.25">
      <c r="A425" t="s">
        <v>2975</v>
      </c>
      <c r="B425" t="s">
        <v>2964</v>
      </c>
      <c r="C425" t="s">
        <v>2954</v>
      </c>
      <c r="H42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25" s="49">
        <f ca="1">IFERROR(WEEKNUM(CRC_War_Room_SIMs[[#This Row],[Ops Date]]), "N/A")</f>
        <v>30</v>
      </c>
      <c r="J42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2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2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25" s="50">
        <f>IF(AND(CRC_War_Room_SIMs[[#This Row],[CI]] = 0, CRC_War_Room_SIMs[[#This Row],[Miss]] = 1), 1, 0)</f>
        <v>0</v>
      </c>
      <c r="N42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25" s="49">
        <f>IF(AND(CRC_War_Room_SIMs[[#This Row],[Excluded]] = 0, OR(CRC_War_Room_SIMs[[#This Row],[False Resolution Miss]] &lt;&gt; "", ISNUMBER(SEARCH("False Resolution", CRC_War_Room_SIMs[[#This Row],[Labels]])))), 1, 0)</f>
        <v>0</v>
      </c>
      <c r="P425" s="50">
        <f>IF(AND(CRC_War_Room_SIMs[[#This Row],[Excluded]] = 0, OR(CRC_War_Room_SIMs[[#This Row],[SLA Miss]] &lt;&gt; "", ISNUMBER(SEARCH("SLA", CRC_War_Room_SIMs[[#This Row],[Labels]])))), 1, 0)</f>
        <v>0</v>
      </c>
    </row>
    <row r="426" spans="1:16" x14ac:dyDescent="0.25">
      <c r="A426" t="s">
        <v>2976</v>
      </c>
      <c r="B426" t="s">
        <v>2964</v>
      </c>
      <c r="C426" t="s">
        <v>2954</v>
      </c>
      <c r="H42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26" s="49">
        <f ca="1">IFERROR(WEEKNUM(CRC_War_Room_SIMs[[#This Row],[Ops Date]]), "N/A")</f>
        <v>30</v>
      </c>
      <c r="J42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2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2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26" s="50">
        <f>IF(AND(CRC_War_Room_SIMs[[#This Row],[CI]] = 0, CRC_War_Room_SIMs[[#This Row],[Miss]] = 1), 1, 0)</f>
        <v>0</v>
      </c>
      <c r="N42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26" s="49">
        <f>IF(AND(CRC_War_Room_SIMs[[#This Row],[Excluded]] = 0, OR(CRC_War_Room_SIMs[[#This Row],[False Resolution Miss]] &lt;&gt; "", ISNUMBER(SEARCH("False Resolution", CRC_War_Room_SIMs[[#This Row],[Labels]])))), 1, 0)</f>
        <v>0</v>
      </c>
      <c r="P426" s="50">
        <f>IF(AND(CRC_War_Room_SIMs[[#This Row],[Excluded]] = 0, OR(CRC_War_Room_SIMs[[#This Row],[SLA Miss]] &lt;&gt; "", ISNUMBER(SEARCH("SLA", CRC_War_Room_SIMs[[#This Row],[Labels]])))), 1, 0)</f>
        <v>0</v>
      </c>
    </row>
    <row r="427" spans="1:16" x14ac:dyDescent="0.25">
      <c r="A427" t="s">
        <v>2977</v>
      </c>
      <c r="B427" t="s">
        <v>2968</v>
      </c>
      <c r="C427" t="s">
        <v>2954</v>
      </c>
      <c r="H42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27" s="49">
        <f ca="1">IFERROR(WEEKNUM(CRC_War_Room_SIMs[[#This Row],[Ops Date]]), "N/A")</f>
        <v>30</v>
      </c>
      <c r="J42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2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2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27" s="50">
        <f>IF(AND(CRC_War_Room_SIMs[[#This Row],[CI]] = 0, CRC_War_Room_SIMs[[#This Row],[Miss]] = 1), 1, 0)</f>
        <v>0</v>
      </c>
      <c r="N42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27" s="49">
        <f>IF(AND(CRC_War_Room_SIMs[[#This Row],[Excluded]] = 0, OR(CRC_War_Room_SIMs[[#This Row],[False Resolution Miss]] &lt;&gt; "", ISNUMBER(SEARCH("False Resolution", CRC_War_Room_SIMs[[#This Row],[Labels]])))), 1, 0)</f>
        <v>0</v>
      </c>
      <c r="P427" s="50">
        <f>IF(AND(CRC_War_Room_SIMs[[#This Row],[Excluded]] = 0, OR(CRC_War_Room_SIMs[[#This Row],[SLA Miss]] &lt;&gt; "", ISNUMBER(SEARCH("SLA", CRC_War_Room_SIMs[[#This Row],[Labels]])))), 1, 0)</f>
        <v>0</v>
      </c>
    </row>
    <row r="428" spans="1:16" x14ac:dyDescent="0.25">
      <c r="A428" t="s">
        <v>2978</v>
      </c>
      <c r="B428" t="s">
        <v>2968</v>
      </c>
      <c r="C428" t="s">
        <v>2954</v>
      </c>
      <c r="H42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28" s="49">
        <f ca="1">IFERROR(WEEKNUM(CRC_War_Room_SIMs[[#This Row],[Ops Date]]), "N/A")</f>
        <v>30</v>
      </c>
      <c r="J42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2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2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28" s="50">
        <f>IF(AND(CRC_War_Room_SIMs[[#This Row],[CI]] = 0, CRC_War_Room_SIMs[[#This Row],[Miss]] = 1), 1, 0)</f>
        <v>0</v>
      </c>
      <c r="N42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28" s="49">
        <f>IF(AND(CRC_War_Room_SIMs[[#This Row],[Excluded]] = 0, OR(CRC_War_Room_SIMs[[#This Row],[False Resolution Miss]] &lt;&gt; "", ISNUMBER(SEARCH("False Resolution", CRC_War_Room_SIMs[[#This Row],[Labels]])))), 1, 0)</f>
        <v>0</v>
      </c>
      <c r="P428" s="50">
        <f>IF(AND(CRC_War_Room_SIMs[[#This Row],[Excluded]] = 0, OR(CRC_War_Room_SIMs[[#This Row],[SLA Miss]] &lt;&gt; "", ISNUMBER(SEARCH("SLA", CRC_War_Room_SIMs[[#This Row],[Labels]])))), 1, 0)</f>
        <v>0</v>
      </c>
    </row>
    <row r="429" spans="1:16" x14ac:dyDescent="0.25">
      <c r="A429" t="s">
        <v>2979</v>
      </c>
      <c r="B429" t="s">
        <v>2956</v>
      </c>
      <c r="C429" t="s">
        <v>2952</v>
      </c>
      <c r="E429" t="s">
        <v>2490</v>
      </c>
      <c r="H42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29" s="49">
        <f ca="1">IFERROR(WEEKNUM(CRC_War_Room_SIMs[[#This Row],[Ops Date]]), "N/A")</f>
        <v>30</v>
      </c>
      <c r="J42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2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42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429" s="50">
        <f>IF(AND(CRC_War_Room_SIMs[[#This Row],[CI]] = 0, CRC_War_Room_SIMs[[#This Row],[Miss]] = 1), 1, 0)</f>
        <v>0</v>
      </c>
      <c r="N429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429" s="49">
        <f>IF(AND(CRC_War_Room_SIMs[[#This Row],[Excluded]] = 0, OR(CRC_War_Room_SIMs[[#This Row],[False Resolution Miss]] &lt;&gt; "", ISNUMBER(SEARCH("False Resolution", CRC_War_Room_SIMs[[#This Row],[Labels]])))), 1, 0)</f>
        <v>0</v>
      </c>
      <c r="P429" s="50">
        <f>IF(AND(CRC_War_Room_SIMs[[#This Row],[Excluded]] = 0, OR(CRC_War_Room_SIMs[[#This Row],[SLA Miss]] &lt;&gt; "", ISNUMBER(SEARCH("SLA", CRC_War_Room_SIMs[[#This Row],[Labels]])))), 1, 0)</f>
        <v>0</v>
      </c>
    </row>
    <row r="430" spans="1:16" x14ac:dyDescent="0.25">
      <c r="A430" t="s">
        <v>2980</v>
      </c>
      <c r="B430" t="s">
        <v>2968</v>
      </c>
      <c r="C430" t="s">
        <v>2954</v>
      </c>
      <c r="H43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30" s="49">
        <f ca="1">IFERROR(WEEKNUM(CRC_War_Room_SIMs[[#This Row],[Ops Date]]), "N/A")</f>
        <v>30</v>
      </c>
      <c r="J43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3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3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30" s="50">
        <f>IF(AND(CRC_War_Room_SIMs[[#This Row],[CI]] = 0, CRC_War_Room_SIMs[[#This Row],[Miss]] = 1), 1, 0)</f>
        <v>0</v>
      </c>
      <c r="N43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30" s="49">
        <f>IF(AND(CRC_War_Room_SIMs[[#This Row],[Excluded]] = 0, OR(CRC_War_Room_SIMs[[#This Row],[False Resolution Miss]] &lt;&gt; "", ISNUMBER(SEARCH("False Resolution", CRC_War_Room_SIMs[[#This Row],[Labels]])))), 1, 0)</f>
        <v>0</v>
      </c>
      <c r="P430" s="50">
        <f>IF(AND(CRC_War_Room_SIMs[[#This Row],[Excluded]] = 0, OR(CRC_War_Room_SIMs[[#This Row],[SLA Miss]] &lt;&gt; "", ISNUMBER(SEARCH("SLA", CRC_War_Room_SIMs[[#This Row],[Labels]])))), 1, 0)</f>
        <v>0</v>
      </c>
    </row>
    <row r="431" spans="1:16" x14ac:dyDescent="0.25">
      <c r="A431" t="s">
        <v>2981</v>
      </c>
      <c r="B431" t="s">
        <v>2968</v>
      </c>
      <c r="C431" t="s">
        <v>2954</v>
      </c>
      <c r="H43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31" s="49">
        <f ca="1">IFERROR(WEEKNUM(CRC_War_Room_SIMs[[#This Row],[Ops Date]]), "N/A")</f>
        <v>30</v>
      </c>
      <c r="J43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3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3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31" s="50">
        <f>IF(AND(CRC_War_Room_SIMs[[#This Row],[CI]] = 0, CRC_War_Room_SIMs[[#This Row],[Miss]] = 1), 1, 0)</f>
        <v>0</v>
      </c>
      <c r="N43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31" s="49">
        <f>IF(AND(CRC_War_Room_SIMs[[#This Row],[Excluded]] = 0, OR(CRC_War_Room_SIMs[[#This Row],[False Resolution Miss]] &lt;&gt; "", ISNUMBER(SEARCH("False Resolution", CRC_War_Room_SIMs[[#This Row],[Labels]])))), 1, 0)</f>
        <v>0</v>
      </c>
      <c r="P431" s="50">
        <f>IF(AND(CRC_War_Room_SIMs[[#This Row],[Excluded]] = 0, OR(CRC_War_Room_SIMs[[#This Row],[SLA Miss]] &lt;&gt; "", ISNUMBER(SEARCH("SLA", CRC_War_Room_SIMs[[#This Row],[Labels]])))), 1, 0)</f>
        <v>0</v>
      </c>
    </row>
    <row r="432" spans="1:16" x14ac:dyDescent="0.25">
      <c r="A432" t="s">
        <v>2982</v>
      </c>
      <c r="B432" t="s">
        <v>2968</v>
      </c>
      <c r="C432" t="s">
        <v>2954</v>
      </c>
      <c r="H43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32" s="49">
        <f ca="1">IFERROR(WEEKNUM(CRC_War_Room_SIMs[[#This Row],[Ops Date]]), "N/A")</f>
        <v>30</v>
      </c>
      <c r="J43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3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3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32" s="50">
        <f>IF(AND(CRC_War_Room_SIMs[[#This Row],[CI]] = 0, CRC_War_Room_SIMs[[#This Row],[Miss]] = 1), 1, 0)</f>
        <v>0</v>
      </c>
      <c r="N43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32" s="49">
        <f>IF(AND(CRC_War_Room_SIMs[[#This Row],[Excluded]] = 0, OR(CRC_War_Room_SIMs[[#This Row],[False Resolution Miss]] &lt;&gt; "", ISNUMBER(SEARCH("False Resolution", CRC_War_Room_SIMs[[#This Row],[Labels]])))), 1, 0)</f>
        <v>0</v>
      </c>
      <c r="P432" s="50">
        <f>IF(AND(CRC_War_Room_SIMs[[#This Row],[Excluded]] = 0, OR(CRC_War_Room_SIMs[[#This Row],[SLA Miss]] &lt;&gt; "", ISNUMBER(SEARCH("SLA", CRC_War_Room_SIMs[[#This Row],[Labels]])))), 1, 0)</f>
        <v>0</v>
      </c>
    </row>
    <row r="433" spans="1:16" x14ac:dyDescent="0.25">
      <c r="A433" t="s">
        <v>2983</v>
      </c>
      <c r="B433" t="s">
        <v>2956</v>
      </c>
      <c r="C433" t="s">
        <v>2954</v>
      </c>
      <c r="H43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33" s="49">
        <f ca="1">IFERROR(WEEKNUM(CRC_War_Room_SIMs[[#This Row],[Ops Date]]), "N/A")</f>
        <v>30</v>
      </c>
      <c r="J43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3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3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33" s="50">
        <f>IF(AND(CRC_War_Room_SIMs[[#This Row],[CI]] = 0, CRC_War_Room_SIMs[[#This Row],[Miss]] = 1), 1, 0)</f>
        <v>0</v>
      </c>
      <c r="N43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33" s="49">
        <f>IF(AND(CRC_War_Room_SIMs[[#This Row],[Excluded]] = 0, OR(CRC_War_Room_SIMs[[#This Row],[False Resolution Miss]] &lt;&gt; "", ISNUMBER(SEARCH("False Resolution", CRC_War_Room_SIMs[[#This Row],[Labels]])))), 1, 0)</f>
        <v>0</v>
      </c>
      <c r="P433" s="50">
        <f>IF(AND(CRC_War_Room_SIMs[[#This Row],[Excluded]] = 0, OR(CRC_War_Room_SIMs[[#This Row],[SLA Miss]] &lt;&gt; "", ISNUMBER(SEARCH("SLA", CRC_War_Room_SIMs[[#This Row],[Labels]])))), 1, 0)</f>
        <v>0</v>
      </c>
    </row>
    <row r="434" spans="1:16" x14ac:dyDescent="0.25">
      <c r="A434" t="s">
        <v>2984</v>
      </c>
      <c r="B434" t="s">
        <v>2956</v>
      </c>
      <c r="C434" t="s">
        <v>2954</v>
      </c>
      <c r="H43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34" s="49">
        <f ca="1">IFERROR(WEEKNUM(CRC_War_Room_SIMs[[#This Row],[Ops Date]]), "N/A")</f>
        <v>30</v>
      </c>
      <c r="J43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3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3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34" s="50">
        <f>IF(AND(CRC_War_Room_SIMs[[#This Row],[CI]] = 0, CRC_War_Room_SIMs[[#This Row],[Miss]] = 1), 1, 0)</f>
        <v>0</v>
      </c>
      <c r="N43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34" s="49">
        <f>IF(AND(CRC_War_Room_SIMs[[#This Row],[Excluded]] = 0, OR(CRC_War_Room_SIMs[[#This Row],[False Resolution Miss]] &lt;&gt; "", ISNUMBER(SEARCH("False Resolution", CRC_War_Room_SIMs[[#This Row],[Labels]])))), 1, 0)</f>
        <v>0</v>
      </c>
      <c r="P434" s="50">
        <f>IF(AND(CRC_War_Room_SIMs[[#This Row],[Excluded]] = 0, OR(CRC_War_Room_SIMs[[#This Row],[SLA Miss]] &lt;&gt; "", ISNUMBER(SEARCH("SLA", CRC_War_Room_SIMs[[#This Row],[Labels]])))), 1, 0)</f>
        <v>0</v>
      </c>
    </row>
    <row r="435" spans="1:16" x14ac:dyDescent="0.25">
      <c r="A435" t="s">
        <v>2985</v>
      </c>
      <c r="B435" t="s">
        <v>2986</v>
      </c>
      <c r="C435" t="s">
        <v>2954</v>
      </c>
      <c r="H43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35" s="49">
        <f ca="1">IFERROR(WEEKNUM(CRC_War_Room_SIMs[[#This Row],[Ops Date]]), "N/A")</f>
        <v>30</v>
      </c>
      <c r="J43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3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3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35" s="50">
        <f>IF(AND(CRC_War_Room_SIMs[[#This Row],[CI]] = 0, CRC_War_Room_SIMs[[#This Row],[Miss]] = 1), 1, 0)</f>
        <v>0</v>
      </c>
      <c r="N43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35" s="49">
        <f>IF(AND(CRC_War_Room_SIMs[[#This Row],[Excluded]] = 0, OR(CRC_War_Room_SIMs[[#This Row],[False Resolution Miss]] &lt;&gt; "", ISNUMBER(SEARCH("False Resolution", CRC_War_Room_SIMs[[#This Row],[Labels]])))), 1, 0)</f>
        <v>0</v>
      </c>
      <c r="P435" s="50">
        <f>IF(AND(CRC_War_Room_SIMs[[#This Row],[Excluded]] = 0, OR(CRC_War_Room_SIMs[[#This Row],[SLA Miss]] &lt;&gt; "", ISNUMBER(SEARCH("SLA", CRC_War_Room_SIMs[[#This Row],[Labels]])))), 1, 0)</f>
        <v>0</v>
      </c>
    </row>
    <row r="436" spans="1:16" x14ac:dyDescent="0.25">
      <c r="A436" t="s">
        <v>2987</v>
      </c>
      <c r="B436" t="s">
        <v>2951</v>
      </c>
      <c r="C436" t="s">
        <v>2954</v>
      </c>
      <c r="H43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36" s="49">
        <f ca="1">IFERROR(WEEKNUM(CRC_War_Room_SIMs[[#This Row],[Ops Date]]), "N/A")</f>
        <v>30</v>
      </c>
      <c r="J43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3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3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36" s="50">
        <f>IF(AND(CRC_War_Room_SIMs[[#This Row],[CI]] = 0, CRC_War_Room_SIMs[[#This Row],[Miss]] = 1), 1, 0)</f>
        <v>0</v>
      </c>
      <c r="N43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36" s="49">
        <f>IF(AND(CRC_War_Room_SIMs[[#This Row],[Excluded]] = 0, OR(CRC_War_Room_SIMs[[#This Row],[False Resolution Miss]] &lt;&gt; "", ISNUMBER(SEARCH("False Resolution", CRC_War_Room_SIMs[[#This Row],[Labels]])))), 1, 0)</f>
        <v>0</v>
      </c>
      <c r="P436" s="50">
        <f>IF(AND(CRC_War_Room_SIMs[[#This Row],[Excluded]] = 0, OR(CRC_War_Room_SIMs[[#This Row],[SLA Miss]] &lt;&gt; "", ISNUMBER(SEARCH("SLA", CRC_War_Room_SIMs[[#This Row],[Labels]])))), 1, 0)</f>
        <v>0</v>
      </c>
    </row>
    <row r="437" spans="1:16" x14ac:dyDescent="0.25">
      <c r="A437" t="s">
        <v>2988</v>
      </c>
      <c r="B437" t="s">
        <v>2956</v>
      </c>
      <c r="C437" t="s">
        <v>2952</v>
      </c>
      <c r="E437" t="s">
        <v>2490</v>
      </c>
      <c r="H43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37" s="49">
        <f ca="1">IFERROR(WEEKNUM(CRC_War_Room_SIMs[[#This Row],[Ops Date]]), "N/A")</f>
        <v>30</v>
      </c>
      <c r="J43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3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43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437" s="50">
        <f>IF(AND(CRC_War_Room_SIMs[[#This Row],[CI]] = 0, CRC_War_Room_SIMs[[#This Row],[Miss]] = 1), 1, 0)</f>
        <v>0</v>
      </c>
      <c r="N437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437" s="49">
        <f>IF(AND(CRC_War_Room_SIMs[[#This Row],[Excluded]] = 0, OR(CRC_War_Room_SIMs[[#This Row],[False Resolution Miss]] &lt;&gt; "", ISNUMBER(SEARCH("False Resolution", CRC_War_Room_SIMs[[#This Row],[Labels]])))), 1, 0)</f>
        <v>0</v>
      </c>
      <c r="P437" s="50">
        <f>IF(AND(CRC_War_Room_SIMs[[#This Row],[Excluded]] = 0, OR(CRC_War_Room_SIMs[[#This Row],[SLA Miss]] &lt;&gt; "", ISNUMBER(SEARCH("SLA", CRC_War_Room_SIMs[[#This Row],[Labels]])))), 1, 0)</f>
        <v>0</v>
      </c>
    </row>
    <row r="438" spans="1:16" x14ac:dyDescent="0.25">
      <c r="A438" t="s">
        <v>2989</v>
      </c>
      <c r="B438" t="s">
        <v>2986</v>
      </c>
      <c r="C438" t="s">
        <v>2954</v>
      </c>
      <c r="H43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38" s="49">
        <f ca="1">IFERROR(WEEKNUM(CRC_War_Room_SIMs[[#This Row],[Ops Date]]), "N/A")</f>
        <v>30</v>
      </c>
      <c r="J43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3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3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38" s="50">
        <f>IF(AND(CRC_War_Room_SIMs[[#This Row],[CI]] = 0, CRC_War_Room_SIMs[[#This Row],[Miss]] = 1), 1, 0)</f>
        <v>0</v>
      </c>
      <c r="N43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38" s="49">
        <f>IF(AND(CRC_War_Room_SIMs[[#This Row],[Excluded]] = 0, OR(CRC_War_Room_SIMs[[#This Row],[False Resolution Miss]] &lt;&gt; "", ISNUMBER(SEARCH("False Resolution", CRC_War_Room_SIMs[[#This Row],[Labels]])))), 1, 0)</f>
        <v>0</v>
      </c>
      <c r="P438" s="50">
        <f>IF(AND(CRC_War_Room_SIMs[[#This Row],[Excluded]] = 0, OR(CRC_War_Room_SIMs[[#This Row],[SLA Miss]] &lt;&gt; "", ISNUMBER(SEARCH("SLA", CRC_War_Room_SIMs[[#This Row],[Labels]])))), 1, 0)</f>
        <v>0</v>
      </c>
    </row>
    <row r="439" spans="1:16" x14ac:dyDescent="0.25">
      <c r="A439" t="s">
        <v>2990</v>
      </c>
      <c r="B439" t="s">
        <v>2991</v>
      </c>
      <c r="C439" t="s">
        <v>2954</v>
      </c>
      <c r="H43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39" s="49">
        <f ca="1">IFERROR(WEEKNUM(CRC_War_Room_SIMs[[#This Row],[Ops Date]]), "N/A")</f>
        <v>30</v>
      </c>
      <c r="J43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3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3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39" s="50">
        <f>IF(AND(CRC_War_Room_SIMs[[#This Row],[CI]] = 0, CRC_War_Room_SIMs[[#This Row],[Miss]] = 1), 1, 0)</f>
        <v>0</v>
      </c>
      <c r="N43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39" s="49">
        <f>IF(AND(CRC_War_Room_SIMs[[#This Row],[Excluded]] = 0, OR(CRC_War_Room_SIMs[[#This Row],[False Resolution Miss]] &lt;&gt; "", ISNUMBER(SEARCH("False Resolution", CRC_War_Room_SIMs[[#This Row],[Labels]])))), 1, 0)</f>
        <v>0</v>
      </c>
      <c r="P439" s="50">
        <f>IF(AND(CRC_War_Room_SIMs[[#This Row],[Excluded]] = 0, OR(CRC_War_Room_SIMs[[#This Row],[SLA Miss]] &lt;&gt; "", ISNUMBER(SEARCH("SLA", CRC_War_Room_SIMs[[#This Row],[Labels]])))), 1, 0)</f>
        <v>0</v>
      </c>
    </row>
    <row r="440" spans="1:16" x14ac:dyDescent="0.25">
      <c r="A440" t="s">
        <v>2992</v>
      </c>
      <c r="B440" t="s">
        <v>2951</v>
      </c>
      <c r="C440" t="s">
        <v>2954</v>
      </c>
      <c r="H44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40" s="49">
        <f ca="1">IFERROR(WEEKNUM(CRC_War_Room_SIMs[[#This Row],[Ops Date]]), "N/A")</f>
        <v>30</v>
      </c>
      <c r="J44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4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4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40" s="50">
        <f>IF(AND(CRC_War_Room_SIMs[[#This Row],[CI]] = 0, CRC_War_Room_SIMs[[#This Row],[Miss]] = 1), 1, 0)</f>
        <v>0</v>
      </c>
      <c r="N44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40" s="49">
        <f>IF(AND(CRC_War_Room_SIMs[[#This Row],[Excluded]] = 0, OR(CRC_War_Room_SIMs[[#This Row],[False Resolution Miss]] &lt;&gt; "", ISNUMBER(SEARCH("False Resolution", CRC_War_Room_SIMs[[#This Row],[Labels]])))), 1, 0)</f>
        <v>0</v>
      </c>
      <c r="P440" s="50">
        <f>IF(AND(CRC_War_Room_SIMs[[#This Row],[Excluded]] = 0, OR(CRC_War_Room_SIMs[[#This Row],[SLA Miss]] &lt;&gt; "", ISNUMBER(SEARCH("SLA", CRC_War_Room_SIMs[[#This Row],[Labels]])))), 1, 0)</f>
        <v>0</v>
      </c>
    </row>
    <row r="441" spans="1:16" x14ac:dyDescent="0.25">
      <c r="A441" t="s">
        <v>2993</v>
      </c>
      <c r="B441" t="s">
        <v>2986</v>
      </c>
      <c r="C441" t="s">
        <v>2954</v>
      </c>
      <c r="H44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41" s="49">
        <f ca="1">IFERROR(WEEKNUM(CRC_War_Room_SIMs[[#This Row],[Ops Date]]), "N/A")</f>
        <v>30</v>
      </c>
      <c r="J44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4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4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41" s="50">
        <f>IF(AND(CRC_War_Room_SIMs[[#This Row],[CI]] = 0, CRC_War_Room_SIMs[[#This Row],[Miss]] = 1), 1, 0)</f>
        <v>0</v>
      </c>
      <c r="N44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41" s="49">
        <f>IF(AND(CRC_War_Room_SIMs[[#This Row],[Excluded]] = 0, OR(CRC_War_Room_SIMs[[#This Row],[False Resolution Miss]] &lt;&gt; "", ISNUMBER(SEARCH("False Resolution", CRC_War_Room_SIMs[[#This Row],[Labels]])))), 1, 0)</f>
        <v>0</v>
      </c>
      <c r="P441" s="50">
        <f>IF(AND(CRC_War_Room_SIMs[[#This Row],[Excluded]] = 0, OR(CRC_War_Room_SIMs[[#This Row],[SLA Miss]] &lt;&gt; "", ISNUMBER(SEARCH("SLA", CRC_War_Room_SIMs[[#This Row],[Labels]])))), 1, 0)</f>
        <v>0</v>
      </c>
    </row>
    <row r="442" spans="1:16" x14ac:dyDescent="0.25">
      <c r="A442" t="s">
        <v>2994</v>
      </c>
      <c r="B442" t="s">
        <v>2986</v>
      </c>
      <c r="C442" t="s">
        <v>2954</v>
      </c>
      <c r="H44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42" s="49">
        <f ca="1">IFERROR(WEEKNUM(CRC_War_Room_SIMs[[#This Row],[Ops Date]]), "N/A")</f>
        <v>30</v>
      </c>
      <c r="J44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4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4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42" s="50">
        <f>IF(AND(CRC_War_Room_SIMs[[#This Row],[CI]] = 0, CRC_War_Room_SIMs[[#This Row],[Miss]] = 1), 1, 0)</f>
        <v>0</v>
      </c>
      <c r="N44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42" s="49">
        <f>IF(AND(CRC_War_Room_SIMs[[#This Row],[Excluded]] = 0, OR(CRC_War_Room_SIMs[[#This Row],[False Resolution Miss]] &lt;&gt; "", ISNUMBER(SEARCH("False Resolution", CRC_War_Room_SIMs[[#This Row],[Labels]])))), 1, 0)</f>
        <v>0</v>
      </c>
      <c r="P442" s="50">
        <f>IF(AND(CRC_War_Room_SIMs[[#This Row],[Excluded]] = 0, OR(CRC_War_Room_SIMs[[#This Row],[SLA Miss]] &lt;&gt; "", ISNUMBER(SEARCH("SLA", CRC_War_Room_SIMs[[#This Row],[Labels]])))), 1, 0)</f>
        <v>0</v>
      </c>
    </row>
    <row r="443" spans="1:16" x14ac:dyDescent="0.25">
      <c r="A443" t="s">
        <v>2995</v>
      </c>
      <c r="B443" t="s">
        <v>2986</v>
      </c>
      <c r="C443" t="s">
        <v>2954</v>
      </c>
      <c r="H44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43" s="49">
        <f ca="1">IFERROR(WEEKNUM(CRC_War_Room_SIMs[[#This Row],[Ops Date]]), "N/A")</f>
        <v>30</v>
      </c>
      <c r="J44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4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4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43" s="50">
        <f>IF(AND(CRC_War_Room_SIMs[[#This Row],[CI]] = 0, CRC_War_Room_SIMs[[#This Row],[Miss]] = 1), 1, 0)</f>
        <v>0</v>
      </c>
      <c r="N44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43" s="49">
        <f>IF(AND(CRC_War_Room_SIMs[[#This Row],[Excluded]] = 0, OR(CRC_War_Room_SIMs[[#This Row],[False Resolution Miss]] &lt;&gt; "", ISNUMBER(SEARCH("False Resolution", CRC_War_Room_SIMs[[#This Row],[Labels]])))), 1, 0)</f>
        <v>0</v>
      </c>
      <c r="P443" s="50">
        <f>IF(AND(CRC_War_Room_SIMs[[#This Row],[Excluded]] = 0, OR(CRC_War_Room_SIMs[[#This Row],[SLA Miss]] &lt;&gt; "", ISNUMBER(SEARCH("SLA", CRC_War_Room_SIMs[[#This Row],[Labels]])))), 1, 0)</f>
        <v>0</v>
      </c>
    </row>
    <row r="444" spans="1:16" x14ac:dyDescent="0.25">
      <c r="A444" t="s">
        <v>2996</v>
      </c>
      <c r="B444" t="s">
        <v>2951</v>
      </c>
      <c r="C444" t="s">
        <v>2954</v>
      </c>
      <c r="H44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44" s="49">
        <f ca="1">IFERROR(WEEKNUM(CRC_War_Room_SIMs[[#This Row],[Ops Date]]), "N/A")</f>
        <v>30</v>
      </c>
      <c r="J44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4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4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44" s="50">
        <f>IF(AND(CRC_War_Room_SIMs[[#This Row],[CI]] = 0, CRC_War_Room_SIMs[[#This Row],[Miss]] = 1), 1, 0)</f>
        <v>0</v>
      </c>
      <c r="N44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44" s="49">
        <f>IF(AND(CRC_War_Room_SIMs[[#This Row],[Excluded]] = 0, OR(CRC_War_Room_SIMs[[#This Row],[False Resolution Miss]] &lt;&gt; "", ISNUMBER(SEARCH("False Resolution", CRC_War_Room_SIMs[[#This Row],[Labels]])))), 1, 0)</f>
        <v>0</v>
      </c>
      <c r="P444" s="50">
        <f>IF(AND(CRC_War_Room_SIMs[[#This Row],[Excluded]] = 0, OR(CRC_War_Room_SIMs[[#This Row],[SLA Miss]] &lt;&gt; "", ISNUMBER(SEARCH("SLA", CRC_War_Room_SIMs[[#This Row],[Labels]])))), 1, 0)</f>
        <v>0</v>
      </c>
    </row>
    <row r="445" spans="1:16" x14ac:dyDescent="0.25">
      <c r="A445" t="s">
        <v>2997</v>
      </c>
      <c r="B445" t="s">
        <v>2986</v>
      </c>
      <c r="C445" t="s">
        <v>2954</v>
      </c>
      <c r="H44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45" s="49">
        <f ca="1">IFERROR(WEEKNUM(CRC_War_Room_SIMs[[#This Row],[Ops Date]]), "N/A")</f>
        <v>30</v>
      </c>
      <c r="J44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4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4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45" s="50">
        <f>IF(AND(CRC_War_Room_SIMs[[#This Row],[CI]] = 0, CRC_War_Room_SIMs[[#This Row],[Miss]] = 1), 1, 0)</f>
        <v>0</v>
      </c>
      <c r="N44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45" s="49">
        <f>IF(AND(CRC_War_Room_SIMs[[#This Row],[Excluded]] = 0, OR(CRC_War_Room_SIMs[[#This Row],[False Resolution Miss]] &lt;&gt; "", ISNUMBER(SEARCH("False Resolution", CRC_War_Room_SIMs[[#This Row],[Labels]])))), 1, 0)</f>
        <v>0</v>
      </c>
      <c r="P445" s="50">
        <f>IF(AND(CRC_War_Room_SIMs[[#This Row],[Excluded]] = 0, OR(CRC_War_Room_SIMs[[#This Row],[SLA Miss]] &lt;&gt; "", ISNUMBER(SEARCH("SLA", CRC_War_Room_SIMs[[#This Row],[Labels]])))), 1, 0)</f>
        <v>0</v>
      </c>
    </row>
    <row r="446" spans="1:16" x14ac:dyDescent="0.25">
      <c r="A446" t="s">
        <v>2998</v>
      </c>
      <c r="B446" t="s">
        <v>2986</v>
      </c>
      <c r="C446" t="s">
        <v>2954</v>
      </c>
      <c r="H44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46" s="49">
        <f ca="1">IFERROR(WEEKNUM(CRC_War_Room_SIMs[[#This Row],[Ops Date]]), "N/A")</f>
        <v>30</v>
      </c>
      <c r="J44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4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4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46" s="50">
        <f>IF(AND(CRC_War_Room_SIMs[[#This Row],[CI]] = 0, CRC_War_Room_SIMs[[#This Row],[Miss]] = 1), 1, 0)</f>
        <v>0</v>
      </c>
      <c r="N44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46" s="49">
        <f>IF(AND(CRC_War_Room_SIMs[[#This Row],[Excluded]] = 0, OR(CRC_War_Room_SIMs[[#This Row],[False Resolution Miss]] &lt;&gt; "", ISNUMBER(SEARCH("False Resolution", CRC_War_Room_SIMs[[#This Row],[Labels]])))), 1, 0)</f>
        <v>0</v>
      </c>
      <c r="P446" s="50">
        <f>IF(AND(CRC_War_Room_SIMs[[#This Row],[Excluded]] = 0, OR(CRC_War_Room_SIMs[[#This Row],[SLA Miss]] &lt;&gt; "", ISNUMBER(SEARCH("SLA", CRC_War_Room_SIMs[[#This Row],[Labels]])))), 1, 0)</f>
        <v>0</v>
      </c>
    </row>
    <row r="447" spans="1:16" x14ac:dyDescent="0.25">
      <c r="A447" t="s">
        <v>2999</v>
      </c>
      <c r="B447" t="s">
        <v>2986</v>
      </c>
      <c r="C447" t="s">
        <v>2954</v>
      </c>
      <c r="H44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47" s="49">
        <f ca="1">IFERROR(WEEKNUM(CRC_War_Room_SIMs[[#This Row],[Ops Date]]), "N/A")</f>
        <v>30</v>
      </c>
      <c r="J44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4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4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47" s="50">
        <f>IF(AND(CRC_War_Room_SIMs[[#This Row],[CI]] = 0, CRC_War_Room_SIMs[[#This Row],[Miss]] = 1), 1, 0)</f>
        <v>0</v>
      </c>
      <c r="N44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47" s="49">
        <f>IF(AND(CRC_War_Room_SIMs[[#This Row],[Excluded]] = 0, OR(CRC_War_Room_SIMs[[#This Row],[False Resolution Miss]] &lt;&gt; "", ISNUMBER(SEARCH("False Resolution", CRC_War_Room_SIMs[[#This Row],[Labels]])))), 1, 0)</f>
        <v>0</v>
      </c>
      <c r="P447" s="50">
        <f>IF(AND(CRC_War_Room_SIMs[[#This Row],[Excluded]] = 0, OR(CRC_War_Room_SIMs[[#This Row],[SLA Miss]] &lt;&gt; "", ISNUMBER(SEARCH("SLA", CRC_War_Room_SIMs[[#This Row],[Labels]])))), 1, 0)</f>
        <v>0</v>
      </c>
    </row>
    <row r="448" spans="1:16" x14ac:dyDescent="0.25">
      <c r="A448" t="s">
        <v>3000</v>
      </c>
      <c r="B448" t="s">
        <v>2951</v>
      </c>
      <c r="C448" t="s">
        <v>2954</v>
      </c>
      <c r="H44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48" s="49">
        <f ca="1">IFERROR(WEEKNUM(CRC_War_Room_SIMs[[#This Row],[Ops Date]]), "N/A")</f>
        <v>30</v>
      </c>
      <c r="J44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4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4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48" s="50">
        <f>IF(AND(CRC_War_Room_SIMs[[#This Row],[CI]] = 0, CRC_War_Room_SIMs[[#This Row],[Miss]] = 1), 1, 0)</f>
        <v>0</v>
      </c>
      <c r="N44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48" s="49">
        <f>IF(AND(CRC_War_Room_SIMs[[#This Row],[Excluded]] = 0, OR(CRC_War_Room_SIMs[[#This Row],[False Resolution Miss]] &lt;&gt; "", ISNUMBER(SEARCH("False Resolution", CRC_War_Room_SIMs[[#This Row],[Labels]])))), 1, 0)</f>
        <v>0</v>
      </c>
      <c r="P448" s="50">
        <f>IF(AND(CRC_War_Room_SIMs[[#This Row],[Excluded]] = 0, OR(CRC_War_Room_SIMs[[#This Row],[SLA Miss]] &lt;&gt; "", ISNUMBER(SEARCH("SLA", CRC_War_Room_SIMs[[#This Row],[Labels]])))), 1, 0)</f>
        <v>0</v>
      </c>
    </row>
    <row r="449" spans="1:16" x14ac:dyDescent="0.25">
      <c r="A449" t="s">
        <v>3001</v>
      </c>
      <c r="B449" t="s">
        <v>2986</v>
      </c>
      <c r="C449" t="s">
        <v>2954</v>
      </c>
      <c r="H44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49" s="49">
        <f ca="1">IFERROR(WEEKNUM(CRC_War_Room_SIMs[[#This Row],[Ops Date]]), "N/A")</f>
        <v>30</v>
      </c>
      <c r="J44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4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4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49" s="50">
        <f>IF(AND(CRC_War_Room_SIMs[[#This Row],[CI]] = 0, CRC_War_Room_SIMs[[#This Row],[Miss]] = 1), 1, 0)</f>
        <v>0</v>
      </c>
      <c r="N44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49" s="49">
        <f>IF(AND(CRC_War_Room_SIMs[[#This Row],[Excluded]] = 0, OR(CRC_War_Room_SIMs[[#This Row],[False Resolution Miss]] &lt;&gt; "", ISNUMBER(SEARCH("False Resolution", CRC_War_Room_SIMs[[#This Row],[Labels]])))), 1, 0)</f>
        <v>0</v>
      </c>
      <c r="P449" s="50">
        <f>IF(AND(CRC_War_Room_SIMs[[#This Row],[Excluded]] = 0, OR(CRC_War_Room_SIMs[[#This Row],[SLA Miss]] &lt;&gt; "", ISNUMBER(SEARCH("SLA", CRC_War_Room_SIMs[[#This Row],[Labels]])))), 1, 0)</f>
        <v>0</v>
      </c>
    </row>
    <row r="450" spans="1:16" x14ac:dyDescent="0.25">
      <c r="A450" t="s">
        <v>3002</v>
      </c>
      <c r="B450" t="s">
        <v>2951</v>
      </c>
      <c r="C450" t="s">
        <v>2954</v>
      </c>
      <c r="H45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50" s="49">
        <f ca="1">IFERROR(WEEKNUM(CRC_War_Room_SIMs[[#This Row],[Ops Date]]), "N/A")</f>
        <v>30</v>
      </c>
      <c r="J45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5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5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50" s="50">
        <f>IF(AND(CRC_War_Room_SIMs[[#This Row],[CI]] = 0, CRC_War_Room_SIMs[[#This Row],[Miss]] = 1), 1, 0)</f>
        <v>0</v>
      </c>
      <c r="N45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50" s="49">
        <f>IF(AND(CRC_War_Room_SIMs[[#This Row],[Excluded]] = 0, OR(CRC_War_Room_SIMs[[#This Row],[False Resolution Miss]] &lt;&gt; "", ISNUMBER(SEARCH("False Resolution", CRC_War_Room_SIMs[[#This Row],[Labels]])))), 1, 0)</f>
        <v>0</v>
      </c>
      <c r="P450" s="50">
        <f>IF(AND(CRC_War_Room_SIMs[[#This Row],[Excluded]] = 0, OR(CRC_War_Room_SIMs[[#This Row],[SLA Miss]] &lt;&gt; "", ISNUMBER(SEARCH("SLA", CRC_War_Room_SIMs[[#This Row],[Labels]])))), 1, 0)</f>
        <v>0</v>
      </c>
    </row>
    <row r="451" spans="1:16" x14ac:dyDescent="0.25">
      <c r="A451" t="s">
        <v>3003</v>
      </c>
      <c r="B451" t="s">
        <v>2951</v>
      </c>
      <c r="C451" t="s">
        <v>2954</v>
      </c>
      <c r="H45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51" s="49">
        <f ca="1">IFERROR(WEEKNUM(CRC_War_Room_SIMs[[#This Row],[Ops Date]]), "N/A")</f>
        <v>30</v>
      </c>
      <c r="J45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5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5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51" s="50">
        <f>IF(AND(CRC_War_Room_SIMs[[#This Row],[CI]] = 0, CRC_War_Room_SIMs[[#This Row],[Miss]] = 1), 1, 0)</f>
        <v>0</v>
      </c>
      <c r="N45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51" s="49">
        <f>IF(AND(CRC_War_Room_SIMs[[#This Row],[Excluded]] = 0, OR(CRC_War_Room_SIMs[[#This Row],[False Resolution Miss]] &lt;&gt; "", ISNUMBER(SEARCH("False Resolution", CRC_War_Room_SIMs[[#This Row],[Labels]])))), 1, 0)</f>
        <v>0</v>
      </c>
      <c r="P451" s="50">
        <f>IF(AND(CRC_War_Room_SIMs[[#This Row],[Excluded]] = 0, OR(CRC_War_Room_SIMs[[#This Row],[SLA Miss]] &lt;&gt; "", ISNUMBER(SEARCH("SLA", CRC_War_Room_SIMs[[#This Row],[Labels]])))), 1, 0)</f>
        <v>0</v>
      </c>
    </row>
    <row r="452" spans="1:16" x14ac:dyDescent="0.25">
      <c r="A452" t="s">
        <v>3004</v>
      </c>
      <c r="B452" t="s">
        <v>2986</v>
      </c>
      <c r="C452" t="s">
        <v>2954</v>
      </c>
      <c r="H45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52" s="49">
        <f ca="1">IFERROR(WEEKNUM(CRC_War_Room_SIMs[[#This Row],[Ops Date]]), "N/A")</f>
        <v>30</v>
      </c>
      <c r="J45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5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5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52" s="50">
        <f>IF(AND(CRC_War_Room_SIMs[[#This Row],[CI]] = 0, CRC_War_Room_SIMs[[#This Row],[Miss]] = 1), 1, 0)</f>
        <v>0</v>
      </c>
      <c r="N45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52" s="49">
        <f>IF(AND(CRC_War_Room_SIMs[[#This Row],[Excluded]] = 0, OR(CRC_War_Room_SIMs[[#This Row],[False Resolution Miss]] &lt;&gt; "", ISNUMBER(SEARCH("False Resolution", CRC_War_Room_SIMs[[#This Row],[Labels]])))), 1, 0)</f>
        <v>0</v>
      </c>
      <c r="P452" s="50">
        <f>IF(AND(CRC_War_Room_SIMs[[#This Row],[Excluded]] = 0, OR(CRC_War_Room_SIMs[[#This Row],[SLA Miss]] &lt;&gt; "", ISNUMBER(SEARCH("SLA", CRC_War_Room_SIMs[[#This Row],[Labels]])))), 1, 0)</f>
        <v>0</v>
      </c>
    </row>
    <row r="453" spans="1:16" x14ac:dyDescent="0.25">
      <c r="A453" t="s">
        <v>3005</v>
      </c>
      <c r="B453" t="s">
        <v>2991</v>
      </c>
      <c r="C453" t="s">
        <v>2954</v>
      </c>
      <c r="H45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53" s="49">
        <f ca="1">IFERROR(WEEKNUM(CRC_War_Room_SIMs[[#This Row],[Ops Date]]), "N/A")</f>
        <v>30</v>
      </c>
      <c r="J45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5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5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53" s="50">
        <f>IF(AND(CRC_War_Room_SIMs[[#This Row],[CI]] = 0, CRC_War_Room_SIMs[[#This Row],[Miss]] = 1), 1, 0)</f>
        <v>0</v>
      </c>
      <c r="N45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53" s="49">
        <f>IF(AND(CRC_War_Room_SIMs[[#This Row],[Excluded]] = 0, OR(CRC_War_Room_SIMs[[#This Row],[False Resolution Miss]] &lt;&gt; "", ISNUMBER(SEARCH("False Resolution", CRC_War_Room_SIMs[[#This Row],[Labels]])))), 1, 0)</f>
        <v>0</v>
      </c>
      <c r="P453" s="50">
        <f>IF(AND(CRC_War_Room_SIMs[[#This Row],[Excluded]] = 0, OR(CRC_War_Room_SIMs[[#This Row],[SLA Miss]] &lt;&gt; "", ISNUMBER(SEARCH("SLA", CRC_War_Room_SIMs[[#This Row],[Labels]])))), 1, 0)</f>
        <v>0</v>
      </c>
    </row>
    <row r="454" spans="1:16" x14ac:dyDescent="0.25">
      <c r="A454" t="s">
        <v>3006</v>
      </c>
      <c r="B454" t="s">
        <v>2776</v>
      </c>
      <c r="C454" t="s">
        <v>2954</v>
      </c>
      <c r="H45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54" s="49">
        <f ca="1">IFERROR(WEEKNUM(CRC_War_Room_SIMs[[#This Row],[Ops Date]]), "N/A")</f>
        <v>30</v>
      </c>
      <c r="J45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5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5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54" s="50">
        <f>IF(AND(CRC_War_Room_SIMs[[#This Row],[CI]] = 0, CRC_War_Room_SIMs[[#This Row],[Miss]] = 1), 1, 0)</f>
        <v>0</v>
      </c>
      <c r="N45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54" s="49">
        <f>IF(AND(CRC_War_Room_SIMs[[#This Row],[Excluded]] = 0, OR(CRC_War_Room_SIMs[[#This Row],[False Resolution Miss]] &lt;&gt; "", ISNUMBER(SEARCH("False Resolution", CRC_War_Room_SIMs[[#This Row],[Labels]])))), 1, 0)</f>
        <v>0</v>
      </c>
      <c r="P454" s="50">
        <f>IF(AND(CRC_War_Room_SIMs[[#This Row],[Excluded]] = 0, OR(CRC_War_Room_SIMs[[#This Row],[SLA Miss]] &lt;&gt; "", ISNUMBER(SEARCH("SLA", CRC_War_Room_SIMs[[#This Row],[Labels]])))), 1, 0)</f>
        <v>0</v>
      </c>
    </row>
    <row r="455" spans="1:16" x14ac:dyDescent="0.25">
      <c r="A455" t="s">
        <v>3007</v>
      </c>
      <c r="B455" t="s">
        <v>2991</v>
      </c>
      <c r="C455" t="s">
        <v>2954</v>
      </c>
      <c r="H45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55" s="49">
        <f ca="1">IFERROR(WEEKNUM(CRC_War_Room_SIMs[[#This Row],[Ops Date]]), "N/A")</f>
        <v>30</v>
      </c>
      <c r="J45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5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5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55" s="50">
        <f>IF(AND(CRC_War_Room_SIMs[[#This Row],[CI]] = 0, CRC_War_Room_SIMs[[#This Row],[Miss]] = 1), 1, 0)</f>
        <v>0</v>
      </c>
      <c r="N45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55" s="49">
        <f>IF(AND(CRC_War_Room_SIMs[[#This Row],[Excluded]] = 0, OR(CRC_War_Room_SIMs[[#This Row],[False Resolution Miss]] &lt;&gt; "", ISNUMBER(SEARCH("False Resolution", CRC_War_Room_SIMs[[#This Row],[Labels]])))), 1, 0)</f>
        <v>0</v>
      </c>
      <c r="P455" s="50">
        <f>IF(AND(CRC_War_Room_SIMs[[#This Row],[Excluded]] = 0, OR(CRC_War_Room_SIMs[[#This Row],[SLA Miss]] &lt;&gt; "", ISNUMBER(SEARCH("SLA", CRC_War_Room_SIMs[[#This Row],[Labels]])))), 1, 0)</f>
        <v>0</v>
      </c>
    </row>
    <row r="456" spans="1:16" x14ac:dyDescent="0.25">
      <c r="A456" t="s">
        <v>3008</v>
      </c>
      <c r="B456" t="s">
        <v>2991</v>
      </c>
      <c r="C456" t="s">
        <v>2954</v>
      </c>
      <c r="H45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56" s="49">
        <f ca="1">IFERROR(WEEKNUM(CRC_War_Room_SIMs[[#This Row],[Ops Date]]), "N/A")</f>
        <v>30</v>
      </c>
      <c r="J45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5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5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56" s="50">
        <f>IF(AND(CRC_War_Room_SIMs[[#This Row],[CI]] = 0, CRC_War_Room_SIMs[[#This Row],[Miss]] = 1), 1, 0)</f>
        <v>0</v>
      </c>
      <c r="N45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56" s="49">
        <f>IF(AND(CRC_War_Room_SIMs[[#This Row],[Excluded]] = 0, OR(CRC_War_Room_SIMs[[#This Row],[False Resolution Miss]] &lt;&gt; "", ISNUMBER(SEARCH("False Resolution", CRC_War_Room_SIMs[[#This Row],[Labels]])))), 1, 0)</f>
        <v>0</v>
      </c>
      <c r="P456" s="50">
        <f>IF(AND(CRC_War_Room_SIMs[[#This Row],[Excluded]] = 0, OR(CRC_War_Room_SIMs[[#This Row],[SLA Miss]] &lt;&gt; "", ISNUMBER(SEARCH("SLA", CRC_War_Room_SIMs[[#This Row],[Labels]])))), 1, 0)</f>
        <v>0</v>
      </c>
    </row>
    <row r="457" spans="1:16" x14ac:dyDescent="0.25">
      <c r="A457" t="s">
        <v>3009</v>
      </c>
      <c r="B457" t="s">
        <v>2776</v>
      </c>
      <c r="C457" t="s">
        <v>2954</v>
      </c>
      <c r="H45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57" s="49">
        <f ca="1">IFERROR(WEEKNUM(CRC_War_Room_SIMs[[#This Row],[Ops Date]]), "N/A")</f>
        <v>30</v>
      </c>
      <c r="J45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5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5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57" s="50">
        <f>IF(AND(CRC_War_Room_SIMs[[#This Row],[CI]] = 0, CRC_War_Room_SIMs[[#This Row],[Miss]] = 1), 1, 0)</f>
        <v>0</v>
      </c>
      <c r="N45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57" s="49">
        <f>IF(AND(CRC_War_Room_SIMs[[#This Row],[Excluded]] = 0, OR(CRC_War_Room_SIMs[[#This Row],[False Resolution Miss]] &lt;&gt; "", ISNUMBER(SEARCH("False Resolution", CRC_War_Room_SIMs[[#This Row],[Labels]])))), 1, 0)</f>
        <v>0</v>
      </c>
      <c r="P457" s="50">
        <f>IF(AND(CRC_War_Room_SIMs[[#This Row],[Excluded]] = 0, OR(CRC_War_Room_SIMs[[#This Row],[SLA Miss]] &lt;&gt; "", ISNUMBER(SEARCH("SLA", CRC_War_Room_SIMs[[#This Row],[Labels]])))), 1, 0)</f>
        <v>0</v>
      </c>
    </row>
    <row r="458" spans="1:16" x14ac:dyDescent="0.25">
      <c r="A458" t="s">
        <v>3010</v>
      </c>
      <c r="B458" t="s">
        <v>2991</v>
      </c>
      <c r="C458" t="s">
        <v>2954</v>
      </c>
      <c r="H45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58" s="49">
        <f ca="1">IFERROR(WEEKNUM(CRC_War_Room_SIMs[[#This Row],[Ops Date]]), "N/A")</f>
        <v>30</v>
      </c>
      <c r="J45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5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5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58" s="50">
        <f>IF(AND(CRC_War_Room_SIMs[[#This Row],[CI]] = 0, CRC_War_Room_SIMs[[#This Row],[Miss]] = 1), 1, 0)</f>
        <v>0</v>
      </c>
      <c r="N45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58" s="49">
        <f>IF(AND(CRC_War_Room_SIMs[[#This Row],[Excluded]] = 0, OR(CRC_War_Room_SIMs[[#This Row],[False Resolution Miss]] &lt;&gt; "", ISNUMBER(SEARCH("False Resolution", CRC_War_Room_SIMs[[#This Row],[Labels]])))), 1, 0)</f>
        <v>0</v>
      </c>
      <c r="P458" s="50">
        <f>IF(AND(CRC_War_Room_SIMs[[#This Row],[Excluded]] = 0, OR(CRC_War_Room_SIMs[[#This Row],[SLA Miss]] &lt;&gt; "", ISNUMBER(SEARCH("SLA", CRC_War_Room_SIMs[[#This Row],[Labels]])))), 1, 0)</f>
        <v>0</v>
      </c>
    </row>
    <row r="459" spans="1:16" x14ac:dyDescent="0.25">
      <c r="A459" t="s">
        <v>3011</v>
      </c>
      <c r="B459" t="s">
        <v>2991</v>
      </c>
      <c r="C459" t="s">
        <v>2954</v>
      </c>
      <c r="H45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59" s="49">
        <f ca="1">IFERROR(WEEKNUM(CRC_War_Room_SIMs[[#This Row],[Ops Date]]), "N/A")</f>
        <v>30</v>
      </c>
      <c r="J45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5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5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59" s="50">
        <f>IF(AND(CRC_War_Room_SIMs[[#This Row],[CI]] = 0, CRC_War_Room_SIMs[[#This Row],[Miss]] = 1), 1, 0)</f>
        <v>0</v>
      </c>
      <c r="N45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59" s="49">
        <f>IF(AND(CRC_War_Room_SIMs[[#This Row],[Excluded]] = 0, OR(CRC_War_Room_SIMs[[#This Row],[False Resolution Miss]] &lt;&gt; "", ISNUMBER(SEARCH("False Resolution", CRC_War_Room_SIMs[[#This Row],[Labels]])))), 1, 0)</f>
        <v>0</v>
      </c>
      <c r="P459" s="50">
        <f>IF(AND(CRC_War_Room_SIMs[[#This Row],[Excluded]] = 0, OR(CRC_War_Room_SIMs[[#This Row],[SLA Miss]] &lt;&gt; "", ISNUMBER(SEARCH("SLA", CRC_War_Room_SIMs[[#This Row],[Labels]])))), 1, 0)</f>
        <v>0</v>
      </c>
    </row>
    <row r="460" spans="1:16" x14ac:dyDescent="0.25">
      <c r="A460" t="s">
        <v>3012</v>
      </c>
      <c r="B460" t="s">
        <v>2991</v>
      </c>
      <c r="C460" t="s">
        <v>2954</v>
      </c>
      <c r="H46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60" s="49">
        <f ca="1">IFERROR(WEEKNUM(CRC_War_Room_SIMs[[#This Row],[Ops Date]]), "N/A")</f>
        <v>30</v>
      </c>
      <c r="J46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6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6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60" s="50">
        <f>IF(AND(CRC_War_Room_SIMs[[#This Row],[CI]] = 0, CRC_War_Room_SIMs[[#This Row],[Miss]] = 1), 1, 0)</f>
        <v>0</v>
      </c>
      <c r="N46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60" s="49">
        <f>IF(AND(CRC_War_Room_SIMs[[#This Row],[Excluded]] = 0, OR(CRC_War_Room_SIMs[[#This Row],[False Resolution Miss]] &lt;&gt; "", ISNUMBER(SEARCH("False Resolution", CRC_War_Room_SIMs[[#This Row],[Labels]])))), 1, 0)</f>
        <v>0</v>
      </c>
      <c r="P460" s="50">
        <f>IF(AND(CRC_War_Room_SIMs[[#This Row],[Excluded]] = 0, OR(CRC_War_Room_SIMs[[#This Row],[SLA Miss]] &lt;&gt; "", ISNUMBER(SEARCH("SLA", CRC_War_Room_SIMs[[#This Row],[Labels]])))), 1, 0)</f>
        <v>0</v>
      </c>
    </row>
    <row r="461" spans="1:16" x14ac:dyDescent="0.25">
      <c r="A461" t="s">
        <v>3013</v>
      </c>
      <c r="B461" t="s">
        <v>2991</v>
      </c>
      <c r="C461" t="s">
        <v>2954</v>
      </c>
      <c r="H46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61" s="49">
        <f ca="1">IFERROR(WEEKNUM(CRC_War_Room_SIMs[[#This Row],[Ops Date]]), "N/A")</f>
        <v>30</v>
      </c>
      <c r="J46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6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6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61" s="50">
        <f>IF(AND(CRC_War_Room_SIMs[[#This Row],[CI]] = 0, CRC_War_Room_SIMs[[#This Row],[Miss]] = 1), 1, 0)</f>
        <v>0</v>
      </c>
      <c r="N46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61" s="49">
        <f>IF(AND(CRC_War_Room_SIMs[[#This Row],[Excluded]] = 0, OR(CRC_War_Room_SIMs[[#This Row],[False Resolution Miss]] &lt;&gt; "", ISNUMBER(SEARCH("False Resolution", CRC_War_Room_SIMs[[#This Row],[Labels]])))), 1, 0)</f>
        <v>0</v>
      </c>
      <c r="P461" s="50">
        <f>IF(AND(CRC_War_Room_SIMs[[#This Row],[Excluded]] = 0, OR(CRC_War_Room_SIMs[[#This Row],[SLA Miss]] &lt;&gt; "", ISNUMBER(SEARCH("SLA", CRC_War_Room_SIMs[[#This Row],[Labels]])))), 1, 0)</f>
        <v>0</v>
      </c>
    </row>
    <row r="462" spans="1:16" x14ac:dyDescent="0.25">
      <c r="A462" t="s">
        <v>3014</v>
      </c>
      <c r="B462" t="s">
        <v>2776</v>
      </c>
      <c r="C462" t="s">
        <v>2954</v>
      </c>
      <c r="H46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62" s="49">
        <f ca="1">IFERROR(WEEKNUM(CRC_War_Room_SIMs[[#This Row],[Ops Date]]), "N/A")</f>
        <v>30</v>
      </c>
      <c r="J46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6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6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62" s="50">
        <f>IF(AND(CRC_War_Room_SIMs[[#This Row],[CI]] = 0, CRC_War_Room_SIMs[[#This Row],[Miss]] = 1), 1, 0)</f>
        <v>0</v>
      </c>
      <c r="N46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62" s="49">
        <f>IF(AND(CRC_War_Room_SIMs[[#This Row],[Excluded]] = 0, OR(CRC_War_Room_SIMs[[#This Row],[False Resolution Miss]] &lt;&gt; "", ISNUMBER(SEARCH("False Resolution", CRC_War_Room_SIMs[[#This Row],[Labels]])))), 1, 0)</f>
        <v>0</v>
      </c>
      <c r="P462" s="50">
        <f>IF(AND(CRC_War_Room_SIMs[[#This Row],[Excluded]] = 0, OR(CRC_War_Room_SIMs[[#This Row],[SLA Miss]] &lt;&gt; "", ISNUMBER(SEARCH("SLA", CRC_War_Room_SIMs[[#This Row],[Labels]])))), 1, 0)</f>
        <v>0</v>
      </c>
    </row>
    <row r="463" spans="1:16" x14ac:dyDescent="0.25">
      <c r="A463" t="s">
        <v>3015</v>
      </c>
      <c r="B463" t="s">
        <v>2776</v>
      </c>
      <c r="C463" t="s">
        <v>2954</v>
      </c>
      <c r="H46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63" s="49">
        <f ca="1">IFERROR(WEEKNUM(CRC_War_Room_SIMs[[#This Row],[Ops Date]]), "N/A")</f>
        <v>30</v>
      </c>
      <c r="J46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6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6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63" s="50">
        <f>IF(AND(CRC_War_Room_SIMs[[#This Row],[CI]] = 0, CRC_War_Room_SIMs[[#This Row],[Miss]] = 1), 1, 0)</f>
        <v>0</v>
      </c>
      <c r="N46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63" s="49">
        <f>IF(AND(CRC_War_Room_SIMs[[#This Row],[Excluded]] = 0, OR(CRC_War_Room_SIMs[[#This Row],[False Resolution Miss]] &lt;&gt; "", ISNUMBER(SEARCH("False Resolution", CRC_War_Room_SIMs[[#This Row],[Labels]])))), 1, 0)</f>
        <v>0</v>
      </c>
      <c r="P463" s="50">
        <f>IF(AND(CRC_War_Room_SIMs[[#This Row],[Excluded]] = 0, OR(CRC_War_Room_SIMs[[#This Row],[SLA Miss]] &lt;&gt; "", ISNUMBER(SEARCH("SLA", CRC_War_Room_SIMs[[#This Row],[Labels]])))), 1, 0)</f>
        <v>0</v>
      </c>
    </row>
    <row r="464" spans="1:16" x14ac:dyDescent="0.25">
      <c r="A464" t="s">
        <v>3016</v>
      </c>
      <c r="B464" t="s">
        <v>2991</v>
      </c>
      <c r="C464" t="s">
        <v>2954</v>
      </c>
      <c r="H46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64" s="49">
        <f ca="1">IFERROR(WEEKNUM(CRC_War_Room_SIMs[[#This Row],[Ops Date]]), "N/A")</f>
        <v>30</v>
      </c>
      <c r="J46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6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6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64" s="50">
        <f>IF(AND(CRC_War_Room_SIMs[[#This Row],[CI]] = 0, CRC_War_Room_SIMs[[#This Row],[Miss]] = 1), 1, 0)</f>
        <v>0</v>
      </c>
      <c r="N46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64" s="49">
        <f>IF(AND(CRC_War_Room_SIMs[[#This Row],[Excluded]] = 0, OR(CRC_War_Room_SIMs[[#This Row],[False Resolution Miss]] &lt;&gt; "", ISNUMBER(SEARCH("False Resolution", CRC_War_Room_SIMs[[#This Row],[Labels]])))), 1, 0)</f>
        <v>0</v>
      </c>
      <c r="P464" s="50">
        <f>IF(AND(CRC_War_Room_SIMs[[#This Row],[Excluded]] = 0, OR(CRC_War_Room_SIMs[[#This Row],[SLA Miss]] &lt;&gt; "", ISNUMBER(SEARCH("SLA", CRC_War_Room_SIMs[[#This Row],[Labels]])))), 1, 0)</f>
        <v>0</v>
      </c>
    </row>
    <row r="465" spans="1:16" x14ac:dyDescent="0.25">
      <c r="A465" t="s">
        <v>3017</v>
      </c>
      <c r="B465" t="s">
        <v>2991</v>
      </c>
      <c r="C465" t="s">
        <v>2954</v>
      </c>
      <c r="H46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65" s="49">
        <f ca="1">IFERROR(WEEKNUM(CRC_War_Room_SIMs[[#This Row],[Ops Date]]), "N/A")</f>
        <v>30</v>
      </c>
      <c r="J46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6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6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65" s="50">
        <f>IF(AND(CRC_War_Room_SIMs[[#This Row],[CI]] = 0, CRC_War_Room_SIMs[[#This Row],[Miss]] = 1), 1, 0)</f>
        <v>0</v>
      </c>
      <c r="N46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65" s="49">
        <f>IF(AND(CRC_War_Room_SIMs[[#This Row],[Excluded]] = 0, OR(CRC_War_Room_SIMs[[#This Row],[False Resolution Miss]] &lt;&gt; "", ISNUMBER(SEARCH("False Resolution", CRC_War_Room_SIMs[[#This Row],[Labels]])))), 1, 0)</f>
        <v>0</v>
      </c>
      <c r="P465" s="50">
        <f>IF(AND(CRC_War_Room_SIMs[[#This Row],[Excluded]] = 0, OR(CRC_War_Room_SIMs[[#This Row],[SLA Miss]] &lt;&gt; "", ISNUMBER(SEARCH("SLA", CRC_War_Room_SIMs[[#This Row],[Labels]])))), 1, 0)</f>
        <v>0</v>
      </c>
    </row>
    <row r="466" spans="1:16" x14ac:dyDescent="0.25">
      <c r="A466" t="s">
        <v>3018</v>
      </c>
      <c r="B466" t="s">
        <v>2991</v>
      </c>
      <c r="C466" t="s">
        <v>2954</v>
      </c>
      <c r="H46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66" s="49">
        <f ca="1">IFERROR(WEEKNUM(CRC_War_Room_SIMs[[#This Row],[Ops Date]]), "N/A")</f>
        <v>30</v>
      </c>
      <c r="J46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6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6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66" s="50">
        <f>IF(AND(CRC_War_Room_SIMs[[#This Row],[CI]] = 0, CRC_War_Room_SIMs[[#This Row],[Miss]] = 1), 1, 0)</f>
        <v>0</v>
      </c>
      <c r="N46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66" s="49">
        <f>IF(AND(CRC_War_Room_SIMs[[#This Row],[Excluded]] = 0, OR(CRC_War_Room_SIMs[[#This Row],[False Resolution Miss]] &lt;&gt; "", ISNUMBER(SEARCH("False Resolution", CRC_War_Room_SIMs[[#This Row],[Labels]])))), 1, 0)</f>
        <v>0</v>
      </c>
      <c r="P466" s="50">
        <f>IF(AND(CRC_War_Room_SIMs[[#This Row],[Excluded]] = 0, OR(CRC_War_Room_SIMs[[#This Row],[SLA Miss]] &lt;&gt; "", ISNUMBER(SEARCH("SLA", CRC_War_Room_SIMs[[#This Row],[Labels]])))), 1, 0)</f>
        <v>0</v>
      </c>
    </row>
    <row r="467" spans="1:16" x14ac:dyDescent="0.25">
      <c r="A467" t="s">
        <v>3019</v>
      </c>
      <c r="B467" t="s">
        <v>2776</v>
      </c>
      <c r="C467" t="s">
        <v>2954</v>
      </c>
      <c r="H46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67" s="49">
        <f ca="1">IFERROR(WEEKNUM(CRC_War_Room_SIMs[[#This Row],[Ops Date]]), "N/A")</f>
        <v>30</v>
      </c>
      <c r="J46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6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6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67" s="50">
        <f>IF(AND(CRC_War_Room_SIMs[[#This Row],[CI]] = 0, CRC_War_Room_SIMs[[#This Row],[Miss]] = 1), 1, 0)</f>
        <v>0</v>
      </c>
      <c r="N46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67" s="49">
        <f>IF(AND(CRC_War_Room_SIMs[[#This Row],[Excluded]] = 0, OR(CRC_War_Room_SIMs[[#This Row],[False Resolution Miss]] &lt;&gt; "", ISNUMBER(SEARCH("False Resolution", CRC_War_Room_SIMs[[#This Row],[Labels]])))), 1, 0)</f>
        <v>0</v>
      </c>
      <c r="P467" s="50">
        <f>IF(AND(CRC_War_Room_SIMs[[#This Row],[Excluded]] = 0, OR(CRC_War_Room_SIMs[[#This Row],[SLA Miss]] &lt;&gt; "", ISNUMBER(SEARCH("SLA", CRC_War_Room_SIMs[[#This Row],[Labels]])))), 1, 0)</f>
        <v>0</v>
      </c>
    </row>
    <row r="468" spans="1:16" x14ac:dyDescent="0.25">
      <c r="A468" t="s">
        <v>3020</v>
      </c>
      <c r="B468" t="s">
        <v>2776</v>
      </c>
      <c r="C468" t="s">
        <v>2954</v>
      </c>
      <c r="H46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68" s="49">
        <f ca="1">IFERROR(WEEKNUM(CRC_War_Room_SIMs[[#This Row],[Ops Date]]), "N/A")</f>
        <v>30</v>
      </c>
      <c r="J46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6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6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68" s="50">
        <f>IF(AND(CRC_War_Room_SIMs[[#This Row],[CI]] = 0, CRC_War_Room_SIMs[[#This Row],[Miss]] = 1), 1, 0)</f>
        <v>0</v>
      </c>
      <c r="N46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68" s="49">
        <f>IF(AND(CRC_War_Room_SIMs[[#This Row],[Excluded]] = 0, OR(CRC_War_Room_SIMs[[#This Row],[False Resolution Miss]] &lt;&gt; "", ISNUMBER(SEARCH("False Resolution", CRC_War_Room_SIMs[[#This Row],[Labels]])))), 1, 0)</f>
        <v>0</v>
      </c>
      <c r="P468" s="50">
        <f>IF(AND(CRC_War_Room_SIMs[[#This Row],[Excluded]] = 0, OR(CRC_War_Room_SIMs[[#This Row],[SLA Miss]] &lt;&gt; "", ISNUMBER(SEARCH("SLA", CRC_War_Room_SIMs[[#This Row],[Labels]])))), 1, 0)</f>
        <v>0</v>
      </c>
    </row>
    <row r="469" spans="1:16" x14ac:dyDescent="0.25">
      <c r="A469" t="s">
        <v>3021</v>
      </c>
      <c r="B469" t="s">
        <v>2773</v>
      </c>
      <c r="C469" t="s">
        <v>2954</v>
      </c>
      <c r="H46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69" s="49">
        <f ca="1">IFERROR(WEEKNUM(CRC_War_Room_SIMs[[#This Row],[Ops Date]]), "N/A")</f>
        <v>30</v>
      </c>
      <c r="J46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6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6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69" s="50">
        <f>IF(AND(CRC_War_Room_SIMs[[#This Row],[CI]] = 0, CRC_War_Room_SIMs[[#This Row],[Miss]] = 1), 1, 0)</f>
        <v>0</v>
      </c>
      <c r="N46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69" s="49">
        <f>IF(AND(CRC_War_Room_SIMs[[#This Row],[Excluded]] = 0, OR(CRC_War_Room_SIMs[[#This Row],[False Resolution Miss]] &lt;&gt; "", ISNUMBER(SEARCH("False Resolution", CRC_War_Room_SIMs[[#This Row],[Labels]])))), 1, 0)</f>
        <v>0</v>
      </c>
      <c r="P469" s="50">
        <f>IF(AND(CRC_War_Room_SIMs[[#This Row],[Excluded]] = 0, OR(CRC_War_Room_SIMs[[#This Row],[SLA Miss]] &lt;&gt; "", ISNUMBER(SEARCH("SLA", CRC_War_Room_SIMs[[#This Row],[Labels]])))), 1, 0)</f>
        <v>0</v>
      </c>
    </row>
    <row r="470" spans="1:16" x14ac:dyDescent="0.25">
      <c r="A470" t="s">
        <v>3022</v>
      </c>
      <c r="B470" t="s">
        <v>2776</v>
      </c>
      <c r="C470" t="s">
        <v>2954</v>
      </c>
      <c r="H47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70" s="49">
        <f ca="1">IFERROR(WEEKNUM(CRC_War_Room_SIMs[[#This Row],[Ops Date]]), "N/A")</f>
        <v>30</v>
      </c>
      <c r="J47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7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7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70" s="50">
        <f>IF(AND(CRC_War_Room_SIMs[[#This Row],[CI]] = 0, CRC_War_Room_SIMs[[#This Row],[Miss]] = 1), 1, 0)</f>
        <v>0</v>
      </c>
      <c r="N47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70" s="49">
        <f>IF(AND(CRC_War_Room_SIMs[[#This Row],[Excluded]] = 0, OR(CRC_War_Room_SIMs[[#This Row],[False Resolution Miss]] &lt;&gt; "", ISNUMBER(SEARCH("False Resolution", CRC_War_Room_SIMs[[#This Row],[Labels]])))), 1, 0)</f>
        <v>0</v>
      </c>
      <c r="P470" s="50">
        <f>IF(AND(CRC_War_Room_SIMs[[#This Row],[Excluded]] = 0, OR(CRC_War_Room_SIMs[[#This Row],[SLA Miss]] &lt;&gt; "", ISNUMBER(SEARCH("SLA", CRC_War_Room_SIMs[[#This Row],[Labels]])))), 1, 0)</f>
        <v>0</v>
      </c>
    </row>
    <row r="471" spans="1:16" x14ac:dyDescent="0.25">
      <c r="A471" t="s">
        <v>3023</v>
      </c>
      <c r="B471" t="s">
        <v>2773</v>
      </c>
      <c r="C471" t="s">
        <v>2954</v>
      </c>
      <c r="H47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71" s="49">
        <f ca="1">IFERROR(WEEKNUM(CRC_War_Room_SIMs[[#This Row],[Ops Date]]), "N/A")</f>
        <v>30</v>
      </c>
      <c r="J47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7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7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71" s="50">
        <f>IF(AND(CRC_War_Room_SIMs[[#This Row],[CI]] = 0, CRC_War_Room_SIMs[[#This Row],[Miss]] = 1), 1, 0)</f>
        <v>0</v>
      </c>
      <c r="N47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71" s="49">
        <f>IF(AND(CRC_War_Room_SIMs[[#This Row],[Excluded]] = 0, OR(CRC_War_Room_SIMs[[#This Row],[False Resolution Miss]] &lt;&gt; "", ISNUMBER(SEARCH("False Resolution", CRC_War_Room_SIMs[[#This Row],[Labels]])))), 1, 0)</f>
        <v>0</v>
      </c>
      <c r="P471" s="50">
        <f>IF(AND(CRC_War_Room_SIMs[[#This Row],[Excluded]] = 0, OR(CRC_War_Room_SIMs[[#This Row],[SLA Miss]] &lt;&gt; "", ISNUMBER(SEARCH("SLA", CRC_War_Room_SIMs[[#This Row],[Labels]])))), 1, 0)</f>
        <v>0</v>
      </c>
    </row>
    <row r="472" spans="1:16" x14ac:dyDescent="0.25">
      <c r="A472" t="s">
        <v>3024</v>
      </c>
      <c r="B472" t="s">
        <v>2773</v>
      </c>
      <c r="C472" t="s">
        <v>2954</v>
      </c>
      <c r="H47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72" s="49">
        <f ca="1">IFERROR(WEEKNUM(CRC_War_Room_SIMs[[#This Row],[Ops Date]]), "N/A")</f>
        <v>30</v>
      </c>
      <c r="J47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7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7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72" s="50">
        <f>IF(AND(CRC_War_Room_SIMs[[#This Row],[CI]] = 0, CRC_War_Room_SIMs[[#This Row],[Miss]] = 1), 1, 0)</f>
        <v>0</v>
      </c>
      <c r="N47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72" s="49">
        <f>IF(AND(CRC_War_Room_SIMs[[#This Row],[Excluded]] = 0, OR(CRC_War_Room_SIMs[[#This Row],[False Resolution Miss]] &lt;&gt; "", ISNUMBER(SEARCH("False Resolution", CRC_War_Room_SIMs[[#This Row],[Labels]])))), 1, 0)</f>
        <v>0</v>
      </c>
      <c r="P472" s="50">
        <f>IF(AND(CRC_War_Room_SIMs[[#This Row],[Excluded]] = 0, OR(CRC_War_Room_SIMs[[#This Row],[SLA Miss]] &lt;&gt; "", ISNUMBER(SEARCH("SLA", CRC_War_Room_SIMs[[#This Row],[Labels]])))), 1, 0)</f>
        <v>0</v>
      </c>
    </row>
    <row r="473" spans="1:16" x14ac:dyDescent="0.25">
      <c r="A473" t="s">
        <v>3025</v>
      </c>
      <c r="B473" t="s">
        <v>2773</v>
      </c>
      <c r="C473" t="s">
        <v>2954</v>
      </c>
      <c r="H47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73" s="49">
        <f ca="1">IFERROR(WEEKNUM(CRC_War_Room_SIMs[[#This Row],[Ops Date]]), "N/A")</f>
        <v>30</v>
      </c>
      <c r="J47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7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7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73" s="50">
        <f>IF(AND(CRC_War_Room_SIMs[[#This Row],[CI]] = 0, CRC_War_Room_SIMs[[#This Row],[Miss]] = 1), 1, 0)</f>
        <v>0</v>
      </c>
      <c r="N47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73" s="49">
        <f>IF(AND(CRC_War_Room_SIMs[[#This Row],[Excluded]] = 0, OR(CRC_War_Room_SIMs[[#This Row],[False Resolution Miss]] &lt;&gt; "", ISNUMBER(SEARCH("False Resolution", CRC_War_Room_SIMs[[#This Row],[Labels]])))), 1, 0)</f>
        <v>0</v>
      </c>
      <c r="P473" s="50">
        <f>IF(AND(CRC_War_Room_SIMs[[#This Row],[Excluded]] = 0, OR(CRC_War_Room_SIMs[[#This Row],[SLA Miss]] &lt;&gt; "", ISNUMBER(SEARCH("SLA", CRC_War_Room_SIMs[[#This Row],[Labels]])))), 1, 0)</f>
        <v>0</v>
      </c>
    </row>
    <row r="474" spans="1:16" x14ac:dyDescent="0.25">
      <c r="A474" t="s">
        <v>3026</v>
      </c>
      <c r="B474" t="s">
        <v>2773</v>
      </c>
      <c r="C474" t="s">
        <v>2954</v>
      </c>
      <c r="H47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74" s="49">
        <f ca="1">IFERROR(WEEKNUM(CRC_War_Room_SIMs[[#This Row],[Ops Date]]), "N/A")</f>
        <v>30</v>
      </c>
      <c r="J47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7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7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74" s="50">
        <f>IF(AND(CRC_War_Room_SIMs[[#This Row],[CI]] = 0, CRC_War_Room_SIMs[[#This Row],[Miss]] = 1), 1, 0)</f>
        <v>0</v>
      </c>
      <c r="N47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74" s="49">
        <f>IF(AND(CRC_War_Room_SIMs[[#This Row],[Excluded]] = 0, OR(CRC_War_Room_SIMs[[#This Row],[False Resolution Miss]] &lt;&gt; "", ISNUMBER(SEARCH("False Resolution", CRC_War_Room_SIMs[[#This Row],[Labels]])))), 1, 0)</f>
        <v>0</v>
      </c>
      <c r="P474" s="50">
        <f>IF(AND(CRC_War_Room_SIMs[[#This Row],[Excluded]] = 0, OR(CRC_War_Room_SIMs[[#This Row],[SLA Miss]] &lt;&gt; "", ISNUMBER(SEARCH("SLA", CRC_War_Room_SIMs[[#This Row],[Labels]])))), 1, 0)</f>
        <v>0</v>
      </c>
    </row>
    <row r="475" spans="1:16" x14ac:dyDescent="0.25">
      <c r="A475" t="s">
        <v>3027</v>
      </c>
      <c r="B475" t="s">
        <v>2773</v>
      </c>
      <c r="C475" t="s">
        <v>2954</v>
      </c>
      <c r="H47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75" s="49">
        <f ca="1">IFERROR(WEEKNUM(CRC_War_Room_SIMs[[#This Row],[Ops Date]]), "N/A")</f>
        <v>30</v>
      </c>
      <c r="J47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7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7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75" s="50">
        <f>IF(AND(CRC_War_Room_SIMs[[#This Row],[CI]] = 0, CRC_War_Room_SIMs[[#This Row],[Miss]] = 1), 1, 0)</f>
        <v>0</v>
      </c>
      <c r="N47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75" s="49">
        <f>IF(AND(CRC_War_Room_SIMs[[#This Row],[Excluded]] = 0, OR(CRC_War_Room_SIMs[[#This Row],[False Resolution Miss]] &lt;&gt; "", ISNUMBER(SEARCH("False Resolution", CRC_War_Room_SIMs[[#This Row],[Labels]])))), 1, 0)</f>
        <v>0</v>
      </c>
      <c r="P475" s="50">
        <f>IF(AND(CRC_War_Room_SIMs[[#This Row],[Excluded]] = 0, OR(CRC_War_Room_SIMs[[#This Row],[SLA Miss]] &lt;&gt; "", ISNUMBER(SEARCH("SLA", CRC_War_Room_SIMs[[#This Row],[Labels]])))), 1, 0)</f>
        <v>0</v>
      </c>
    </row>
    <row r="476" spans="1:16" x14ac:dyDescent="0.25">
      <c r="A476" t="s">
        <v>3028</v>
      </c>
      <c r="B476" t="s">
        <v>2773</v>
      </c>
      <c r="C476" t="s">
        <v>2954</v>
      </c>
      <c r="H47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76" s="49">
        <f ca="1">IFERROR(WEEKNUM(CRC_War_Room_SIMs[[#This Row],[Ops Date]]), "N/A")</f>
        <v>30</v>
      </c>
      <c r="J47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7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7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76" s="50">
        <f>IF(AND(CRC_War_Room_SIMs[[#This Row],[CI]] = 0, CRC_War_Room_SIMs[[#This Row],[Miss]] = 1), 1, 0)</f>
        <v>0</v>
      </c>
      <c r="N47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76" s="49">
        <f>IF(AND(CRC_War_Room_SIMs[[#This Row],[Excluded]] = 0, OR(CRC_War_Room_SIMs[[#This Row],[False Resolution Miss]] &lt;&gt; "", ISNUMBER(SEARCH("False Resolution", CRC_War_Room_SIMs[[#This Row],[Labels]])))), 1, 0)</f>
        <v>0</v>
      </c>
      <c r="P476" s="50">
        <f>IF(AND(CRC_War_Room_SIMs[[#This Row],[Excluded]] = 0, OR(CRC_War_Room_SIMs[[#This Row],[SLA Miss]] &lt;&gt; "", ISNUMBER(SEARCH("SLA", CRC_War_Room_SIMs[[#This Row],[Labels]])))), 1, 0)</f>
        <v>0</v>
      </c>
    </row>
    <row r="477" spans="1:16" x14ac:dyDescent="0.25">
      <c r="A477" t="s">
        <v>3029</v>
      </c>
      <c r="B477" t="s">
        <v>2773</v>
      </c>
      <c r="C477" t="s">
        <v>2954</v>
      </c>
      <c r="H47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77" s="49">
        <f ca="1">IFERROR(WEEKNUM(CRC_War_Room_SIMs[[#This Row],[Ops Date]]), "N/A")</f>
        <v>30</v>
      </c>
      <c r="J47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7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7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77" s="50">
        <f>IF(AND(CRC_War_Room_SIMs[[#This Row],[CI]] = 0, CRC_War_Room_SIMs[[#This Row],[Miss]] = 1), 1, 0)</f>
        <v>0</v>
      </c>
      <c r="N47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77" s="49">
        <f>IF(AND(CRC_War_Room_SIMs[[#This Row],[Excluded]] = 0, OR(CRC_War_Room_SIMs[[#This Row],[False Resolution Miss]] &lt;&gt; "", ISNUMBER(SEARCH("False Resolution", CRC_War_Room_SIMs[[#This Row],[Labels]])))), 1, 0)</f>
        <v>0</v>
      </c>
      <c r="P477" s="50">
        <f>IF(AND(CRC_War_Room_SIMs[[#This Row],[Excluded]] = 0, OR(CRC_War_Room_SIMs[[#This Row],[SLA Miss]] &lt;&gt; "", ISNUMBER(SEARCH("SLA", CRC_War_Room_SIMs[[#This Row],[Labels]])))), 1, 0)</f>
        <v>0</v>
      </c>
    </row>
    <row r="478" spans="1:16" x14ac:dyDescent="0.25">
      <c r="A478" t="s">
        <v>3030</v>
      </c>
      <c r="B478" t="s">
        <v>2773</v>
      </c>
      <c r="C478" t="s">
        <v>2954</v>
      </c>
      <c r="H47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78" s="49">
        <f ca="1">IFERROR(WEEKNUM(CRC_War_Room_SIMs[[#This Row],[Ops Date]]), "N/A")</f>
        <v>30</v>
      </c>
      <c r="J47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7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7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78" s="50">
        <f>IF(AND(CRC_War_Room_SIMs[[#This Row],[CI]] = 0, CRC_War_Room_SIMs[[#This Row],[Miss]] = 1), 1, 0)</f>
        <v>0</v>
      </c>
      <c r="N47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78" s="49">
        <f>IF(AND(CRC_War_Room_SIMs[[#This Row],[Excluded]] = 0, OR(CRC_War_Room_SIMs[[#This Row],[False Resolution Miss]] &lt;&gt; "", ISNUMBER(SEARCH("False Resolution", CRC_War_Room_SIMs[[#This Row],[Labels]])))), 1, 0)</f>
        <v>0</v>
      </c>
      <c r="P478" s="50">
        <f>IF(AND(CRC_War_Room_SIMs[[#This Row],[Excluded]] = 0, OR(CRC_War_Room_SIMs[[#This Row],[SLA Miss]] &lt;&gt; "", ISNUMBER(SEARCH("SLA", CRC_War_Room_SIMs[[#This Row],[Labels]])))), 1, 0)</f>
        <v>0</v>
      </c>
    </row>
    <row r="479" spans="1:16" x14ac:dyDescent="0.25">
      <c r="A479" t="s">
        <v>3031</v>
      </c>
      <c r="B479" t="s">
        <v>2773</v>
      </c>
      <c r="C479" t="s">
        <v>2954</v>
      </c>
      <c r="H47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45497</v>
      </c>
      <c r="I479" s="49">
        <f ca="1">IFERROR(WEEKNUM(CRC_War_Room_SIMs[[#This Row],[Ops Date]]), "N/A")</f>
        <v>30</v>
      </c>
      <c r="J47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7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7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79" s="50">
        <f>IF(AND(CRC_War_Room_SIMs[[#This Row],[CI]] = 0, CRC_War_Room_SIMs[[#This Row],[Miss]] = 1), 1, 0)</f>
        <v>0</v>
      </c>
      <c r="N47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79" s="49">
        <f>IF(AND(CRC_War_Room_SIMs[[#This Row],[Excluded]] = 0, OR(CRC_War_Room_SIMs[[#This Row],[False Resolution Miss]] &lt;&gt; "", ISNUMBER(SEARCH("False Resolution", CRC_War_Room_SIMs[[#This Row],[Labels]])))), 1, 0)</f>
        <v>0</v>
      </c>
      <c r="P479" s="50">
        <f>IF(AND(CRC_War_Room_SIMs[[#This Row],[Excluded]] = 0, OR(CRC_War_Room_SIMs[[#This Row],[SLA Miss]] &lt;&gt; "", ISNUMBER(SEARCH("SLA", CRC_War_Room_SIMs[[#This Row],[Labels]])))), 1, 0)</f>
        <v>0</v>
      </c>
    </row>
    <row r="480" spans="1:16" x14ac:dyDescent="0.25">
      <c r="A480" t="s">
        <v>3032</v>
      </c>
      <c r="B480" t="s">
        <v>3033</v>
      </c>
      <c r="C480" t="s">
        <v>3034</v>
      </c>
      <c r="H48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480" s="49">
        <f ca="1">IFERROR(WEEKNUM(CRC_War_Room_SIMs[[#This Row],[Ops Date]]), "N/A")</f>
        <v>30</v>
      </c>
      <c r="J48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8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8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80" s="50">
        <f>IF(AND(CRC_War_Room_SIMs[[#This Row],[CI]] = 0, CRC_War_Room_SIMs[[#This Row],[Miss]] = 1), 1, 0)</f>
        <v>0</v>
      </c>
      <c r="N48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80" s="49">
        <f>IF(AND(CRC_War_Room_SIMs[[#This Row],[Excluded]] = 0, OR(CRC_War_Room_SIMs[[#This Row],[False Resolution Miss]] &lt;&gt; "", ISNUMBER(SEARCH("False Resolution", CRC_War_Room_SIMs[[#This Row],[Labels]])))), 1, 0)</f>
        <v>0</v>
      </c>
      <c r="P480" s="50">
        <f>IF(AND(CRC_War_Room_SIMs[[#This Row],[Excluded]] = 0, OR(CRC_War_Room_SIMs[[#This Row],[SLA Miss]] &lt;&gt; "", ISNUMBER(SEARCH("SLA", CRC_War_Room_SIMs[[#This Row],[Labels]])))), 1, 0)</f>
        <v>0</v>
      </c>
    </row>
    <row r="481" spans="1:16" x14ac:dyDescent="0.25">
      <c r="A481" t="s">
        <v>3035</v>
      </c>
      <c r="B481" t="s">
        <v>3033</v>
      </c>
      <c r="C481" t="s">
        <v>3034</v>
      </c>
      <c r="H48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481" s="49">
        <f ca="1">IFERROR(WEEKNUM(CRC_War_Room_SIMs[[#This Row],[Ops Date]]), "N/A")</f>
        <v>30</v>
      </c>
      <c r="J48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8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8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81" s="50">
        <f>IF(AND(CRC_War_Room_SIMs[[#This Row],[CI]] = 0, CRC_War_Room_SIMs[[#This Row],[Miss]] = 1), 1, 0)</f>
        <v>0</v>
      </c>
      <c r="N48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81" s="49">
        <f>IF(AND(CRC_War_Room_SIMs[[#This Row],[Excluded]] = 0, OR(CRC_War_Room_SIMs[[#This Row],[False Resolution Miss]] &lt;&gt; "", ISNUMBER(SEARCH("False Resolution", CRC_War_Room_SIMs[[#This Row],[Labels]])))), 1, 0)</f>
        <v>0</v>
      </c>
      <c r="P481" s="50">
        <f>IF(AND(CRC_War_Room_SIMs[[#This Row],[Excluded]] = 0, OR(CRC_War_Room_SIMs[[#This Row],[SLA Miss]] &lt;&gt; "", ISNUMBER(SEARCH("SLA", CRC_War_Room_SIMs[[#This Row],[Labels]])))), 1, 0)</f>
        <v>0</v>
      </c>
    </row>
    <row r="482" spans="1:16" x14ac:dyDescent="0.25">
      <c r="A482" t="s">
        <v>3036</v>
      </c>
      <c r="B482" t="s">
        <v>3037</v>
      </c>
      <c r="C482" t="s">
        <v>3034</v>
      </c>
      <c r="H48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482" s="49">
        <f ca="1">IFERROR(WEEKNUM(CRC_War_Room_SIMs[[#This Row],[Ops Date]]), "N/A")</f>
        <v>30</v>
      </c>
      <c r="J48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8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8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82" s="50">
        <f>IF(AND(CRC_War_Room_SIMs[[#This Row],[CI]] = 0, CRC_War_Room_SIMs[[#This Row],[Miss]] = 1), 1, 0)</f>
        <v>0</v>
      </c>
      <c r="N48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82" s="49">
        <f>IF(AND(CRC_War_Room_SIMs[[#This Row],[Excluded]] = 0, OR(CRC_War_Room_SIMs[[#This Row],[False Resolution Miss]] &lt;&gt; "", ISNUMBER(SEARCH("False Resolution", CRC_War_Room_SIMs[[#This Row],[Labels]])))), 1, 0)</f>
        <v>0</v>
      </c>
      <c r="P482" s="50">
        <f>IF(AND(CRC_War_Room_SIMs[[#This Row],[Excluded]] = 0, OR(CRC_War_Room_SIMs[[#This Row],[SLA Miss]] &lt;&gt; "", ISNUMBER(SEARCH("SLA", CRC_War_Room_SIMs[[#This Row],[Labels]])))), 1, 0)</f>
        <v>0</v>
      </c>
    </row>
    <row r="483" spans="1:16" x14ac:dyDescent="0.25">
      <c r="A483" t="s">
        <v>3038</v>
      </c>
      <c r="B483" t="s">
        <v>3039</v>
      </c>
      <c r="C483" t="s">
        <v>3034</v>
      </c>
      <c r="H48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483" s="49">
        <f ca="1">IFERROR(WEEKNUM(CRC_War_Room_SIMs[[#This Row],[Ops Date]]), "N/A")</f>
        <v>30</v>
      </c>
      <c r="J48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8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8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83" s="50">
        <f>IF(AND(CRC_War_Room_SIMs[[#This Row],[CI]] = 0, CRC_War_Room_SIMs[[#This Row],[Miss]] = 1), 1, 0)</f>
        <v>0</v>
      </c>
      <c r="N48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83" s="49">
        <f>IF(AND(CRC_War_Room_SIMs[[#This Row],[Excluded]] = 0, OR(CRC_War_Room_SIMs[[#This Row],[False Resolution Miss]] &lt;&gt; "", ISNUMBER(SEARCH("False Resolution", CRC_War_Room_SIMs[[#This Row],[Labels]])))), 1, 0)</f>
        <v>0</v>
      </c>
      <c r="P483" s="50">
        <f>IF(AND(CRC_War_Room_SIMs[[#This Row],[Excluded]] = 0, OR(CRC_War_Room_SIMs[[#This Row],[SLA Miss]] &lt;&gt; "", ISNUMBER(SEARCH("SLA", CRC_War_Room_SIMs[[#This Row],[Labels]])))), 1, 0)</f>
        <v>0</v>
      </c>
    </row>
    <row r="484" spans="1:16" x14ac:dyDescent="0.25">
      <c r="A484" t="s">
        <v>3040</v>
      </c>
      <c r="B484" t="s">
        <v>3037</v>
      </c>
      <c r="C484" t="s">
        <v>3034</v>
      </c>
      <c r="H48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484" s="49">
        <f ca="1">IFERROR(WEEKNUM(CRC_War_Room_SIMs[[#This Row],[Ops Date]]), "N/A")</f>
        <v>30</v>
      </c>
      <c r="J48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8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8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84" s="50">
        <f>IF(AND(CRC_War_Room_SIMs[[#This Row],[CI]] = 0, CRC_War_Room_SIMs[[#This Row],[Miss]] = 1), 1, 0)</f>
        <v>0</v>
      </c>
      <c r="N48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84" s="49">
        <f>IF(AND(CRC_War_Room_SIMs[[#This Row],[Excluded]] = 0, OR(CRC_War_Room_SIMs[[#This Row],[False Resolution Miss]] &lt;&gt; "", ISNUMBER(SEARCH("False Resolution", CRC_War_Room_SIMs[[#This Row],[Labels]])))), 1, 0)</f>
        <v>0</v>
      </c>
      <c r="P484" s="50">
        <f>IF(AND(CRC_War_Room_SIMs[[#This Row],[Excluded]] = 0, OR(CRC_War_Room_SIMs[[#This Row],[SLA Miss]] &lt;&gt; "", ISNUMBER(SEARCH("SLA", CRC_War_Room_SIMs[[#This Row],[Labels]])))), 1, 0)</f>
        <v>0</v>
      </c>
    </row>
    <row r="485" spans="1:16" x14ac:dyDescent="0.25">
      <c r="A485" t="s">
        <v>3041</v>
      </c>
      <c r="B485" t="s">
        <v>3039</v>
      </c>
      <c r="C485" t="s">
        <v>3034</v>
      </c>
      <c r="H48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485" s="49">
        <f ca="1">IFERROR(WEEKNUM(CRC_War_Room_SIMs[[#This Row],[Ops Date]]), "N/A")</f>
        <v>30</v>
      </c>
      <c r="J48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8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8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85" s="50">
        <f>IF(AND(CRC_War_Room_SIMs[[#This Row],[CI]] = 0, CRC_War_Room_SIMs[[#This Row],[Miss]] = 1), 1, 0)</f>
        <v>0</v>
      </c>
      <c r="N48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85" s="49">
        <f>IF(AND(CRC_War_Room_SIMs[[#This Row],[Excluded]] = 0, OR(CRC_War_Room_SIMs[[#This Row],[False Resolution Miss]] &lt;&gt; "", ISNUMBER(SEARCH("False Resolution", CRC_War_Room_SIMs[[#This Row],[Labels]])))), 1, 0)</f>
        <v>0</v>
      </c>
      <c r="P485" s="50">
        <f>IF(AND(CRC_War_Room_SIMs[[#This Row],[Excluded]] = 0, OR(CRC_War_Room_SIMs[[#This Row],[SLA Miss]] &lt;&gt; "", ISNUMBER(SEARCH("SLA", CRC_War_Room_SIMs[[#This Row],[Labels]])))), 1, 0)</f>
        <v>0</v>
      </c>
    </row>
    <row r="486" spans="1:16" x14ac:dyDescent="0.25">
      <c r="A486" t="s">
        <v>3042</v>
      </c>
      <c r="B486" t="s">
        <v>3039</v>
      </c>
      <c r="C486" t="s">
        <v>3034</v>
      </c>
      <c r="H48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486" s="49">
        <f ca="1">IFERROR(WEEKNUM(CRC_War_Room_SIMs[[#This Row],[Ops Date]]), "N/A")</f>
        <v>30</v>
      </c>
      <c r="J48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8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8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86" s="50">
        <f>IF(AND(CRC_War_Room_SIMs[[#This Row],[CI]] = 0, CRC_War_Room_SIMs[[#This Row],[Miss]] = 1), 1, 0)</f>
        <v>0</v>
      </c>
      <c r="N48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86" s="49">
        <f>IF(AND(CRC_War_Room_SIMs[[#This Row],[Excluded]] = 0, OR(CRC_War_Room_SIMs[[#This Row],[False Resolution Miss]] &lt;&gt; "", ISNUMBER(SEARCH("False Resolution", CRC_War_Room_SIMs[[#This Row],[Labels]])))), 1, 0)</f>
        <v>0</v>
      </c>
      <c r="P486" s="50">
        <f>IF(AND(CRC_War_Room_SIMs[[#This Row],[Excluded]] = 0, OR(CRC_War_Room_SIMs[[#This Row],[SLA Miss]] &lt;&gt; "", ISNUMBER(SEARCH("SLA", CRC_War_Room_SIMs[[#This Row],[Labels]])))), 1, 0)</f>
        <v>0</v>
      </c>
    </row>
    <row r="487" spans="1:16" x14ac:dyDescent="0.25">
      <c r="A487" t="s">
        <v>3043</v>
      </c>
      <c r="B487" t="s">
        <v>3044</v>
      </c>
      <c r="C487" t="s">
        <v>3045</v>
      </c>
      <c r="H48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487" s="49">
        <f ca="1">IFERROR(WEEKNUM(CRC_War_Room_SIMs[[#This Row],[Ops Date]]), "N/A")</f>
        <v>30</v>
      </c>
      <c r="J48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8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8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87" s="50">
        <f>IF(AND(CRC_War_Room_SIMs[[#This Row],[CI]] = 0, CRC_War_Room_SIMs[[#This Row],[Miss]] = 1), 1, 0)</f>
        <v>0</v>
      </c>
      <c r="N48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87" s="49">
        <f>IF(AND(CRC_War_Room_SIMs[[#This Row],[Excluded]] = 0, OR(CRC_War_Room_SIMs[[#This Row],[False Resolution Miss]] &lt;&gt; "", ISNUMBER(SEARCH("False Resolution", CRC_War_Room_SIMs[[#This Row],[Labels]])))), 1, 0)</f>
        <v>0</v>
      </c>
      <c r="P487" s="50">
        <f>IF(AND(CRC_War_Room_SIMs[[#This Row],[Excluded]] = 0, OR(CRC_War_Room_SIMs[[#This Row],[SLA Miss]] &lt;&gt; "", ISNUMBER(SEARCH("SLA", CRC_War_Room_SIMs[[#This Row],[Labels]])))), 1, 0)</f>
        <v>0</v>
      </c>
    </row>
    <row r="488" spans="1:16" x14ac:dyDescent="0.25">
      <c r="A488" t="s">
        <v>3046</v>
      </c>
      <c r="B488" t="s">
        <v>3047</v>
      </c>
      <c r="C488" t="s">
        <v>3045</v>
      </c>
      <c r="H48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488" s="49">
        <f ca="1">IFERROR(WEEKNUM(CRC_War_Room_SIMs[[#This Row],[Ops Date]]), "N/A")</f>
        <v>30</v>
      </c>
      <c r="J48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8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8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88" s="50">
        <f>IF(AND(CRC_War_Room_SIMs[[#This Row],[CI]] = 0, CRC_War_Room_SIMs[[#This Row],[Miss]] = 1), 1, 0)</f>
        <v>0</v>
      </c>
      <c r="N48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88" s="49">
        <f>IF(AND(CRC_War_Room_SIMs[[#This Row],[Excluded]] = 0, OR(CRC_War_Room_SIMs[[#This Row],[False Resolution Miss]] &lt;&gt; "", ISNUMBER(SEARCH("False Resolution", CRC_War_Room_SIMs[[#This Row],[Labels]])))), 1, 0)</f>
        <v>0</v>
      </c>
      <c r="P488" s="50">
        <f>IF(AND(CRC_War_Room_SIMs[[#This Row],[Excluded]] = 0, OR(CRC_War_Room_SIMs[[#This Row],[SLA Miss]] &lt;&gt; "", ISNUMBER(SEARCH("SLA", CRC_War_Room_SIMs[[#This Row],[Labels]])))), 1, 0)</f>
        <v>0</v>
      </c>
    </row>
    <row r="489" spans="1:16" x14ac:dyDescent="0.25">
      <c r="A489" t="s">
        <v>3048</v>
      </c>
      <c r="B489" t="s">
        <v>3049</v>
      </c>
      <c r="C489" t="s">
        <v>3045</v>
      </c>
      <c r="H48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489" s="49">
        <f ca="1">IFERROR(WEEKNUM(CRC_War_Room_SIMs[[#This Row],[Ops Date]]), "N/A")</f>
        <v>30</v>
      </c>
      <c r="J48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8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8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89" s="50">
        <f>IF(AND(CRC_War_Room_SIMs[[#This Row],[CI]] = 0, CRC_War_Room_SIMs[[#This Row],[Miss]] = 1), 1, 0)</f>
        <v>0</v>
      </c>
      <c r="N48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89" s="49">
        <f>IF(AND(CRC_War_Room_SIMs[[#This Row],[Excluded]] = 0, OR(CRC_War_Room_SIMs[[#This Row],[False Resolution Miss]] &lt;&gt; "", ISNUMBER(SEARCH("False Resolution", CRC_War_Room_SIMs[[#This Row],[Labels]])))), 1, 0)</f>
        <v>0</v>
      </c>
      <c r="P489" s="50">
        <f>IF(AND(CRC_War_Room_SIMs[[#This Row],[Excluded]] = 0, OR(CRC_War_Room_SIMs[[#This Row],[SLA Miss]] &lt;&gt; "", ISNUMBER(SEARCH("SLA", CRC_War_Room_SIMs[[#This Row],[Labels]])))), 1, 0)</f>
        <v>0</v>
      </c>
    </row>
    <row r="490" spans="1:16" x14ac:dyDescent="0.25">
      <c r="A490" t="s">
        <v>3050</v>
      </c>
      <c r="B490" t="s">
        <v>3039</v>
      </c>
      <c r="C490" t="s">
        <v>3034</v>
      </c>
      <c r="H49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490" s="49">
        <f ca="1">IFERROR(WEEKNUM(CRC_War_Room_SIMs[[#This Row],[Ops Date]]), "N/A")</f>
        <v>30</v>
      </c>
      <c r="J49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9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9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90" s="50">
        <f>IF(AND(CRC_War_Room_SIMs[[#This Row],[CI]] = 0, CRC_War_Room_SIMs[[#This Row],[Miss]] = 1), 1, 0)</f>
        <v>0</v>
      </c>
      <c r="N49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90" s="49">
        <f>IF(AND(CRC_War_Room_SIMs[[#This Row],[Excluded]] = 0, OR(CRC_War_Room_SIMs[[#This Row],[False Resolution Miss]] &lt;&gt; "", ISNUMBER(SEARCH("False Resolution", CRC_War_Room_SIMs[[#This Row],[Labels]])))), 1, 0)</f>
        <v>0</v>
      </c>
      <c r="P490" s="50">
        <f>IF(AND(CRC_War_Room_SIMs[[#This Row],[Excluded]] = 0, OR(CRC_War_Room_SIMs[[#This Row],[SLA Miss]] &lt;&gt; "", ISNUMBER(SEARCH("SLA", CRC_War_Room_SIMs[[#This Row],[Labels]])))), 1, 0)</f>
        <v>0</v>
      </c>
    </row>
    <row r="491" spans="1:16" x14ac:dyDescent="0.25">
      <c r="A491" t="s">
        <v>3051</v>
      </c>
      <c r="B491" t="s">
        <v>3039</v>
      </c>
      <c r="C491" t="s">
        <v>3034</v>
      </c>
      <c r="H49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491" s="49">
        <f ca="1">IFERROR(WEEKNUM(CRC_War_Room_SIMs[[#This Row],[Ops Date]]), "N/A")</f>
        <v>30</v>
      </c>
      <c r="J49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9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9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91" s="50">
        <f>IF(AND(CRC_War_Room_SIMs[[#This Row],[CI]] = 0, CRC_War_Room_SIMs[[#This Row],[Miss]] = 1), 1, 0)</f>
        <v>0</v>
      </c>
      <c r="N49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91" s="49">
        <f>IF(AND(CRC_War_Room_SIMs[[#This Row],[Excluded]] = 0, OR(CRC_War_Room_SIMs[[#This Row],[False Resolution Miss]] &lt;&gt; "", ISNUMBER(SEARCH("False Resolution", CRC_War_Room_SIMs[[#This Row],[Labels]])))), 1, 0)</f>
        <v>0</v>
      </c>
      <c r="P491" s="50">
        <f>IF(AND(CRC_War_Room_SIMs[[#This Row],[Excluded]] = 0, OR(CRC_War_Room_SIMs[[#This Row],[SLA Miss]] &lt;&gt; "", ISNUMBER(SEARCH("SLA", CRC_War_Room_SIMs[[#This Row],[Labels]])))), 1, 0)</f>
        <v>0</v>
      </c>
    </row>
    <row r="492" spans="1:16" x14ac:dyDescent="0.25">
      <c r="A492" t="s">
        <v>3052</v>
      </c>
      <c r="B492" t="s">
        <v>3053</v>
      </c>
      <c r="C492" t="s">
        <v>3045</v>
      </c>
      <c r="H49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492" s="49">
        <f ca="1">IFERROR(WEEKNUM(CRC_War_Room_SIMs[[#This Row],[Ops Date]]), "N/A")</f>
        <v>30</v>
      </c>
      <c r="J49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9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9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92" s="50">
        <f>IF(AND(CRC_War_Room_SIMs[[#This Row],[CI]] = 0, CRC_War_Room_SIMs[[#This Row],[Miss]] = 1), 1, 0)</f>
        <v>0</v>
      </c>
      <c r="N49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92" s="49">
        <f>IF(AND(CRC_War_Room_SIMs[[#This Row],[Excluded]] = 0, OR(CRC_War_Room_SIMs[[#This Row],[False Resolution Miss]] &lt;&gt; "", ISNUMBER(SEARCH("False Resolution", CRC_War_Room_SIMs[[#This Row],[Labels]])))), 1, 0)</f>
        <v>0</v>
      </c>
      <c r="P492" s="50">
        <f>IF(AND(CRC_War_Room_SIMs[[#This Row],[Excluded]] = 0, OR(CRC_War_Room_SIMs[[#This Row],[SLA Miss]] &lt;&gt; "", ISNUMBER(SEARCH("SLA", CRC_War_Room_SIMs[[#This Row],[Labels]])))), 1, 0)</f>
        <v>0</v>
      </c>
    </row>
    <row r="493" spans="1:16" x14ac:dyDescent="0.25">
      <c r="A493" t="s">
        <v>3054</v>
      </c>
      <c r="B493" t="s">
        <v>3039</v>
      </c>
      <c r="C493" t="s">
        <v>3034</v>
      </c>
      <c r="H49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493" s="49">
        <f ca="1">IFERROR(WEEKNUM(CRC_War_Room_SIMs[[#This Row],[Ops Date]]), "N/A")</f>
        <v>30</v>
      </c>
      <c r="J49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9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9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93" s="50">
        <f>IF(AND(CRC_War_Room_SIMs[[#This Row],[CI]] = 0, CRC_War_Room_SIMs[[#This Row],[Miss]] = 1), 1, 0)</f>
        <v>0</v>
      </c>
      <c r="N49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93" s="49">
        <f>IF(AND(CRC_War_Room_SIMs[[#This Row],[Excluded]] = 0, OR(CRC_War_Room_SIMs[[#This Row],[False Resolution Miss]] &lt;&gt; "", ISNUMBER(SEARCH("False Resolution", CRC_War_Room_SIMs[[#This Row],[Labels]])))), 1, 0)</f>
        <v>0</v>
      </c>
      <c r="P493" s="50">
        <f>IF(AND(CRC_War_Room_SIMs[[#This Row],[Excluded]] = 0, OR(CRC_War_Room_SIMs[[#This Row],[SLA Miss]] &lt;&gt; "", ISNUMBER(SEARCH("SLA", CRC_War_Room_SIMs[[#This Row],[Labels]])))), 1, 0)</f>
        <v>0</v>
      </c>
    </row>
    <row r="494" spans="1:16" x14ac:dyDescent="0.25">
      <c r="A494" t="s">
        <v>3055</v>
      </c>
      <c r="B494" t="s">
        <v>3053</v>
      </c>
      <c r="C494" t="s">
        <v>3045</v>
      </c>
      <c r="H49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494" s="49">
        <f ca="1">IFERROR(WEEKNUM(CRC_War_Room_SIMs[[#This Row],[Ops Date]]), "N/A")</f>
        <v>30</v>
      </c>
      <c r="J49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9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9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94" s="50">
        <f>IF(AND(CRC_War_Room_SIMs[[#This Row],[CI]] = 0, CRC_War_Room_SIMs[[#This Row],[Miss]] = 1), 1, 0)</f>
        <v>0</v>
      </c>
      <c r="N49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94" s="49">
        <f>IF(AND(CRC_War_Room_SIMs[[#This Row],[Excluded]] = 0, OR(CRC_War_Room_SIMs[[#This Row],[False Resolution Miss]] &lt;&gt; "", ISNUMBER(SEARCH("False Resolution", CRC_War_Room_SIMs[[#This Row],[Labels]])))), 1, 0)</f>
        <v>0</v>
      </c>
      <c r="P494" s="50">
        <f>IF(AND(CRC_War_Room_SIMs[[#This Row],[Excluded]] = 0, OR(CRC_War_Room_SIMs[[#This Row],[SLA Miss]] &lt;&gt; "", ISNUMBER(SEARCH("SLA", CRC_War_Room_SIMs[[#This Row],[Labels]])))), 1, 0)</f>
        <v>0</v>
      </c>
    </row>
    <row r="495" spans="1:16" x14ac:dyDescent="0.25">
      <c r="A495" t="s">
        <v>3056</v>
      </c>
      <c r="B495" t="s">
        <v>2692</v>
      </c>
      <c r="C495" t="s">
        <v>3045</v>
      </c>
      <c r="H49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495" s="49">
        <f ca="1">IFERROR(WEEKNUM(CRC_War_Room_SIMs[[#This Row],[Ops Date]]), "N/A")</f>
        <v>30</v>
      </c>
      <c r="J49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9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9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95" s="50">
        <f>IF(AND(CRC_War_Room_SIMs[[#This Row],[CI]] = 0, CRC_War_Room_SIMs[[#This Row],[Miss]] = 1), 1, 0)</f>
        <v>0</v>
      </c>
      <c r="N49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95" s="49">
        <f>IF(AND(CRC_War_Room_SIMs[[#This Row],[Excluded]] = 0, OR(CRC_War_Room_SIMs[[#This Row],[False Resolution Miss]] &lt;&gt; "", ISNUMBER(SEARCH("False Resolution", CRC_War_Room_SIMs[[#This Row],[Labels]])))), 1, 0)</f>
        <v>0</v>
      </c>
      <c r="P495" s="50">
        <f>IF(AND(CRC_War_Room_SIMs[[#This Row],[Excluded]] = 0, OR(CRC_War_Room_SIMs[[#This Row],[SLA Miss]] &lt;&gt; "", ISNUMBER(SEARCH("SLA", CRC_War_Room_SIMs[[#This Row],[Labels]])))), 1, 0)</f>
        <v>0</v>
      </c>
    </row>
    <row r="496" spans="1:16" x14ac:dyDescent="0.25">
      <c r="A496" t="s">
        <v>3057</v>
      </c>
      <c r="B496" t="s">
        <v>2692</v>
      </c>
      <c r="C496" t="s">
        <v>3045</v>
      </c>
      <c r="H49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496" s="49">
        <f ca="1">IFERROR(WEEKNUM(CRC_War_Room_SIMs[[#This Row],[Ops Date]]), "N/A")</f>
        <v>30</v>
      </c>
      <c r="J49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9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9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96" s="50">
        <f>IF(AND(CRC_War_Room_SIMs[[#This Row],[CI]] = 0, CRC_War_Room_SIMs[[#This Row],[Miss]] = 1), 1, 0)</f>
        <v>0</v>
      </c>
      <c r="N49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96" s="49">
        <f>IF(AND(CRC_War_Room_SIMs[[#This Row],[Excluded]] = 0, OR(CRC_War_Room_SIMs[[#This Row],[False Resolution Miss]] &lt;&gt; "", ISNUMBER(SEARCH("False Resolution", CRC_War_Room_SIMs[[#This Row],[Labels]])))), 1, 0)</f>
        <v>0</v>
      </c>
      <c r="P496" s="50">
        <f>IF(AND(CRC_War_Room_SIMs[[#This Row],[Excluded]] = 0, OR(CRC_War_Room_SIMs[[#This Row],[SLA Miss]] &lt;&gt; "", ISNUMBER(SEARCH("SLA", CRC_War_Room_SIMs[[#This Row],[Labels]])))), 1, 0)</f>
        <v>0</v>
      </c>
    </row>
    <row r="497" spans="1:16" x14ac:dyDescent="0.25">
      <c r="A497" t="s">
        <v>3058</v>
      </c>
      <c r="B497" t="s">
        <v>2692</v>
      </c>
      <c r="C497" t="s">
        <v>3045</v>
      </c>
      <c r="H49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497" s="49">
        <f ca="1">IFERROR(WEEKNUM(CRC_War_Room_SIMs[[#This Row],[Ops Date]]), "N/A")</f>
        <v>30</v>
      </c>
      <c r="J49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9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9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97" s="50">
        <f>IF(AND(CRC_War_Room_SIMs[[#This Row],[CI]] = 0, CRC_War_Room_SIMs[[#This Row],[Miss]] = 1), 1, 0)</f>
        <v>0</v>
      </c>
      <c r="N49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97" s="49">
        <f>IF(AND(CRC_War_Room_SIMs[[#This Row],[Excluded]] = 0, OR(CRC_War_Room_SIMs[[#This Row],[False Resolution Miss]] &lt;&gt; "", ISNUMBER(SEARCH("False Resolution", CRC_War_Room_SIMs[[#This Row],[Labels]])))), 1, 0)</f>
        <v>0</v>
      </c>
      <c r="P497" s="50">
        <f>IF(AND(CRC_War_Room_SIMs[[#This Row],[Excluded]] = 0, OR(CRC_War_Room_SIMs[[#This Row],[SLA Miss]] &lt;&gt; "", ISNUMBER(SEARCH("SLA", CRC_War_Room_SIMs[[#This Row],[Labels]])))), 1, 0)</f>
        <v>0</v>
      </c>
    </row>
    <row r="498" spans="1:16" x14ac:dyDescent="0.25">
      <c r="A498" t="s">
        <v>3059</v>
      </c>
      <c r="B498" t="s">
        <v>3053</v>
      </c>
      <c r="C498" t="s">
        <v>3045</v>
      </c>
      <c r="H49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498" s="49">
        <f ca="1">IFERROR(WEEKNUM(CRC_War_Room_SIMs[[#This Row],[Ops Date]]), "N/A")</f>
        <v>30</v>
      </c>
      <c r="J49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9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9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98" s="50">
        <f>IF(AND(CRC_War_Room_SIMs[[#This Row],[CI]] = 0, CRC_War_Room_SIMs[[#This Row],[Miss]] = 1), 1, 0)</f>
        <v>0</v>
      </c>
      <c r="N49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98" s="49">
        <f>IF(AND(CRC_War_Room_SIMs[[#This Row],[Excluded]] = 0, OR(CRC_War_Room_SIMs[[#This Row],[False Resolution Miss]] &lt;&gt; "", ISNUMBER(SEARCH("False Resolution", CRC_War_Room_SIMs[[#This Row],[Labels]])))), 1, 0)</f>
        <v>0</v>
      </c>
      <c r="P498" s="50">
        <f>IF(AND(CRC_War_Room_SIMs[[#This Row],[Excluded]] = 0, OR(CRC_War_Room_SIMs[[#This Row],[SLA Miss]] &lt;&gt; "", ISNUMBER(SEARCH("SLA", CRC_War_Room_SIMs[[#This Row],[Labels]])))), 1, 0)</f>
        <v>0</v>
      </c>
    </row>
    <row r="499" spans="1:16" x14ac:dyDescent="0.25">
      <c r="A499" t="s">
        <v>3060</v>
      </c>
      <c r="B499" t="s">
        <v>2692</v>
      </c>
      <c r="C499" t="s">
        <v>3045</v>
      </c>
      <c r="H49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499" s="49">
        <f ca="1">IFERROR(WEEKNUM(CRC_War_Room_SIMs[[#This Row],[Ops Date]]), "N/A")</f>
        <v>30</v>
      </c>
      <c r="J49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49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49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499" s="50">
        <f>IF(AND(CRC_War_Room_SIMs[[#This Row],[CI]] = 0, CRC_War_Room_SIMs[[#This Row],[Miss]] = 1), 1, 0)</f>
        <v>0</v>
      </c>
      <c r="N49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499" s="49">
        <f>IF(AND(CRC_War_Room_SIMs[[#This Row],[Excluded]] = 0, OR(CRC_War_Room_SIMs[[#This Row],[False Resolution Miss]] &lt;&gt; "", ISNUMBER(SEARCH("False Resolution", CRC_War_Room_SIMs[[#This Row],[Labels]])))), 1, 0)</f>
        <v>0</v>
      </c>
      <c r="P499" s="50">
        <f>IF(AND(CRC_War_Room_SIMs[[#This Row],[Excluded]] = 0, OR(CRC_War_Room_SIMs[[#This Row],[SLA Miss]] &lt;&gt; "", ISNUMBER(SEARCH("SLA", CRC_War_Room_SIMs[[#This Row],[Labels]])))), 1, 0)</f>
        <v>0</v>
      </c>
    </row>
    <row r="500" spans="1:16" x14ac:dyDescent="0.25">
      <c r="A500" t="s">
        <v>3061</v>
      </c>
      <c r="B500" t="s">
        <v>3053</v>
      </c>
      <c r="C500" t="s">
        <v>3045</v>
      </c>
      <c r="H50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00" s="49">
        <f ca="1">IFERROR(WEEKNUM(CRC_War_Room_SIMs[[#This Row],[Ops Date]]), "N/A")</f>
        <v>30</v>
      </c>
      <c r="J50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0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0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00" s="50">
        <f>IF(AND(CRC_War_Room_SIMs[[#This Row],[CI]] = 0, CRC_War_Room_SIMs[[#This Row],[Miss]] = 1), 1, 0)</f>
        <v>0</v>
      </c>
      <c r="N50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00" s="49">
        <f>IF(AND(CRC_War_Room_SIMs[[#This Row],[Excluded]] = 0, OR(CRC_War_Room_SIMs[[#This Row],[False Resolution Miss]] &lt;&gt; "", ISNUMBER(SEARCH("False Resolution", CRC_War_Room_SIMs[[#This Row],[Labels]])))), 1, 0)</f>
        <v>0</v>
      </c>
      <c r="P500" s="50">
        <f>IF(AND(CRC_War_Room_SIMs[[#This Row],[Excluded]] = 0, OR(CRC_War_Room_SIMs[[#This Row],[SLA Miss]] &lt;&gt; "", ISNUMBER(SEARCH("SLA", CRC_War_Room_SIMs[[#This Row],[Labels]])))), 1, 0)</f>
        <v>0</v>
      </c>
    </row>
    <row r="501" spans="1:16" x14ac:dyDescent="0.25">
      <c r="A501" t="s">
        <v>3062</v>
      </c>
      <c r="B501" t="s">
        <v>3053</v>
      </c>
      <c r="C501" t="s">
        <v>3045</v>
      </c>
      <c r="H50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01" s="49">
        <f ca="1">IFERROR(WEEKNUM(CRC_War_Room_SIMs[[#This Row],[Ops Date]]), "N/A")</f>
        <v>30</v>
      </c>
      <c r="J50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0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0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01" s="50">
        <f>IF(AND(CRC_War_Room_SIMs[[#This Row],[CI]] = 0, CRC_War_Room_SIMs[[#This Row],[Miss]] = 1), 1, 0)</f>
        <v>0</v>
      </c>
      <c r="N50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01" s="49">
        <f>IF(AND(CRC_War_Room_SIMs[[#This Row],[Excluded]] = 0, OR(CRC_War_Room_SIMs[[#This Row],[False Resolution Miss]] &lt;&gt; "", ISNUMBER(SEARCH("False Resolution", CRC_War_Room_SIMs[[#This Row],[Labels]])))), 1, 0)</f>
        <v>0</v>
      </c>
      <c r="P501" s="50">
        <f>IF(AND(CRC_War_Room_SIMs[[#This Row],[Excluded]] = 0, OR(CRC_War_Room_SIMs[[#This Row],[SLA Miss]] &lt;&gt; "", ISNUMBER(SEARCH("SLA", CRC_War_Room_SIMs[[#This Row],[Labels]])))), 1, 0)</f>
        <v>0</v>
      </c>
    </row>
    <row r="502" spans="1:16" x14ac:dyDescent="0.25">
      <c r="A502" t="s">
        <v>3063</v>
      </c>
      <c r="B502" t="s">
        <v>3053</v>
      </c>
      <c r="C502" t="s">
        <v>3045</v>
      </c>
      <c r="H50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02" s="49">
        <f ca="1">IFERROR(WEEKNUM(CRC_War_Room_SIMs[[#This Row],[Ops Date]]), "N/A")</f>
        <v>30</v>
      </c>
      <c r="J50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0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0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02" s="50">
        <f>IF(AND(CRC_War_Room_SIMs[[#This Row],[CI]] = 0, CRC_War_Room_SIMs[[#This Row],[Miss]] = 1), 1, 0)</f>
        <v>0</v>
      </c>
      <c r="N50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02" s="49">
        <f>IF(AND(CRC_War_Room_SIMs[[#This Row],[Excluded]] = 0, OR(CRC_War_Room_SIMs[[#This Row],[False Resolution Miss]] &lt;&gt; "", ISNUMBER(SEARCH("False Resolution", CRC_War_Room_SIMs[[#This Row],[Labels]])))), 1, 0)</f>
        <v>0</v>
      </c>
      <c r="P502" s="50">
        <f>IF(AND(CRC_War_Room_SIMs[[#This Row],[Excluded]] = 0, OR(CRC_War_Room_SIMs[[#This Row],[SLA Miss]] &lt;&gt; "", ISNUMBER(SEARCH("SLA", CRC_War_Room_SIMs[[#This Row],[Labels]])))), 1, 0)</f>
        <v>0</v>
      </c>
    </row>
    <row r="503" spans="1:16" x14ac:dyDescent="0.25">
      <c r="A503" t="s">
        <v>3064</v>
      </c>
      <c r="B503" t="s">
        <v>3053</v>
      </c>
      <c r="C503" t="s">
        <v>3045</v>
      </c>
      <c r="H50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03" s="49">
        <f ca="1">IFERROR(WEEKNUM(CRC_War_Room_SIMs[[#This Row],[Ops Date]]), "N/A")</f>
        <v>30</v>
      </c>
      <c r="J50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0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0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03" s="50">
        <f>IF(AND(CRC_War_Room_SIMs[[#This Row],[CI]] = 0, CRC_War_Room_SIMs[[#This Row],[Miss]] = 1), 1, 0)</f>
        <v>0</v>
      </c>
      <c r="N50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03" s="49">
        <f>IF(AND(CRC_War_Room_SIMs[[#This Row],[Excluded]] = 0, OR(CRC_War_Room_SIMs[[#This Row],[False Resolution Miss]] &lt;&gt; "", ISNUMBER(SEARCH("False Resolution", CRC_War_Room_SIMs[[#This Row],[Labels]])))), 1, 0)</f>
        <v>0</v>
      </c>
      <c r="P503" s="50">
        <f>IF(AND(CRC_War_Room_SIMs[[#This Row],[Excluded]] = 0, OR(CRC_War_Room_SIMs[[#This Row],[SLA Miss]] &lt;&gt; "", ISNUMBER(SEARCH("SLA", CRC_War_Room_SIMs[[#This Row],[Labels]])))), 1, 0)</f>
        <v>0</v>
      </c>
    </row>
    <row r="504" spans="1:16" x14ac:dyDescent="0.25">
      <c r="A504" t="s">
        <v>3065</v>
      </c>
      <c r="B504" t="s">
        <v>3053</v>
      </c>
      <c r="C504" t="s">
        <v>3045</v>
      </c>
      <c r="H50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04" s="49">
        <f ca="1">IFERROR(WEEKNUM(CRC_War_Room_SIMs[[#This Row],[Ops Date]]), "N/A")</f>
        <v>30</v>
      </c>
      <c r="J50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0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0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04" s="50">
        <f>IF(AND(CRC_War_Room_SIMs[[#This Row],[CI]] = 0, CRC_War_Room_SIMs[[#This Row],[Miss]] = 1), 1, 0)</f>
        <v>0</v>
      </c>
      <c r="N50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04" s="49">
        <f>IF(AND(CRC_War_Room_SIMs[[#This Row],[Excluded]] = 0, OR(CRC_War_Room_SIMs[[#This Row],[False Resolution Miss]] &lt;&gt; "", ISNUMBER(SEARCH("False Resolution", CRC_War_Room_SIMs[[#This Row],[Labels]])))), 1, 0)</f>
        <v>0</v>
      </c>
      <c r="P504" s="50">
        <f>IF(AND(CRC_War_Room_SIMs[[#This Row],[Excluded]] = 0, OR(CRC_War_Room_SIMs[[#This Row],[SLA Miss]] &lt;&gt; "", ISNUMBER(SEARCH("SLA", CRC_War_Room_SIMs[[#This Row],[Labels]])))), 1, 0)</f>
        <v>0</v>
      </c>
    </row>
    <row r="505" spans="1:16" x14ac:dyDescent="0.25">
      <c r="A505" t="s">
        <v>3066</v>
      </c>
      <c r="B505" t="s">
        <v>3053</v>
      </c>
      <c r="C505" t="s">
        <v>3045</v>
      </c>
      <c r="H50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05" s="49">
        <f ca="1">IFERROR(WEEKNUM(CRC_War_Room_SIMs[[#This Row],[Ops Date]]), "N/A")</f>
        <v>30</v>
      </c>
      <c r="J50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0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0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05" s="50">
        <f>IF(AND(CRC_War_Room_SIMs[[#This Row],[CI]] = 0, CRC_War_Room_SIMs[[#This Row],[Miss]] = 1), 1, 0)</f>
        <v>0</v>
      </c>
      <c r="N50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05" s="49">
        <f>IF(AND(CRC_War_Room_SIMs[[#This Row],[Excluded]] = 0, OR(CRC_War_Room_SIMs[[#This Row],[False Resolution Miss]] &lt;&gt; "", ISNUMBER(SEARCH("False Resolution", CRC_War_Room_SIMs[[#This Row],[Labels]])))), 1, 0)</f>
        <v>0</v>
      </c>
      <c r="P505" s="50">
        <f>IF(AND(CRC_War_Room_SIMs[[#This Row],[Excluded]] = 0, OR(CRC_War_Room_SIMs[[#This Row],[SLA Miss]] &lt;&gt; "", ISNUMBER(SEARCH("SLA", CRC_War_Room_SIMs[[#This Row],[Labels]])))), 1, 0)</f>
        <v>0</v>
      </c>
    </row>
    <row r="506" spans="1:16" x14ac:dyDescent="0.25">
      <c r="A506" t="s">
        <v>3067</v>
      </c>
      <c r="B506" t="s">
        <v>3053</v>
      </c>
      <c r="C506" t="s">
        <v>3045</v>
      </c>
      <c r="H50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06" s="49">
        <f ca="1">IFERROR(WEEKNUM(CRC_War_Room_SIMs[[#This Row],[Ops Date]]), "N/A")</f>
        <v>30</v>
      </c>
      <c r="J50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0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0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06" s="50">
        <f>IF(AND(CRC_War_Room_SIMs[[#This Row],[CI]] = 0, CRC_War_Room_SIMs[[#This Row],[Miss]] = 1), 1, 0)</f>
        <v>0</v>
      </c>
      <c r="N50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06" s="49">
        <f>IF(AND(CRC_War_Room_SIMs[[#This Row],[Excluded]] = 0, OR(CRC_War_Room_SIMs[[#This Row],[False Resolution Miss]] &lt;&gt; "", ISNUMBER(SEARCH("False Resolution", CRC_War_Room_SIMs[[#This Row],[Labels]])))), 1, 0)</f>
        <v>0</v>
      </c>
      <c r="P506" s="50">
        <f>IF(AND(CRC_War_Room_SIMs[[#This Row],[Excluded]] = 0, OR(CRC_War_Room_SIMs[[#This Row],[SLA Miss]] &lt;&gt; "", ISNUMBER(SEARCH("SLA", CRC_War_Room_SIMs[[#This Row],[Labels]])))), 1, 0)</f>
        <v>0</v>
      </c>
    </row>
    <row r="507" spans="1:16" x14ac:dyDescent="0.25">
      <c r="A507" t="s">
        <v>3068</v>
      </c>
      <c r="B507" t="s">
        <v>3053</v>
      </c>
      <c r="C507" t="s">
        <v>3045</v>
      </c>
      <c r="H50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07" s="49">
        <f ca="1">IFERROR(WEEKNUM(CRC_War_Room_SIMs[[#This Row],[Ops Date]]), "N/A")</f>
        <v>30</v>
      </c>
      <c r="J50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0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0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07" s="50">
        <f>IF(AND(CRC_War_Room_SIMs[[#This Row],[CI]] = 0, CRC_War_Room_SIMs[[#This Row],[Miss]] = 1), 1, 0)</f>
        <v>0</v>
      </c>
      <c r="N50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07" s="49">
        <f>IF(AND(CRC_War_Room_SIMs[[#This Row],[Excluded]] = 0, OR(CRC_War_Room_SIMs[[#This Row],[False Resolution Miss]] &lt;&gt; "", ISNUMBER(SEARCH("False Resolution", CRC_War_Room_SIMs[[#This Row],[Labels]])))), 1, 0)</f>
        <v>0</v>
      </c>
      <c r="P507" s="50">
        <f>IF(AND(CRC_War_Room_SIMs[[#This Row],[Excluded]] = 0, OR(CRC_War_Room_SIMs[[#This Row],[SLA Miss]] &lt;&gt; "", ISNUMBER(SEARCH("SLA", CRC_War_Room_SIMs[[#This Row],[Labels]])))), 1, 0)</f>
        <v>0</v>
      </c>
    </row>
    <row r="508" spans="1:16" x14ac:dyDescent="0.25">
      <c r="A508" t="s">
        <v>3069</v>
      </c>
      <c r="B508" t="s">
        <v>3053</v>
      </c>
      <c r="C508" t="s">
        <v>3045</v>
      </c>
      <c r="H50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08" s="49">
        <f ca="1">IFERROR(WEEKNUM(CRC_War_Room_SIMs[[#This Row],[Ops Date]]), "N/A")</f>
        <v>30</v>
      </c>
      <c r="J50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0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0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08" s="50">
        <f>IF(AND(CRC_War_Room_SIMs[[#This Row],[CI]] = 0, CRC_War_Room_SIMs[[#This Row],[Miss]] = 1), 1, 0)</f>
        <v>0</v>
      </c>
      <c r="N50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08" s="49">
        <f>IF(AND(CRC_War_Room_SIMs[[#This Row],[Excluded]] = 0, OR(CRC_War_Room_SIMs[[#This Row],[False Resolution Miss]] &lt;&gt; "", ISNUMBER(SEARCH("False Resolution", CRC_War_Room_SIMs[[#This Row],[Labels]])))), 1, 0)</f>
        <v>0</v>
      </c>
      <c r="P508" s="50">
        <f>IF(AND(CRC_War_Room_SIMs[[#This Row],[Excluded]] = 0, OR(CRC_War_Room_SIMs[[#This Row],[SLA Miss]] &lt;&gt; "", ISNUMBER(SEARCH("SLA", CRC_War_Room_SIMs[[#This Row],[Labels]])))), 1, 0)</f>
        <v>0</v>
      </c>
    </row>
    <row r="509" spans="1:16" x14ac:dyDescent="0.25">
      <c r="A509" t="s">
        <v>3070</v>
      </c>
      <c r="B509" t="s">
        <v>3044</v>
      </c>
      <c r="C509" t="s">
        <v>3045</v>
      </c>
      <c r="H50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09" s="49">
        <f ca="1">IFERROR(WEEKNUM(CRC_War_Room_SIMs[[#This Row],[Ops Date]]), "N/A")</f>
        <v>30</v>
      </c>
      <c r="J50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0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0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09" s="50">
        <f>IF(AND(CRC_War_Room_SIMs[[#This Row],[CI]] = 0, CRC_War_Room_SIMs[[#This Row],[Miss]] = 1), 1, 0)</f>
        <v>0</v>
      </c>
      <c r="N50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09" s="49">
        <f>IF(AND(CRC_War_Room_SIMs[[#This Row],[Excluded]] = 0, OR(CRC_War_Room_SIMs[[#This Row],[False Resolution Miss]] &lt;&gt; "", ISNUMBER(SEARCH("False Resolution", CRC_War_Room_SIMs[[#This Row],[Labels]])))), 1, 0)</f>
        <v>0</v>
      </c>
      <c r="P509" s="50">
        <f>IF(AND(CRC_War_Room_SIMs[[#This Row],[Excluded]] = 0, OR(CRC_War_Room_SIMs[[#This Row],[SLA Miss]] &lt;&gt; "", ISNUMBER(SEARCH("SLA", CRC_War_Room_SIMs[[#This Row],[Labels]])))), 1, 0)</f>
        <v>0</v>
      </c>
    </row>
    <row r="510" spans="1:16" x14ac:dyDescent="0.25">
      <c r="A510" t="s">
        <v>3071</v>
      </c>
      <c r="B510" t="s">
        <v>3053</v>
      </c>
      <c r="C510" t="s">
        <v>3045</v>
      </c>
      <c r="H51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10" s="49">
        <f ca="1">IFERROR(WEEKNUM(CRC_War_Room_SIMs[[#This Row],[Ops Date]]), "N/A")</f>
        <v>30</v>
      </c>
      <c r="J51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1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1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10" s="50">
        <f>IF(AND(CRC_War_Room_SIMs[[#This Row],[CI]] = 0, CRC_War_Room_SIMs[[#This Row],[Miss]] = 1), 1, 0)</f>
        <v>0</v>
      </c>
      <c r="N51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10" s="49">
        <f>IF(AND(CRC_War_Room_SIMs[[#This Row],[Excluded]] = 0, OR(CRC_War_Room_SIMs[[#This Row],[False Resolution Miss]] &lt;&gt; "", ISNUMBER(SEARCH("False Resolution", CRC_War_Room_SIMs[[#This Row],[Labels]])))), 1, 0)</f>
        <v>0</v>
      </c>
      <c r="P510" s="50">
        <f>IF(AND(CRC_War_Room_SIMs[[#This Row],[Excluded]] = 0, OR(CRC_War_Room_SIMs[[#This Row],[SLA Miss]] &lt;&gt; "", ISNUMBER(SEARCH("SLA", CRC_War_Room_SIMs[[#This Row],[Labels]])))), 1, 0)</f>
        <v>0</v>
      </c>
    </row>
    <row r="511" spans="1:16" x14ac:dyDescent="0.25">
      <c r="A511" t="s">
        <v>3072</v>
      </c>
      <c r="B511" t="s">
        <v>3044</v>
      </c>
      <c r="C511" t="s">
        <v>3045</v>
      </c>
      <c r="H51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11" s="49">
        <f ca="1">IFERROR(WEEKNUM(CRC_War_Room_SIMs[[#This Row],[Ops Date]]), "N/A")</f>
        <v>30</v>
      </c>
      <c r="J51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1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1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11" s="50">
        <f>IF(AND(CRC_War_Room_SIMs[[#This Row],[CI]] = 0, CRC_War_Room_SIMs[[#This Row],[Miss]] = 1), 1, 0)</f>
        <v>0</v>
      </c>
      <c r="N51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11" s="49">
        <f>IF(AND(CRC_War_Room_SIMs[[#This Row],[Excluded]] = 0, OR(CRC_War_Room_SIMs[[#This Row],[False Resolution Miss]] &lt;&gt; "", ISNUMBER(SEARCH("False Resolution", CRC_War_Room_SIMs[[#This Row],[Labels]])))), 1, 0)</f>
        <v>0</v>
      </c>
      <c r="P511" s="50">
        <f>IF(AND(CRC_War_Room_SIMs[[#This Row],[Excluded]] = 0, OR(CRC_War_Room_SIMs[[#This Row],[SLA Miss]] &lt;&gt; "", ISNUMBER(SEARCH("SLA", CRC_War_Room_SIMs[[#This Row],[Labels]])))), 1, 0)</f>
        <v>0</v>
      </c>
    </row>
    <row r="512" spans="1:16" x14ac:dyDescent="0.25">
      <c r="A512" t="s">
        <v>3073</v>
      </c>
      <c r="B512" t="s">
        <v>3047</v>
      </c>
      <c r="C512" t="s">
        <v>3045</v>
      </c>
      <c r="H51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12" s="49">
        <f ca="1">IFERROR(WEEKNUM(CRC_War_Room_SIMs[[#This Row],[Ops Date]]), "N/A")</f>
        <v>30</v>
      </c>
      <c r="J51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1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1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12" s="50">
        <f>IF(AND(CRC_War_Room_SIMs[[#This Row],[CI]] = 0, CRC_War_Room_SIMs[[#This Row],[Miss]] = 1), 1, 0)</f>
        <v>0</v>
      </c>
      <c r="N51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12" s="49">
        <f>IF(AND(CRC_War_Room_SIMs[[#This Row],[Excluded]] = 0, OR(CRC_War_Room_SIMs[[#This Row],[False Resolution Miss]] &lt;&gt; "", ISNUMBER(SEARCH("False Resolution", CRC_War_Room_SIMs[[#This Row],[Labels]])))), 1, 0)</f>
        <v>0</v>
      </c>
      <c r="P512" s="50">
        <f>IF(AND(CRC_War_Room_SIMs[[#This Row],[Excluded]] = 0, OR(CRC_War_Room_SIMs[[#This Row],[SLA Miss]] &lt;&gt; "", ISNUMBER(SEARCH("SLA", CRC_War_Room_SIMs[[#This Row],[Labels]])))), 1, 0)</f>
        <v>0</v>
      </c>
    </row>
    <row r="513" spans="1:16" x14ac:dyDescent="0.25">
      <c r="A513" t="s">
        <v>3074</v>
      </c>
      <c r="B513" t="s">
        <v>3044</v>
      </c>
      <c r="C513" t="s">
        <v>3045</v>
      </c>
      <c r="H51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13" s="49">
        <f ca="1">IFERROR(WEEKNUM(CRC_War_Room_SIMs[[#This Row],[Ops Date]]), "N/A")</f>
        <v>30</v>
      </c>
      <c r="J51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1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1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13" s="50">
        <f>IF(AND(CRC_War_Room_SIMs[[#This Row],[CI]] = 0, CRC_War_Room_SIMs[[#This Row],[Miss]] = 1), 1, 0)</f>
        <v>0</v>
      </c>
      <c r="N51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13" s="49">
        <f>IF(AND(CRC_War_Room_SIMs[[#This Row],[Excluded]] = 0, OR(CRC_War_Room_SIMs[[#This Row],[False Resolution Miss]] &lt;&gt; "", ISNUMBER(SEARCH("False Resolution", CRC_War_Room_SIMs[[#This Row],[Labels]])))), 1, 0)</f>
        <v>0</v>
      </c>
      <c r="P513" s="50">
        <f>IF(AND(CRC_War_Room_SIMs[[#This Row],[Excluded]] = 0, OR(CRC_War_Room_SIMs[[#This Row],[SLA Miss]] &lt;&gt; "", ISNUMBER(SEARCH("SLA", CRC_War_Room_SIMs[[#This Row],[Labels]])))), 1, 0)</f>
        <v>0</v>
      </c>
    </row>
    <row r="514" spans="1:16" x14ac:dyDescent="0.25">
      <c r="A514" t="s">
        <v>3075</v>
      </c>
      <c r="B514" t="s">
        <v>3047</v>
      </c>
      <c r="C514" t="s">
        <v>3045</v>
      </c>
      <c r="H51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14" s="49">
        <f ca="1">IFERROR(WEEKNUM(CRC_War_Room_SIMs[[#This Row],[Ops Date]]), "N/A")</f>
        <v>30</v>
      </c>
      <c r="J51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1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1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14" s="50">
        <f>IF(AND(CRC_War_Room_SIMs[[#This Row],[CI]] = 0, CRC_War_Room_SIMs[[#This Row],[Miss]] = 1), 1, 0)</f>
        <v>0</v>
      </c>
      <c r="N51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14" s="49">
        <f>IF(AND(CRC_War_Room_SIMs[[#This Row],[Excluded]] = 0, OR(CRC_War_Room_SIMs[[#This Row],[False Resolution Miss]] &lt;&gt; "", ISNUMBER(SEARCH("False Resolution", CRC_War_Room_SIMs[[#This Row],[Labels]])))), 1, 0)</f>
        <v>0</v>
      </c>
      <c r="P514" s="50">
        <f>IF(AND(CRC_War_Room_SIMs[[#This Row],[Excluded]] = 0, OR(CRC_War_Room_SIMs[[#This Row],[SLA Miss]] &lt;&gt; "", ISNUMBER(SEARCH("SLA", CRC_War_Room_SIMs[[#This Row],[Labels]])))), 1, 0)</f>
        <v>0</v>
      </c>
    </row>
    <row r="515" spans="1:16" x14ac:dyDescent="0.25">
      <c r="A515" t="s">
        <v>3076</v>
      </c>
      <c r="B515" t="s">
        <v>3077</v>
      </c>
      <c r="C515" t="s">
        <v>3045</v>
      </c>
      <c r="H51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15" s="49">
        <f ca="1">IFERROR(WEEKNUM(CRC_War_Room_SIMs[[#This Row],[Ops Date]]), "N/A")</f>
        <v>30</v>
      </c>
      <c r="J51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1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1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15" s="50">
        <f>IF(AND(CRC_War_Room_SIMs[[#This Row],[CI]] = 0, CRC_War_Room_SIMs[[#This Row],[Miss]] = 1), 1, 0)</f>
        <v>0</v>
      </c>
      <c r="N51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15" s="49">
        <f>IF(AND(CRC_War_Room_SIMs[[#This Row],[Excluded]] = 0, OR(CRC_War_Room_SIMs[[#This Row],[False Resolution Miss]] &lt;&gt; "", ISNUMBER(SEARCH("False Resolution", CRC_War_Room_SIMs[[#This Row],[Labels]])))), 1, 0)</f>
        <v>0</v>
      </c>
      <c r="P515" s="50">
        <f>IF(AND(CRC_War_Room_SIMs[[#This Row],[Excluded]] = 0, OR(CRC_War_Room_SIMs[[#This Row],[SLA Miss]] &lt;&gt; "", ISNUMBER(SEARCH("SLA", CRC_War_Room_SIMs[[#This Row],[Labels]])))), 1, 0)</f>
        <v>0</v>
      </c>
    </row>
    <row r="516" spans="1:16" x14ac:dyDescent="0.25">
      <c r="A516" t="s">
        <v>3078</v>
      </c>
      <c r="B516" t="s">
        <v>3044</v>
      </c>
      <c r="C516" t="s">
        <v>3045</v>
      </c>
      <c r="H51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16" s="49">
        <f ca="1">IFERROR(WEEKNUM(CRC_War_Room_SIMs[[#This Row],[Ops Date]]), "N/A")</f>
        <v>30</v>
      </c>
      <c r="J51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1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1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16" s="50">
        <f>IF(AND(CRC_War_Room_SIMs[[#This Row],[CI]] = 0, CRC_War_Room_SIMs[[#This Row],[Miss]] = 1), 1, 0)</f>
        <v>0</v>
      </c>
      <c r="N51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16" s="49">
        <f>IF(AND(CRC_War_Room_SIMs[[#This Row],[Excluded]] = 0, OR(CRC_War_Room_SIMs[[#This Row],[False Resolution Miss]] &lt;&gt; "", ISNUMBER(SEARCH("False Resolution", CRC_War_Room_SIMs[[#This Row],[Labels]])))), 1, 0)</f>
        <v>0</v>
      </c>
      <c r="P516" s="50">
        <f>IF(AND(CRC_War_Room_SIMs[[#This Row],[Excluded]] = 0, OR(CRC_War_Room_SIMs[[#This Row],[SLA Miss]] &lt;&gt; "", ISNUMBER(SEARCH("SLA", CRC_War_Room_SIMs[[#This Row],[Labels]])))), 1, 0)</f>
        <v>0</v>
      </c>
    </row>
    <row r="517" spans="1:16" x14ac:dyDescent="0.25">
      <c r="A517" t="s">
        <v>3079</v>
      </c>
      <c r="B517" t="s">
        <v>3044</v>
      </c>
      <c r="C517" t="s">
        <v>3045</v>
      </c>
      <c r="H51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17" s="49">
        <f ca="1">IFERROR(WEEKNUM(CRC_War_Room_SIMs[[#This Row],[Ops Date]]), "N/A")</f>
        <v>30</v>
      </c>
      <c r="J51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1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1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17" s="50">
        <f>IF(AND(CRC_War_Room_SIMs[[#This Row],[CI]] = 0, CRC_War_Room_SIMs[[#This Row],[Miss]] = 1), 1, 0)</f>
        <v>0</v>
      </c>
      <c r="N51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17" s="49">
        <f>IF(AND(CRC_War_Room_SIMs[[#This Row],[Excluded]] = 0, OR(CRC_War_Room_SIMs[[#This Row],[False Resolution Miss]] &lt;&gt; "", ISNUMBER(SEARCH("False Resolution", CRC_War_Room_SIMs[[#This Row],[Labels]])))), 1, 0)</f>
        <v>0</v>
      </c>
      <c r="P517" s="50">
        <f>IF(AND(CRC_War_Room_SIMs[[#This Row],[Excluded]] = 0, OR(CRC_War_Room_SIMs[[#This Row],[SLA Miss]] &lt;&gt; "", ISNUMBER(SEARCH("SLA", CRC_War_Room_SIMs[[#This Row],[Labels]])))), 1, 0)</f>
        <v>0</v>
      </c>
    </row>
    <row r="518" spans="1:16" x14ac:dyDescent="0.25">
      <c r="A518" t="s">
        <v>3080</v>
      </c>
      <c r="B518" t="s">
        <v>3044</v>
      </c>
      <c r="C518" t="s">
        <v>3045</v>
      </c>
      <c r="H51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18" s="49">
        <f ca="1">IFERROR(WEEKNUM(CRC_War_Room_SIMs[[#This Row],[Ops Date]]), "N/A")</f>
        <v>30</v>
      </c>
      <c r="J51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1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1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18" s="50">
        <f>IF(AND(CRC_War_Room_SIMs[[#This Row],[CI]] = 0, CRC_War_Room_SIMs[[#This Row],[Miss]] = 1), 1, 0)</f>
        <v>0</v>
      </c>
      <c r="N51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18" s="49">
        <f>IF(AND(CRC_War_Room_SIMs[[#This Row],[Excluded]] = 0, OR(CRC_War_Room_SIMs[[#This Row],[False Resolution Miss]] &lt;&gt; "", ISNUMBER(SEARCH("False Resolution", CRC_War_Room_SIMs[[#This Row],[Labels]])))), 1, 0)</f>
        <v>0</v>
      </c>
      <c r="P518" s="50">
        <f>IF(AND(CRC_War_Room_SIMs[[#This Row],[Excluded]] = 0, OR(CRC_War_Room_SIMs[[#This Row],[SLA Miss]] &lt;&gt; "", ISNUMBER(SEARCH("SLA", CRC_War_Room_SIMs[[#This Row],[Labels]])))), 1, 0)</f>
        <v>0</v>
      </c>
    </row>
    <row r="519" spans="1:16" x14ac:dyDescent="0.25">
      <c r="A519" t="s">
        <v>3081</v>
      </c>
      <c r="B519" t="s">
        <v>3077</v>
      </c>
      <c r="C519" t="s">
        <v>3045</v>
      </c>
      <c r="H51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19" s="49">
        <f ca="1">IFERROR(WEEKNUM(CRC_War_Room_SIMs[[#This Row],[Ops Date]]), "N/A")</f>
        <v>30</v>
      </c>
      <c r="J51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1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1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19" s="50">
        <f>IF(AND(CRC_War_Room_SIMs[[#This Row],[CI]] = 0, CRC_War_Room_SIMs[[#This Row],[Miss]] = 1), 1, 0)</f>
        <v>0</v>
      </c>
      <c r="N51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19" s="49">
        <f>IF(AND(CRC_War_Room_SIMs[[#This Row],[Excluded]] = 0, OR(CRC_War_Room_SIMs[[#This Row],[False Resolution Miss]] &lt;&gt; "", ISNUMBER(SEARCH("False Resolution", CRC_War_Room_SIMs[[#This Row],[Labels]])))), 1, 0)</f>
        <v>0</v>
      </c>
      <c r="P519" s="50">
        <f>IF(AND(CRC_War_Room_SIMs[[#This Row],[Excluded]] = 0, OR(CRC_War_Room_SIMs[[#This Row],[SLA Miss]] &lt;&gt; "", ISNUMBER(SEARCH("SLA", CRC_War_Room_SIMs[[#This Row],[Labels]])))), 1, 0)</f>
        <v>0</v>
      </c>
    </row>
    <row r="520" spans="1:16" x14ac:dyDescent="0.25">
      <c r="A520" t="s">
        <v>3082</v>
      </c>
      <c r="B520" t="s">
        <v>3053</v>
      </c>
      <c r="C520" t="s">
        <v>3045</v>
      </c>
      <c r="H52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20" s="49">
        <f ca="1">IFERROR(WEEKNUM(CRC_War_Room_SIMs[[#This Row],[Ops Date]]), "N/A")</f>
        <v>30</v>
      </c>
      <c r="J52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2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2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20" s="50">
        <f>IF(AND(CRC_War_Room_SIMs[[#This Row],[CI]] = 0, CRC_War_Room_SIMs[[#This Row],[Miss]] = 1), 1, 0)</f>
        <v>0</v>
      </c>
      <c r="N52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20" s="49">
        <f>IF(AND(CRC_War_Room_SIMs[[#This Row],[Excluded]] = 0, OR(CRC_War_Room_SIMs[[#This Row],[False Resolution Miss]] &lt;&gt; "", ISNUMBER(SEARCH("False Resolution", CRC_War_Room_SIMs[[#This Row],[Labels]])))), 1, 0)</f>
        <v>0</v>
      </c>
      <c r="P520" s="50">
        <f>IF(AND(CRC_War_Room_SIMs[[#This Row],[Excluded]] = 0, OR(CRC_War_Room_SIMs[[#This Row],[SLA Miss]] &lt;&gt; "", ISNUMBER(SEARCH("SLA", CRC_War_Room_SIMs[[#This Row],[Labels]])))), 1, 0)</f>
        <v>0</v>
      </c>
    </row>
    <row r="521" spans="1:16" x14ac:dyDescent="0.25">
      <c r="A521" t="s">
        <v>3083</v>
      </c>
      <c r="B521" t="s">
        <v>3077</v>
      </c>
      <c r="C521" t="s">
        <v>3045</v>
      </c>
      <c r="H52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21" s="49">
        <f ca="1">IFERROR(WEEKNUM(CRC_War_Room_SIMs[[#This Row],[Ops Date]]), "N/A")</f>
        <v>30</v>
      </c>
      <c r="J52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2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2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21" s="50">
        <f>IF(AND(CRC_War_Room_SIMs[[#This Row],[CI]] = 0, CRC_War_Room_SIMs[[#This Row],[Miss]] = 1), 1, 0)</f>
        <v>0</v>
      </c>
      <c r="N52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21" s="49">
        <f>IF(AND(CRC_War_Room_SIMs[[#This Row],[Excluded]] = 0, OR(CRC_War_Room_SIMs[[#This Row],[False Resolution Miss]] &lt;&gt; "", ISNUMBER(SEARCH("False Resolution", CRC_War_Room_SIMs[[#This Row],[Labels]])))), 1, 0)</f>
        <v>0</v>
      </c>
      <c r="P521" s="50">
        <f>IF(AND(CRC_War_Room_SIMs[[#This Row],[Excluded]] = 0, OR(CRC_War_Room_SIMs[[#This Row],[SLA Miss]] &lt;&gt; "", ISNUMBER(SEARCH("SLA", CRC_War_Room_SIMs[[#This Row],[Labels]])))), 1, 0)</f>
        <v>0</v>
      </c>
    </row>
    <row r="522" spans="1:16" x14ac:dyDescent="0.25">
      <c r="A522" t="s">
        <v>3084</v>
      </c>
      <c r="B522" t="s">
        <v>3053</v>
      </c>
      <c r="C522" t="s">
        <v>3045</v>
      </c>
      <c r="H52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22" s="49">
        <f ca="1">IFERROR(WEEKNUM(CRC_War_Room_SIMs[[#This Row],[Ops Date]]), "N/A")</f>
        <v>30</v>
      </c>
      <c r="J52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2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2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22" s="50">
        <f>IF(AND(CRC_War_Room_SIMs[[#This Row],[CI]] = 0, CRC_War_Room_SIMs[[#This Row],[Miss]] = 1), 1, 0)</f>
        <v>0</v>
      </c>
      <c r="N52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22" s="49">
        <f>IF(AND(CRC_War_Room_SIMs[[#This Row],[Excluded]] = 0, OR(CRC_War_Room_SIMs[[#This Row],[False Resolution Miss]] &lt;&gt; "", ISNUMBER(SEARCH("False Resolution", CRC_War_Room_SIMs[[#This Row],[Labels]])))), 1, 0)</f>
        <v>0</v>
      </c>
      <c r="P522" s="50">
        <f>IF(AND(CRC_War_Room_SIMs[[#This Row],[Excluded]] = 0, OR(CRC_War_Room_SIMs[[#This Row],[SLA Miss]] &lt;&gt; "", ISNUMBER(SEARCH("SLA", CRC_War_Room_SIMs[[#This Row],[Labels]])))), 1, 0)</f>
        <v>0</v>
      </c>
    </row>
    <row r="523" spans="1:16" x14ac:dyDescent="0.25">
      <c r="A523" t="s">
        <v>3085</v>
      </c>
      <c r="B523" t="s">
        <v>3053</v>
      </c>
      <c r="C523" t="s">
        <v>3045</v>
      </c>
      <c r="H52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23" s="49">
        <f ca="1">IFERROR(WEEKNUM(CRC_War_Room_SIMs[[#This Row],[Ops Date]]), "N/A")</f>
        <v>30</v>
      </c>
      <c r="J52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2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2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23" s="50">
        <f>IF(AND(CRC_War_Room_SIMs[[#This Row],[CI]] = 0, CRC_War_Room_SIMs[[#This Row],[Miss]] = 1), 1, 0)</f>
        <v>0</v>
      </c>
      <c r="N52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23" s="49">
        <f>IF(AND(CRC_War_Room_SIMs[[#This Row],[Excluded]] = 0, OR(CRC_War_Room_SIMs[[#This Row],[False Resolution Miss]] &lt;&gt; "", ISNUMBER(SEARCH("False Resolution", CRC_War_Room_SIMs[[#This Row],[Labels]])))), 1, 0)</f>
        <v>0</v>
      </c>
      <c r="P523" s="50">
        <f>IF(AND(CRC_War_Room_SIMs[[#This Row],[Excluded]] = 0, OR(CRC_War_Room_SIMs[[#This Row],[SLA Miss]] &lt;&gt; "", ISNUMBER(SEARCH("SLA", CRC_War_Room_SIMs[[#This Row],[Labels]])))), 1, 0)</f>
        <v>0</v>
      </c>
    </row>
    <row r="524" spans="1:16" x14ac:dyDescent="0.25">
      <c r="A524" t="s">
        <v>3086</v>
      </c>
      <c r="B524" t="s">
        <v>3047</v>
      </c>
      <c r="C524" t="s">
        <v>3045</v>
      </c>
      <c r="H52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24" s="49">
        <f ca="1">IFERROR(WEEKNUM(CRC_War_Room_SIMs[[#This Row],[Ops Date]]), "N/A")</f>
        <v>30</v>
      </c>
      <c r="J52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2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2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24" s="50">
        <f>IF(AND(CRC_War_Room_SIMs[[#This Row],[CI]] = 0, CRC_War_Room_SIMs[[#This Row],[Miss]] = 1), 1, 0)</f>
        <v>0</v>
      </c>
      <c r="N52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24" s="49">
        <f>IF(AND(CRC_War_Room_SIMs[[#This Row],[Excluded]] = 0, OR(CRC_War_Room_SIMs[[#This Row],[False Resolution Miss]] &lt;&gt; "", ISNUMBER(SEARCH("False Resolution", CRC_War_Room_SIMs[[#This Row],[Labels]])))), 1, 0)</f>
        <v>0</v>
      </c>
      <c r="P524" s="50">
        <f>IF(AND(CRC_War_Room_SIMs[[#This Row],[Excluded]] = 0, OR(CRC_War_Room_SIMs[[#This Row],[SLA Miss]] &lt;&gt; "", ISNUMBER(SEARCH("SLA", CRC_War_Room_SIMs[[#This Row],[Labels]])))), 1, 0)</f>
        <v>0</v>
      </c>
    </row>
    <row r="525" spans="1:16" x14ac:dyDescent="0.25">
      <c r="A525" t="s">
        <v>3087</v>
      </c>
      <c r="B525" t="s">
        <v>3047</v>
      </c>
      <c r="C525" t="s">
        <v>3045</v>
      </c>
      <c r="H52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25" s="49">
        <f ca="1">IFERROR(WEEKNUM(CRC_War_Room_SIMs[[#This Row],[Ops Date]]), "N/A")</f>
        <v>30</v>
      </c>
      <c r="J52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2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2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25" s="50">
        <f>IF(AND(CRC_War_Room_SIMs[[#This Row],[CI]] = 0, CRC_War_Room_SIMs[[#This Row],[Miss]] = 1), 1, 0)</f>
        <v>0</v>
      </c>
      <c r="N52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25" s="49">
        <f>IF(AND(CRC_War_Room_SIMs[[#This Row],[Excluded]] = 0, OR(CRC_War_Room_SIMs[[#This Row],[False Resolution Miss]] &lt;&gt; "", ISNUMBER(SEARCH("False Resolution", CRC_War_Room_SIMs[[#This Row],[Labels]])))), 1, 0)</f>
        <v>0</v>
      </c>
      <c r="P525" s="50">
        <f>IF(AND(CRC_War_Room_SIMs[[#This Row],[Excluded]] = 0, OR(CRC_War_Room_SIMs[[#This Row],[SLA Miss]] &lt;&gt; "", ISNUMBER(SEARCH("SLA", CRC_War_Room_SIMs[[#This Row],[Labels]])))), 1, 0)</f>
        <v>0</v>
      </c>
    </row>
    <row r="526" spans="1:16" x14ac:dyDescent="0.25">
      <c r="A526" t="s">
        <v>3088</v>
      </c>
      <c r="B526" t="s">
        <v>3044</v>
      </c>
      <c r="C526" t="s">
        <v>3045</v>
      </c>
      <c r="H52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26" s="49">
        <f ca="1">IFERROR(WEEKNUM(CRC_War_Room_SIMs[[#This Row],[Ops Date]]), "N/A")</f>
        <v>30</v>
      </c>
      <c r="J52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2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2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26" s="50">
        <f>IF(AND(CRC_War_Room_SIMs[[#This Row],[CI]] = 0, CRC_War_Room_SIMs[[#This Row],[Miss]] = 1), 1, 0)</f>
        <v>0</v>
      </c>
      <c r="N52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26" s="49">
        <f>IF(AND(CRC_War_Room_SIMs[[#This Row],[Excluded]] = 0, OR(CRC_War_Room_SIMs[[#This Row],[False Resolution Miss]] &lt;&gt; "", ISNUMBER(SEARCH("False Resolution", CRC_War_Room_SIMs[[#This Row],[Labels]])))), 1, 0)</f>
        <v>0</v>
      </c>
      <c r="P526" s="50">
        <f>IF(AND(CRC_War_Room_SIMs[[#This Row],[Excluded]] = 0, OR(CRC_War_Room_SIMs[[#This Row],[SLA Miss]] &lt;&gt; "", ISNUMBER(SEARCH("SLA", CRC_War_Room_SIMs[[#This Row],[Labels]])))), 1, 0)</f>
        <v>0</v>
      </c>
    </row>
    <row r="527" spans="1:16" x14ac:dyDescent="0.25">
      <c r="A527" t="s">
        <v>3089</v>
      </c>
      <c r="B527" t="s">
        <v>3044</v>
      </c>
      <c r="C527" t="s">
        <v>3045</v>
      </c>
      <c r="H52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27" s="49">
        <f ca="1">IFERROR(WEEKNUM(CRC_War_Room_SIMs[[#This Row],[Ops Date]]), "N/A")</f>
        <v>30</v>
      </c>
      <c r="J52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2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2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27" s="50">
        <f>IF(AND(CRC_War_Room_SIMs[[#This Row],[CI]] = 0, CRC_War_Room_SIMs[[#This Row],[Miss]] = 1), 1, 0)</f>
        <v>0</v>
      </c>
      <c r="N52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27" s="49">
        <f>IF(AND(CRC_War_Room_SIMs[[#This Row],[Excluded]] = 0, OR(CRC_War_Room_SIMs[[#This Row],[False Resolution Miss]] &lt;&gt; "", ISNUMBER(SEARCH("False Resolution", CRC_War_Room_SIMs[[#This Row],[Labels]])))), 1, 0)</f>
        <v>0</v>
      </c>
      <c r="P527" s="50">
        <f>IF(AND(CRC_War_Room_SIMs[[#This Row],[Excluded]] = 0, OR(CRC_War_Room_SIMs[[#This Row],[SLA Miss]] &lt;&gt; "", ISNUMBER(SEARCH("SLA", CRC_War_Room_SIMs[[#This Row],[Labels]])))), 1, 0)</f>
        <v>0</v>
      </c>
    </row>
    <row r="528" spans="1:16" x14ac:dyDescent="0.25">
      <c r="A528" t="s">
        <v>3090</v>
      </c>
      <c r="B528" t="s">
        <v>3053</v>
      </c>
      <c r="C528" t="s">
        <v>3091</v>
      </c>
      <c r="E528" t="s">
        <v>2496</v>
      </c>
      <c r="H52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28" s="49">
        <f ca="1">IFERROR(WEEKNUM(CRC_War_Room_SIMs[[#This Row],[Ops Date]]), "N/A")</f>
        <v>30</v>
      </c>
      <c r="J52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2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52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528" s="50">
        <f>IF(AND(CRC_War_Room_SIMs[[#This Row],[CI]] = 0, CRC_War_Room_SIMs[[#This Row],[Miss]] = 1), 1, 0)</f>
        <v>0</v>
      </c>
      <c r="N528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528" s="49">
        <f>IF(AND(CRC_War_Room_SIMs[[#This Row],[Excluded]] = 0, OR(CRC_War_Room_SIMs[[#This Row],[False Resolution Miss]] &lt;&gt; "", ISNUMBER(SEARCH("False Resolution", CRC_War_Room_SIMs[[#This Row],[Labels]])))), 1, 0)</f>
        <v>0</v>
      </c>
      <c r="P528" s="50">
        <f>IF(AND(CRC_War_Room_SIMs[[#This Row],[Excluded]] = 0, OR(CRC_War_Room_SIMs[[#This Row],[SLA Miss]] &lt;&gt; "", ISNUMBER(SEARCH("SLA", CRC_War_Room_SIMs[[#This Row],[Labels]])))), 1, 0)</f>
        <v>0</v>
      </c>
    </row>
    <row r="529" spans="1:16" x14ac:dyDescent="0.25">
      <c r="A529" t="s">
        <v>3092</v>
      </c>
      <c r="B529" t="s">
        <v>3047</v>
      </c>
      <c r="C529" t="s">
        <v>3045</v>
      </c>
      <c r="H52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29" s="49">
        <f ca="1">IFERROR(WEEKNUM(CRC_War_Room_SIMs[[#This Row],[Ops Date]]), "N/A")</f>
        <v>30</v>
      </c>
      <c r="J52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2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2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29" s="50">
        <f>IF(AND(CRC_War_Room_SIMs[[#This Row],[CI]] = 0, CRC_War_Room_SIMs[[#This Row],[Miss]] = 1), 1, 0)</f>
        <v>0</v>
      </c>
      <c r="N52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29" s="49">
        <f>IF(AND(CRC_War_Room_SIMs[[#This Row],[Excluded]] = 0, OR(CRC_War_Room_SIMs[[#This Row],[False Resolution Miss]] &lt;&gt; "", ISNUMBER(SEARCH("False Resolution", CRC_War_Room_SIMs[[#This Row],[Labels]])))), 1, 0)</f>
        <v>0</v>
      </c>
      <c r="P529" s="50">
        <f>IF(AND(CRC_War_Room_SIMs[[#This Row],[Excluded]] = 0, OR(CRC_War_Room_SIMs[[#This Row],[SLA Miss]] &lt;&gt; "", ISNUMBER(SEARCH("SLA", CRC_War_Room_SIMs[[#This Row],[Labels]])))), 1, 0)</f>
        <v>0</v>
      </c>
    </row>
    <row r="530" spans="1:16" x14ac:dyDescent="0.25">
      <c r="A530" t="s">
        <v>3093</v>
      </c>
      <c r="B530" t="s">
        <v>3044</v>
      </c>
      <c r="C530" t="s">
        <v>3045</v>
      </c>
      <c r="H53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30" s="49">
        <f ca="1">IFERROR(WEEKNUM(CRC_War_Room_SIMs[[#This Row],[Ops Date]]), "N/A")</f>
        <v>30</v>
      </c>
      <c r="J53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3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3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30" s="50">
        <f>IF(AND(CRC_War_Room_SIMs[[#This Row],[CI]] = 0, CRC_War_Room_SIMs[[#This Row],[Miss]] = 1), 1, 0)</f>
        <v>0</v>
      </c>
      <c r="N53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30" s="49">
        <f>IF(AND(CRC_War_Room_SIMs[[#This Row],[Excluded]] = 0, OR(CRC_War_Room_SIMs[[#This Row],[False Resolution Miss]] &lt;&gt; "", ISNUMBER(SEARCH("False Resolution", CRC_War_Room_SIMs[[#This Row],[Labels]])))), 1, 0)</f>
        <v>0</v>
      </c>
      <c r="P530" s="50">
        <f>IF(AND(CRC_War_Room_SIMs[[#This Row],[Excluded]] = 0, OR(CRC_War_Room_SIMs[[#This Row],[SLA Miss]] &lt;&gt; "", ISNUMBER(SEARCH("SLA", CRC_War_Room_SIMs[[#This Row],[Labels]])))), 1, 0)</f>
        <v>0</v>
      </c>
    </row>
    <row r="531" spans="1:16" x14ac:dyDescent="0.25">
      <c r="A531" t="s">
        <v>3094</v>
      </c>
      <c r="B531" t="s">
        <v>3047</v>
      </c>
      <c r="C531" t="s">
        <v>3045</v>
      </c>
      <c r="H53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31" s="49">
        <f ca="1">IFERROR(WEEKNUM(CRC_War_Room_SIMs[[#This Row],[Ops Date]]), "N/A")</f>
        <v>30</v>
      </c>
      <c r="J53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3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3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31" s="50">
        <f>IF(AND(CRC_War_Room_SIMs[[#This Row],[CI]] = 0, CRC_War_Room_SIMs[[#This Row],[Miss]] = 1), 1, 0)</f>
        <v>0</v>
      </c>
      <c r="N53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31" s="49">
        <f>IF(AND(CRC_War_Room_SIMs[[#This Row],[Excluded]] = 0, OR(CRC_War_Room_SIMs[[#This Row],[False Resolution Miss]] &lt;&gt; "", ISNUMBER(SEARCH("False Resolution", CRC_War_Room_SIMs[[#This Row],[Labels]])))), 1, 0)</f>
        <v>0</v>
      </c>
      <c r="P531" s="50">
        <f>IF(AND(CRC_War_Room_SIMs[[#This Row],[Excluded]] = 0, OR(CRC_War_Room_SIMs[[#This Row],[SLA Miss]] &lt;&gt; "", ISNUMBER(SEARCH("SLA", CRC_War_Room_SIMs[[#This Row],[Labels]])))), 1, 0)</f>
        <v>0</v>
      </c>
    </row>
    <row r="532" spans="1:16" x14ac:dyDescent="0.25">
      <c r="A532" t="s">
        <v>3095</v>
      </c>
      <c r="B532" t="s">
        <v>3044</v>
      </c>
      <c r="C532" t="s">
        <v>3045</v>
      </c>
      <c r="H53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32" s="49">
        <f ca="1">IFERROR(WEEKNUM(CRC_War_Room_SIMs[[#This Row],[Ops Date]]), "N/A")</f>
        <v>30</v>
      </c>
      <c r="J53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3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3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32" s="50">
        <f>IF(AND(CRC_War_Room_SIMs[[#This Row],[CI]] = 0, CRC_War_Room_SIMs[[#This Row],[Miss]] = 1), 1, 0)</f>
        <v>0</v>
      </c>
      <c r="N53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32" s="49">
        <f>IF(AND(CRC_War_Room_SIMs[[#This Row],[Excluded]] = 0, OR(CRC_War_Room_SIMs[[#This Row],[False Resolution Miss]] &lt;&gt; "", ISNUMBER(SEARCH("False Resolution", CRC_War_Room_SIMs[[#This Row],[Labels]])))), 1, 0)</f>
        <v>0</v>
      </c>
      <c r="P532" s="50">
        <f>IF(AND(CRC_War_Room_SIMs[[#This Row],[Excluded]] = 0, OR(CRC_War_Room_SIMs[[#This Row],[SLA Miss]] &lt;&gt; "", ISNUMBER(SEARCH("SLA", CRC_War_Room_SIMs[[#This Row],[Labels]])))), 1, 0)</f>
        <v>0</v>
      </c>
    </row>
    <row r="533" spans="1:16" x14ac:dyDescent="0.25">
      <c r="A533" t="s">
        <v>3096</v>
      </c>
      <c r="B533" t="s">
        <v>3053</v>
      </c>
      <c r="C533" t="s">
        <v>3045</v>
      </c>
      <c r="H53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33" s="49">
        <f ca="1">IFERROR(WEEKNUM(CRC_War_Room_SIMs[[#This Row],[Ops Date]]), "N/A")</f>
        <v>30</v>
      </c>
      <c r="J53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3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3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33" s="50">
        <f>IF(AND(CRC_War_Room_SIMs[[#This Row],[CI]] = 0, CRC_War_Room_SIMs[[#This Row],[Miss]] = 1), 1, 0)</f>
        <v>0</v>
      </c>
      <c r="N53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33" s="49">
        <f>IF(AND(CRC_War_Room_SIMs[[#This Row],[Excluded]] = 0, OR(CRC_War_Room_SIMs[[#This Row],[False Resolution Miss]] &lt;&gt; "", ISNUMBER(SEARCH("False Resolution", CRC_War_Room_SIMs[[#This Row],[Labels]])))), 1, 0)</f>
        <v>0</v>
      </c>
      <c r="P533" s="50">
        <f>IF(AND(CRC_War_Room_SIMs[[#This Row],[Excluded]] = 0, OR(CRC_War_Room_SIMs[[#This Row],[SLA Miss]] &lt;&gt; "", ISNUMBER(SEARCH("SLA", CRC_War_Room_SIMs[[#This Row],[Labels]])))), 1, 0)</f>
        <v>0</v>
      </c>
    </row>
    <row r="534" spans="1:16" x14ac:dyDescent="0.25">
      <c r="A534" t="s">
        <v>3097</v>
      </c>
      <c r="B534" t="s">
        <v>3049</v>
      </c>
      <c r="C534" t="s">
        <v>3045</v>
      </c>
      <c r="H53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34" s="49">
        <f ca="1">IFERROR(WEEKNUM(CRC_War_Room_SIMs[[#This Row],[Ops Date]]), "N/A")</f>
        <v>30</v>
      </c>
      <c r="J53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3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3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34" s="50">
        <f>IF(AND(CRC_War_Room_SIMs[[#This Row],[CI]] = 0, CRC_War_Room_SIMs[[#This Row],[Miss]] = 1), 1, 0)</f>
        <v>0</v>
      </c>
      <c r="N53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34" s="49">
        <f>IF(AND(CRC_War_Room_SIMs[[#This Row],[Excluded]] = 0, OR(CRC_War_Room_SIMs[[#This Row],[False Resolution Miss]] &lt;&gt; "", ISNUMBER(SEARCH("False Resolution", CRC_War_Room_SIMs[[#This Row],[Labels]])))), 1, 0)</f>
        <v>0</v>
      </c>
      <c r="P534" s="50">
        <f>IF(AND(CRC_War_Room_SIMs[[#This Row],[Excluded]] = 0, OR(CRC_War_Room_SIMs[[#This Row],[SLA Miss]] &lt;&gt; "", ISNUMBER(SEARCH("SLA", CRC_War_Room_SIMs[[#This Row],[Labels]])))), 1, 0)</f>
        <v>0</v>
      </c>
    </row>
    <row r="535" spans="1:16" x14ac:dyDescent="0.25">
      <c r="A535" t="s">
        <v>3098</v>
      </c>
      <c r="B535" t="s">
        <v>3047</v>
      </c>
      <c r="C535" t="s">
        <v>3045</v>
      </c>
      <c r="H53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35" s="49">
        <f ca="1">IFERROR(WEEKNUM(CRC_War_Room_SIMs[[#This Row],[Ops Date]]), "N/A")</f>
        <v>30</v>
      </c>
      <c r="J53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3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3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35" s="50">
        <f>IF(AND(CRC_War_Room_SIMs[[#This Row],[CI]] = 0, CRC_War_Room_SIMs[[#This Row],[Miss]] = 1), 1, 0)</f>
        <v>0</v>
      </c>
      <c r="N53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35" s="49">
        <f>IF(AND(CRC_War_Room_SIMs[[#This Row],[Excluded]] = 0, OR(CRC_War_Room_SIMs[[#This Row],[False Resolution Miss]] &lt;&gt; "", ISNUMBER(SEARCH("False Resolution", CRC_War_Room_SIMs[[#This Row],[Labels]])))), 1, 0)</f>
        <v>0</v>
      </c>
      <c r="P535" s="50">
        <f>IF(AND(CRC_War_Room_SIMs[[#This Row],[Excluded]] = 0, OR(CRC_War_Room_SIMs[[#This Row],[SLA Miss]] &lt;&gt; "", ISNUMBER(SEARCH("SLA", CRC_War_Room_SIMs[[#This Row],[Labels]])))), 1, 0)</f>
        <v>0</v>
      </c>
    </row>
    <row r="536" spans="1:16" x14ac:dyDescent="0.25">
      <c r="A536" t="s">
        <v>3099</v>
      </c>
      <c r="B536" t="s">
        <v>3044</v>
      </c>
      <c r="C536" t="s">
        <v>3045</v>
      </c>
      <c r="H53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36" s="49">
        <f ca="1">IFERROR(WEEKNUM(CRC_War_Room_SIMs[[#This Row],[Ops Date]]), "N/A")</f>
        <v>30</v>
      </c>
      <c r="J53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3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3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36" s="50">
        <f>IF(AND(CRC_War_Room_SIMs[[#This Row],[CI]] = 0, CRC_War_Room_SIMs[[#This Row],[Miss]] = 1), 1, 0)</f>
        <v>0</v>
      </c>
      <c r="N53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36" s="49">
        <f>IF(AND(CRC_War_Room_SIMs[[#This Row],[Excluded]] = 0, OR(CRC_War_Room_SIMs[[#This Row],[False Resolution Miss]] &lt;&gt; "", ISNUMBER(SEARCH("False Resolution", CRC_War_Room_SIMs[[#This Row],[Labels]])))), 1, 0)</f>
        <v>0</v>
      </c>
      <c r="P536" s="50">
        <f>IF(AND(CRC_War_Room_SIMs[[#This Row],[Excluded]] = 0, OR(CRC_War_Room_SIMs[[#This Row],[SLA Miss]] &lt;&gt; "", ISNUMBER(SEARCH("SLA", CRC_War_Room_SIMs[[#This Row],[Labels]])))), 1, 0)</f>
        <v>0</v>
      </c>
    </row>
    <row r="537" spans="1:16" x14ac:dyDescent="0.25">
      <c r="A537" t="s">
        <v>3100</v>
      </c>
      <c r="B537" t="s">
        <v>3047</v>
      </c>
      <c r="C537" t="s">
        <v>3045</v>
      </c>
      <c r="H53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37" s="49">
        <f ca="1">IFERROR(WEEKNUM(CRC_War_Room_SIMs[[#This Row],[Ops Date]]), "N/A")</f>
        <v>30</v>
      </c>
      <c r="J53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3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3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37" s="50">
        <f>IF(AND(CRC_War_Room_SIMs[[#This Row],[CI]] = 0, CRC_War_Room_SIMs[[#This Row],[Miss]] = 1), 1, 0)</f>
        <v>0</v>
      </c>
      <c r="N53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37" s="49">
        <f>IF(AND(CRC_War_Room_SIMs[[#This Row],[Excluded]] = 0, OR(CRC_War_Room_SIMs[[#This Row],[False Resolution Miss]] &lt;&gt; "", ISNUMBER(SEARCH("False Resolution", CRC_War_Room_SIMs[[#This Row],[Labels]])))), 1, 0)</f>
        <v>0</v>
      </c>
      <c r="P537" s="50">
        <f>IF(AND(CRC_War_Room_SIMs[[#This Row],[Excluded]] = 0, OR(CRC_War_Room_SIMs[[#This Row],[SLA Miss]] &lt;&gt; "", ISNUMBER(SEARCH("SLA", CRC_War_Room_SIMs[[#This Row],[Labels]])))), 1, 0)</f>
        <v>0</v>
      </c>
    </row>
    <row r="538" spans="1:16" x14ac:dyDescent="0.25">
      <c r="A538" t="s">
        <v>3101</v>
      </c>
      <c r="B538" t="s">
        <v>3053</v>
      </c>
      <c r="C538" t="s">
        <v>3045</v>
      </c>
      <c r="H53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38" s="49">
        <f ca="1">IFERROR(WEEKNUM(CRC_War_Room_SIMs[[#This Row],[Ops Date]]), "N/A")</f>
        <v>30</v>
      </c>
      <c r="J53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3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3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38" s="50">
        <f>IF(AND(CRC_War_Room_SIMs[[#This Row],[CI]] = 0, CRC_War_Room_SIMs[[#This Row],[Miss]] = 1), 1, 0)</f>
        <v>0</v>
      </c>
      <c r="N53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38" s="49">
        <f>IF(AND(CRC_War_Room_SIMs[[#This Row],[Excluded]] = 0, OR(CRC_War_Room_SIMs[[#This Row],[False Resolution Miss]] &lt;&gt; "", ISNUMBER(SEARCH("False Resolution", CRC_War_Room_SIMs[[#This Row],[Labels]])))), 1, 0)</f>
        <v>0</v>
      </c>
      <c r="P538" s="50">
        <f>IF(AND(CRC_War_Room_SIMs[[#This Row],[Excluded]] = 0, OR(CRC_War_Room_SIMs[[#This Row],[SLA Miss]] &lt;&gt; "", ISNUMBER(SEARCH("SLA", CRC_War_Room_SIMs[[#This Row],[Labels]])))), 1, 0)</f>
        <v>0</v>
      </c>
    </row>
    <row r="539" spans="1:16" x14ac:dyDescent="0.25">
      <c r="A539" t="s">
        <v>3102</v>
      </c>
      <c r="B539" t="s">
        <v>3044</v>
      </c>
      <c r="C539" t="s">
        <v>3045</v>
      </c>
      <c r="H53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39" s="49">
        <f ca="1">IFERROR(WEEKNUM(CRC_War_Room_SIMs[[#This Row],[Ops Date]]), "N/A")</f>
        <v>30</v>
      </c>
      <c r="J53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3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3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39" s="50">
        <f>IF(AND(CRC_War_Room_SIMs[[#This Row],[CI]] = 0, CRC_War_Room_SIMs[[#This Row],[Miss]] = 1), 1, 0)</f>
        <v>0</v>
      </c>
      <c r="N53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39" s="49">
        <f>IF(AND(CRC_War_Room_SIMs[[#This Row],[Excluded]] = 0, OR(CRC_War_Room_SIMs[[#This Row],[False Resolution Miss]] &lt;&gt; "", ISNUMBER(SEARCH("False Resolution", CRC_War_Room_SIMs[[#This Row],[Labels]])))), 1, 0)</f>
        <v>0</v>
      </c>
      <c r="P539" s="50">
        <f>IF(AND(CRC_War_Room_SIMs[[#This Row],[Excluded]] = 0, OR(CRC_War_Room_SIMs[[#This Row],[SLA Miss]] &lt;&gt; "", ISNUMBER(SEARCH("SLA", CRC_War_Room_SIMs[[#This Row],[Labels]])))), 1, 0)</f>
        <v>0</v>
      </c>
    </row>
    <row r="540" spans="1:16" x14ac:dyDescent="0.25">
      <c r="A540" t="s">
        <v>3103</v>
      </c>
      <c r="B540" t="s">
        <v>3049</v>
      </c>
      <c r="C540" t="s">
        <v>3045</v>
      </c>
      <c r="H54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40" s="49">
        <f ca="1">IFERROR(WEEKNUM(CRC_War_Room_SIMs[[#This Row],[Ops Date]]), "N/A")</f>
        <v>30</v>
      </c>
      <c r="J54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4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4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40" s="50">
        <f>IF(AND(CRC_War_Room_SIMs[[#This Row],[CI]] = 0, CRC_War_Room_SIMs[[#This Row],[Miss]] = 1), 1, 0)</f>
        <v>0</v>
      </c>
      <c r="N54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40" s="49">
        <f>IF(AND(CRC_War_Room_SIMs[[#This Row],[Excluded]] = 0, OR(CRC_War_Room_SIMs[[#This Row],[False Resolution Miss]] &lt;&gt; "", ISNUMBER(SEARCH("False Resolution", CRC_War_Room_SIMs[[#This Row],[Labels]])))), 1, 0)</f>
        <v>0</v>
      </c>
      <c r="P540" s="50">
        <f>IF(AND(CRC_War_Room_SIMs[[#This Row],[Excluded]] = 0, OR(CRC_War_Room_SIMs[[#This Row],[SLA Miss]] &lt;&gt; "", ISNUMBER(SEARCH("SLA", CRC_War_Room_SIMs[[#This Row],[Labels]])))), 1, 0)</f>
        <v>0</v>
      </c>
    </row>
    <row r="541" spans="1:16" x14ac:dyDescent="0.25">
      <c r="A541" t="s">
        <v>3104</v>
      </c>
      <c r="B541" t="s">
        <v>3049</v>
      </c>
      <c r="C541" t="s">
        <v>3045</v>
      </c>
      <c r="H54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41" s="49">
        <f ca="1">IFERROR(WEEKNUM(CRC_War_Room_SIMs[[#This Row],[Ops Date]]), "N/A")</f>
        <v>30</v>
      </c>
      <c r="J54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4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4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41" s="50">
        <f>IF(AND(CRC_War_Room_SIMs[[#This Row],[CI]] = 0, CRC_War_Room_SIMs[[#This Row],[Miss]] = 1), 1, 0)</f>
        <v>0</v>
      </c>
      <c r="N54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41" s="49">
        <f>IF(AND(CRC_War_Room_SIMs[[#This Row],[Excluded]] = 0, OR(CRC_War_Room_SIMs[[#This Row],[False Resolution Miss]] &lt;&gt; "", ISNUMBER(SEARCH("False Resolution", CRC_War_Room_SIMs[[#This Row],[Labels]])))), 1, 0)</f>
        <v>0</v>
      </c>
      <c r="P541" s="50">
        <f>IF(AND(CRC_War_Room_SIMs[[#This Row],[Excluded]] = 0, OR(CRC_War_Room_SIMs[[#This Row],[SLA Miss]] &lt;&gt; "", ISNUMBER(SEARCH("SLA", CRC_War_Room_SIMs[[#This Row],[Labels]])))), 1, 0)</f>
        <v>0</v>
      </c>
    </row>
    <row r="542" spans="1:16" x14ac:dyDescent="0.25">
      <c r="A542" t="s">
        <v>3105</v>
      </c>
      <c r="B542" t="s">
        <v>3047</v>
      </c>
      <c r="C542" t="s">
        <v>3045</v>
      </c>
      <c r="H54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42" s="49">
        <f ca="1">IFERROR(WEEKNUM(CRC_War_Room_SIMs[[#This Row],[Ops Date]]), "N/A")</f>
        <v>30</v>
      </c>
      <c r="J54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4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4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42" s="50">
        <f>IF(AND(CRC_War_Room_SIMs[[#This Row],[CI]] = 0, CRC_War_Room_SIMs[[#This Row],[Miss]] = 1), 1, 0)</f>
        <v>0</v>
      </c>
      <c r="N54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42" s="49">
        <f>IF(AND(CRC_War_Room_SIMs[[#This Row],[Excluded]] = 0, OR(CRC_War_Room_SIMs[[#This Row],[False Resolution Miss]] &lt;&gt; "", ISNUMBER(SEARCH("False Resolution", CRC_War_Room_SIMs[[#This Row],[Labels]])))), 1, 0)</f>
        <v>0</v>
      </c>
      <c r="P542" s="50">
        <f>IF(AND(CRC_War_Room_SIMs[[#This Row],[Excluded]] = 0, OR(CRC_War_Room_SIMs[[#This Row],[SLA Miss]] &lt;&gt; "", ISNUMBER(SEARCH("SLA", CRC_War_Room_SIMs[[#This Row],[Labels]])))), 1, 0)</f>
        <v>0</v>
      </c>
    </row>
    <row r="543" spans="1:16" x14ac:dyDescent="0.25">
      <c r="A543" t="s">
        <v>3106</v>
      </c>
      <c r="B543" t="s">
        <v>3053</v>
      </c>
      <c r="C543" t="s">
        <v>3045</v>
      </c>
      <c r="H54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43" s="49">
        <f ca="1">IFERROR(WEEKNUM(CRC_War_Room_SIMs[[#This Row],[Ops Date]]), "N/A")</f>
        <v>30</v>
      </c>
      <c r="J54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4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4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43" s="50">
        <f>IF(AND(CRC_War_Room_SIMs[[#This Row],[CI]] = 0, CRC_War_Room_SIMs[[#This Row],[Miss]] = 1), 1, 0)</f>
        <v>0</v>
      </c>
      <c r="N54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43" s="49">
        <f>IF(AND(CRC_War_Room_SIMs[[#This Row],[Excluded]] = 0, OR(CRC_War_Room_SIMs[[#This Row],[False Resolution Miss]] &lt;&gt; "", ISNUMBER(SEARCH("False Resolution", CRC_War_Room_SIMs[[#This Row],[Labels]])))), 1, 0)</f>
        <v>0</v>
      </c>
      <c r="P543" s="50">
        <f>IF(AND(CRC_War_Room_SIMs[[#This Row],[Excluded]] = 0, OR(CRC_War_Room_SIMs[[#This Row],[SLA Miss]] &lt;&gt; "", ISNUMBER(SEARCH("SLA", CRC_War_Room_SIMs[[#This Row],[Labels]])))), 1, 0)</f>
        <v>0</v>
      </c>
    </row>
    <row r="544" spans="1:16" x14ac:dyDescent="0.25">
      <c r="A544" t="s">
        <v>3107</v>
      </c>
      <c r="B544" t="s">
        <v>3044</v>
      </c>
      <c r="C544" t="s">
        <v>3045</v>
      </c>
      <c r="H54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44" s="49">
        <f ca="1">IFERROR(WEEKNUM(CRC_War_Room_SIMs[[#This Row],[Ops Date]]), "N/A")</f>
        <v>30</v>
      </c>
      <c r="J54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4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4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44" s="50">
        <f>IF(AND(CRC_War_Room_SIMs[[#This Row],[CI]] = 0, CRC_War_Room_SIMs[[#This Row],[Miss]] = 1), 1, 0)</f>
        <v>0</v>
      </c>
      <c r="N54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44" s="49">
        <f>IF(AND(CRC_War_Room_SIMs[[#This Row],[Excluded]] = 0, OR(CRC_War_Room_SIMs[[#This Row],[False Resolution Miss]] &lt;&gt; "", ISNUMBER(SEARCH("False Resolution", CRC_War_Room_SIMs[[#This Row],[Labels]])))), 1, 0)</f>
        <v>0</v>
      </c>
      <c r="P544" s="50">
        <f>IF(AND(CRC_War_Room_SIMs[[#This Row],[Excluded]] = 0, OR(CRC_War_Room_SIMs[[#This Row],[SLA Miss]] &lt;&gt; "", ISNUMBER(SEARCH("SLA", CRC_War_Room_SIMs[[#This Row],[Labels]])))), 1, 0)</f>
        <v>0</v>
      </c>
    </row>
    <row r="545" spans="1:16" x14ac:dyDescent="0.25">
      <c r="A545" t="s">
        <v>3108</v>
      </c>
      <c r="B545" t="s">
        <v>3047</v>
      </c>
      <c r="C545" t="s">
        <v>3045</v>
      </c>
      <c r="H54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45" s="49">
        <f ca="1">IFERROR(WEEKNUM(CRC_War_Room_SIMs[[#This Row],[Ops Date]]), "N/A")</f>
        <v>30</v>
      </c>
      <c r="J54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4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4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45" s="50">
        <f>IF(AND(CRC_War_Room_SIMs[[#This Row],[CI]] = 0, CRC_War_Room_SIMs[[#This Row],[Miss]] = 1), 1, 0)</f>
        <v>0</v>
      </c>
      <c r="N54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45" s="49">
        <f>IF(AND(CRC_War_Room_SIMs[[#This Row],[Excluded]] = 0, OR(CRC_War_Room_SIMs[[#This Row],[False Resolution Miss]] &lt;&gt; "", ISNUMBER(SEARCH("False Resolution", CRC_War_Room_SIMs[[#This Row],[Labels]])))), 1, 0)</f>
        <v>0</v>
      </c>
      <c r="P545" s="50">
        <f>IF(AND(CRC_War_Room_SIMs[[#This Row],[Excluded]] = 0, OR(CRC_War_Room_SIMs[[#This Row],[SLA Miss]] &lt;&gt; "", ISNUMBER(SEARCH("SLA", CRC_War_Room_SIMs[[#This Row],[Labels]])))), 1, 0)</f>
        <v>0</v>
      </c>
    </row>
    <row r="546" spans="1:16" x14ac:dyDescent="0.25">
      <c r="A546" t="s">
        <v>3109</v>
      </c>
      <c r="B546" t="s">
        <v>3044</v>
      </c>
      <c r="C546" t="s">
        <v>3045</v>
      </c>
      <c r="H54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46" s="49">
        <f ca="1">IFERROR(WEEKNUM(CRC_War_Room_SIMs[[#This Row],[Ops Date]]), "N/A")</f>
        <v>30</v>
      </c>
      <c r="J54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4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4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46" s="50">
        <f>IF(AND(CRC_War_Room_SIMs[[#This Row],[CI]] = 0, CRC_War_Room_SIMs[[#This Row],[Miss]] = 1), 1, 0)</f>
        <v>0</v>
      </c>
      <c r="N54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46" s="49">
        <f>IF(AND(CRC_War_Room_SIMs[[#This Row],[Excluded]] = 0, OR(CRC_War_Room_SIMs[[#This Row],[False Resolution Miss]] &lt;&gt; "", ISNUMBER(SEARCH("False Resolution", CRC_War_Room_SIMs[[#This Row],[Labels]])))), 1, 0)</f>
        <v>0</v>
      </c>
      <c r="P546" s="50">
        <f>IF(AND(CRC_War_Room_SIMs[[#This Row],[Excluded]] = 0, OR(CRC_War_Room_SIMs[[#This Row],[SLA Miss]] &lt;&gt; "", ISNUMBER(SEARCH("SLA", CRC_War_Room_SIMs[[#This Row],[Labels]])))), 1, 0)</f>
        <v>0</v>
      </c>
    </row>
    <row r="547" spans="1:16" x14ac:dyDescent="0.25">
      <c r="A547" t="s">
        <v>3110</v>
      </c>
      <c r="B547" t="s">
        <v>3049</v>
      </c>
      <c r="C547" t="s">
        <v>3045</v>
      </c>
      <c r="H54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47" s="49">
        <f ca="1">IFERROR(WEEKNUM(CRC_War_Room_SIMs[[#This Row],[Ops Date]]), "N/A")</f>
        <v>30</v>
      </c>
      <c r="J54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4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4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47" s="50">
        <f>IF(AND(CRC_War_Room_SIMs[[#This Row],[CI]] = 0, CRC_War_Room_SIMs[[#This Row],[Miss]] = 1), 1, 0)</f>
        <v>0</v>
      </c>
      <c r="N54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47" s="49">
        <f>IF(AND(CRC_War_Room_SIMs[[#This Row],[Excluded]] = 0, OR(CRC_War_Room_SIMs[[#This Row],[False Resolution Miss]] &lt;&gt; "", ISNUMBER(SEARCH("False Resolution", CRC_War_Room_SIMs[[#This Row],[Labels]])))), 1, 0)</f>
        <v>0</v>
      </c>
      <c r="P547" s="50">
        <f>IF(AND(CRC_War_Room_SIMs[[#This Row],[Excluded]] = 0, OR(CRC_War_Room_SIMs[[#This Row],[SLA Miss]] &lt;&gt; "", ISNUMBER(SEARCH("SLA", CRC_War_Room_SIMs[[#This Row],[Labels]])))), 1, 0)</f>
        <v>0</v>
      </c>
    </row>
    <row r="548" spans="1:16" x14ac:dyDescent="0.25">
      <c r="A548" t="s">
        <v>3111</v>
      </c>
      <c r="B548" t="s">
        <v>3047</v>
      </c>
      <c r="C548" t="s">
        <v>3045</v>
      </c>
      <c r="H54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48" s="49">
        <f ca="1">IFERROR(WEEKNUM(CRC_War_Room_SIMs[[#This Row],[Ops Date]]), "N/A")</f>
        <v>30</v>
      </c>
      <c r="J54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4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4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48" s="50">
        <f>IF(AND(CRC_War_Room_SIMs[[#This Row],[CI]] = 0, CRC_War_Room_SIMs[[#This Row],[Miss]] = 1), 1, 0)</f>
        <v>0</v>
      </c>
      <c r="N54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48" s="49">
        <f>IF(AND(CRC_War_Room_SIMs[[#This Row],[Excluded]] = 0, OR(CRC_War_Room_SIMs[[#This Row],[False Resolution Miss]] &lt;&gt; "", ISNUMBER(SEARCH("False Resolution", CRC_War_Room_SIMs[[#This Row],[Labels]])))), 1, 0)</f>
        <v>0</v>
      </c>
      <c r="P548" s="50">
        <f>IF(AND(CRC_War_Room_SIMs[[#This Row],[Excluded]] = 0, OR(CRC_War_Room_SIMs[[#This Row],[SLA Miss]] &lt;&gt; "", ISNUMBER(SEARCH("SLA", CRC_War_Room_SIMs[[#This Row],[Labels]])))), 1, 0)</f>
        <v>0</v>
      </c>
    </row>
    <row r="549" spans="1:16" x14ac:dyDescent="0.25">
      <c r="A549" t="s">
        <v>3112</v>
      </c>
      <c r="B549" t="s">
        <v>3044</v>
      </c>
      <c r="C549" t="s">
        <v>3045</v>
      </c>
      <c r="H54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49" s="49">
        <f ca="1">IFERROR(WEEKNUM(CRC_War_Room_SIMs[[#This Row],[Ops Date]]), "N/A")</f>
        <v>30</v>
      </c>
      <c r="J54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4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4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49" s="50">
        <f>IF(AND(CRC_War_Room_SIMs[[#This Row],[CI]] = 0, CRC_War_Room_SIMs[[#This Row],[Miss]] = 1), 1, 0)</f>
        <v>0</v>
      </c>
      <c r="N54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49" s="49">
        <f>IF(AND(CRC_War_Room_SIMs[[#This Row],[Excluded]] = 0, OR(CRC_War_Room_SIMs[[#This Row],[False Resolution Miss]] &lt;&gt; "", ISNUMBER(SEARCH("False Resolution", CRC_War_Room_SIMs[[#This Row],[Labels]])))), 1, 0)</f>
        <v>0</v>
      </c>
      <c r="P549" s="50">
        <f>IF(AND(CRC_War_Room_SIMs[[#This Row],[Excluded]] = 0, OR(CRC_War_Room_SIMs[[#This Row],[SLA Miss]] &lt;&gt; "", ISNUMBER(SEARCH("SLA", CRC_War_Room_SIMs[[#This Row],[Labels]])))), 1, 0)</f>
        <v>0</v>
      </c>
    </row>
    <row r="550" spans="1:16" x14ac:dyDescent="0.25">
      <c r="A550" t="s">
        <v>3113</v>
      </c>
      <c r="B550" t="s">
        <v>3049</v>
      </c>
      <c r="C550" t="s">
        <v>3045</v>
      </c>
      <c r="H55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50" s="49">
        <f ca="1">IFERROR(WEEKNUM(CRC_War_Room_SIMs[[#This Row],[Ops Date]]), "N/A")</f>
        <v>30</v>
      </c>
      <c r="J55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5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5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50" s="50">
        <f>IF(AND(CRC_War_Room_SIMs[[#This Row],[CI]] = 0, CRC_War_Room_SIMs[[#This Row],[Miss]] = 1), 1, 0)</f>
        <v>0</v>
      </c>
      <c r="N55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50" s="49">
        <f>IF(AND(CRC_War_Room_SIMs[[#This Row],[Excluded]] = 0, OR(CRC_War_Room_SIMs[[#This Row],[False Resolution Miss]] &lt;&gt; "", ISNUMBER(SEARCH("False Resolution", CRC_War_Room_SIMs[[#This Row],[Labels]])))), 1, 0)</f>
        <v>0</v>
      </c>
      <c r="P550" s="50">
        <f>IF(AND(CRC_War_Room_SIMs[[#This Row],[Excluded]] = 0, OR(CRC_War_Room_SIMs[[#This Row],[SLA Miss]] &lt;&gt; "", ISNUMBER(SEARCH("SLA", CRC_War_Room_SIMs[[#This Row],[Labels]])))), 1, 0)</f>
        <v>0</v>
      </c>
    </row>
    <row r="551" spans="1:16" x14ac:dyDescent="0.25">
      <c r="A551" t="s">
        <v>3114</v>
      </c>
      <c r="B551" t="s">
        <v>3044</v>
      </c>
      <c r="C551" t="s">
        <v>3045</v>
      </c>
      <c r="H55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51" s="49">
        <f ca="1">IFERROR(WEEKNUM(CRC_War_Room_SIMs[[#This Row],[Ops Date]]), "N/A")</f>
        <v>30</v>
      </c>
      <c r="J55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5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5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51" s="50">
        <f>IF(AND(CRC_War_Room_SIMs[[#This Row],[CI]] = 0, CRC_War_Room_SIMs[[#This Row],[Miss]] = 1), 1, 0)</f>
        <v>0</v>
      </c>
      <c r="N55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51" s="49">
        <f>IF(AND(CRC_War_Room_SIMs[[#This Row],[Excluded]] = 0, OR(CRC_War_Room_SIMs[[#This Row],[False Resolution Miss]] &lt;&gt; "", ISNUMBER(SEARCH("False Resolution", CRC_War_Room_SIMs[[#This Row],[Labels]])))), 1, 0)</f>
        <v>0</v>
      </c>
      <c r="P551" s="50">
        <f>IF(AND(CRC_War_Room_SIMs[[#This Row],[Excluded]] = 0, OR(CRC_War_Room_SIMs[[#This Row],[SLA Miss]] &lt;&gt; "", ISNUMBER(SEARCH("SLA", CRC_War_Room_SIMs[[#This Row],[Labels]])))), 1, 0)</f>
        <v>0</v>
      </c>
    </row>
    <row r="552" spans="1:16" x14ac:dyDescent="0.25">
      <c r="A552" t="s">
        <v>3115</v>
      </c>
      <c r="B552" t="s">
        <v>3047</v>
      </c>
      <c r="C552" t="s">
        <v>3045</v>
      </c>
      <c r="H55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52" s="49">
        <f ca="1">IFERROR(WEEKNUM(CRC_War_Room_SIMs[[#This Row],[Ops Date]]), "N/A")</f>
        <v>30</v>
      </c>
      <c r="J55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5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5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52" s="50">
        <f>IF(AND(CRC_War_Room_SIMs[[#This Row],[CI]] = 0, CRC_War_Room_SIMs[[#This Row],[Miss]] = 1), 1, 0)</f>
        <v>0</v>
      </c>
      <c r="N55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52" s="49">
        <f>IF(AND(CRC_War_Room_SIMs[[#This Row],[Excluded]] = 0, OR(CRC_War_Room_SIMs[[#This Row],[False Resolution Miss]] &lt;&gt; "", ISNUMBER(SEARCH("False Resolution", CRC_War_Room_SIMs[[#This Row],[Labels]])))), 1, 0)</f>
        <v>0</v>
      </c>
      <c r="P552" s="50">
        <f>IF(AND(CRC_War_Room_SIMs[[#This Row],[Excluded]] = 0, OR(CRC_War_Room_SIMs[[#This Row],[SLA Miss]] &lt;&gt; "", ISNUMBER(SEARCH("SLA", CRC_War_Room_SIMs[[#This Row],[Labels]])))), 1, 0)</f>
        <v>0</v>
      </c>
    </row>
    <row r="553" spans="1:16" x14ac:dyDescent="0.25">
      <c r="A553" t="s">
        <v>3116</v>
      </c>
      <c r="B553" t="s">
        <v>3047</v>
      </c>
      <c r="C553" t="s">
        <v>3091</v>
      </c>
      <c r="H55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53" s="49">
        <f ca="1">IFERROR(WEEKNUM(CRC_War_Room_SIMs[[#This Row],[Ops Date]]), "N/A")</f>
        <v>30</v>
      </c>
      <c r="J55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5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55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553" s="50">
        <f>IF(AND(CRC_War_Room_SIMs[[#This Row],[CI]] = 0, CRC_War_Room_SIMs[[#This Row],[Miss]] = 1), 1, 0)</f>
        <v>0</v>
      </c>
      <c r="N55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53" s="49">
        <f>IF(AND(CRC_War_Room_SIMs[[#This Row],[Excluded]] = 0, OR(CRC_War_Room_SIMs[[#This Row],[False Resolution Miss]] &lt;&gt; "", ISNUMBER(SEARCH("False Resolution", CRC_War_Room_SIMs[[#This Row],[Labels]])))), 1, 0)</f>
        <v>0</v>
      </c>
      <c r="P553" s="50">
        <f>IF(AND(CRC_War_Room_SIMs[[#This Row],[Excluded]] = 0, OR(CRC_War_Room_SIMs[[#This Row],[SLA Miss]] &lt;&gt; "", ISNUMBER(SEARCH("SLA", CRC_War_Room_SIMs[[#This Row],[Labels]])))), 1, 0)</f>
        <v>0</v>
      </c>
    </row>
    <row r="554" spans="1:16" x14ac:dyDescent="0.25">
      <c r="A554" t="s">
        <v>3117</v>
      </c>
      <c r="B554" t="s">
        <v>3047</v>
      </c>
      <c r="C554" t="s">
        <v>3045</v>
      </c>
      <c r="H55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54" s="49">
        <f ca="1">IFERROR(WEEKNUM(CRC_War_Room_SIMs[[#This Row],[Ops Date]]), "N/A")</f>
        <v>30</v>
      </c>
      <c r="J55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5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5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54" s="50">
        <f>IF(AND(CRC_War_Room_SIMs[[#This Row],[CI]] = 0, CRC_War_Room_SIMs[[#This Row],[Miss]] = 1), 1, 0)</f>
        <v>0</v>
      </c>
      <c r="N55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54" s="49">
        <f>IF(AND(CRC_War_Room_SIMs[[#This Row],[Excluded]] = 0, OR(CRC_War_Room_SIMs[[#This Row],[False Resolution Miss]] &lt;&gt; "", ISNUMBER(SEARCH("False Resolution", CRC_War_Room_SIMs[[#This Row],[Labels]])))), 1, 0)</f>
        <v>0</v>
      </c>
      <c r="P554" s="50">
        <f>IF(AND(CRC_War_Room_SIMs[[#This Row],[Excluded]] = 0, OR(CRC_War_Room_SIMs[[#This Row],[SLA Miss]] &lt;&gt; "", ISNUMBER(SEARCH("SLA", CRC_War_Room_SIMs[[#This Row],[Labels]])))), 1, 0)</f>
        <v>0</v>
      </c>
    </row>
    <row r="555" spans="1:16" x14ac:dyDescent="0.25">
      <c r="A555" t="s">
        <v>3118</v>
      </c>
      <c r="B555" t="s">
        <v>3053</v>
      </c>
      <c r="C555" t="s">
        <v>3045</v>
      </c>
      <c r="H55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55" s="49">
        <f ca="1">IFERROR(WEEKNUM(CRC_War_Room_SIMs[[#This Row],[Ops Date]]), "N/A")</f>
        <v>30</v>
      </c>
      <c r="J55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5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5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55" s="50">
        <f>IF(AND(CRC_War_Room_SIMs[[#This Row],[CI]] = 0, CRC_War_Room_SIMs[[#This Row],[Miss]] = 1), 1, 0)</f>
        <v>0</v>
      </c>
      <c r="N55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55" s="49">
        <f>IF(AND(CRC_War_Room_SIMs[[#This Row],[Excluded]] = 0, OR(CRC_War_Room_SIMs[[#This Row],[False Resolution Miss]] &lt;&gt; "", ISNUMBER(SEARCH("False Resolution", CRC_War_Room_SIMs[[#This Row],[Labels]])))), 1, 0)</f>
        <v>0</v>
      </c>
      <c r="P555" s="50">
        <f>IF(AND(CRC_War_Room_SIMs[[#This Row],[Excluded]] = 0, OR(CRC_War_Room_SIMs[[#This Row],[SLA Miss]] &lt;&gt; "", ISNUMBER(SEARCH("SLA", CRC_War_Room_SIMs[[#This Row],[Labels]])))), 1, 0)</f>
        <v>0</v>
      </c>
    </row>
    <row r="556" spans="1:16" x14ac:dyDescent="0.25">
      <c r="A556" t="s">
        <v>3119</v>
      </c>
      <c r="B556" t="s">
        <v>3049</v>
      </c>
      <c r="C556" t="s">
        <v>3045</v>
      </c>
      <c r="H55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56" s="49">
        <f ca="1">IFERROR(WEEKNUM(CRC_War_Room_SIMs[[#This Row],[Ops Date]]), "N/A")</f>
        <v>30</v>
      </c>
      <c r="J55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5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5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56" s="50">
        <f>IF(AND(CRC_War_Room_SIMs[[#This Row],[CI]] = 0, CRC_War_Room_SIMs[[#This Row],[Miss]] = 1), 1, 0)</f>
        <v>0</v>
      </c>
      <c r="N55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56" s="49">
        <f>IF(AND(CRC_War_Room_SIMs[[#This Row],[Excluded]] = 0, OR(CRC_War_Room_SIMs[[#This Row],[False Resolution Miss]] &lt;&gt; "", ISNUMBER(SEARCH("False Resolution", CRC_War_Room_SIMs[[#This Row],[Labels]])))), 1, 0)</f>
        <v>0</v>
      </c>
      <c r="P556" s="50">
        <f>IF(AND(CRC_War_Room_SIMs[[#This Row],[Excluded]] = 0, OR(CRC_War_Room_SIMs[[#This Row],[SLA Miss]] &lt;&gt; "", ISNUMBER(SEARCH("SLA", CRC_War_Room_SIMs[[#This Row],[Labels]])))), 1, 0)</f>
        <v>0</v>
      </c>
    </row>
    <row r="557" spans="1:16" x14ac:dyDescent="0.25">
      <c r="A557" t="s">
        <v>3120</v>
      </c>
      <c r="B557" t="s">
        <v>3044</v>
      </c>
      <c r="C557" t="s">
        <v>3045</v>
      </c>
      <c r="H55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57" s="49">
        <f ca="1">IFERROR(WEEKNUM(CRC_War_Room_SIMs[[#This Row],[Ops Date]]), "N/A")</f>
        <v>30</v>
      </c>
      <c r="J55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5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5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57" s="50">
        <f>IF(AND(CRC_War_Room_SIMs[[#This Row],[CI]] = 0, CRC_War_Room_SIMs[[#This Row],[Miss]] = 1), 1, 0)</f>
        <v>0</v>
      </c>
      <c r="N55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57" s="49">
        <f>IF(AND(CRC_War_Room_SIMs[[#This Row],[Excluded]] = 0, OR(CRC_War_Room_SIMs[[#This Row],[False Resolution Miss]] &lt;&gt; "", ISNUMBER(SEARCH("False Resolution", CRC_War_Room_SIMs[[#This Row],[Labels]])))), 1, 0)</f>
        <v>0</v>
      </c>
      <c r="P557" s="50">
        <f>IF(AND(CRC_War_Room_SIMs[[#This Row],[Excluded]] = 0, OR(CRC_War_Room_SIMs[[#This Row],[SLA Miss]] &lt;&gt; "", ISNUMBER(SEARCH("SLA", CRC_War_Room_SIMs[[#This Row],[Labels]])))), 1, 0)</f>
        <v>0</v>
      </c>
    </row>
    <row r="558" spans="1:16" x14ac:dyDescent="0.25">
      <c r="A558" t="s">
        <v>3121</v>
      </c>
      <c r="B558" t="s">
        <v>3047</v>
      </c>
      <c r="C558" t="s">
        <v>3045</v>
      </c>
      <c r="H55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58" s="49">
        <f ca="1">IFERROR(WEEKNUM(CRC_War_Room_SIMs[[#This Row],[Ops Date]]), "N/A")</f>
        <v>30</v>
      </c>
      <c r="J55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5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5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58" s="50">
        <f>IF(AND(CRC_War_Room_SIMs[[#This Row],[CI]] = 0, CRC_War_Room_SIMs[[#This Row],[Miss]] = 1), 1, 0)</f>
        <v>0</v>
      </c>
      <c r="N55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58" s="49">
        <f>IF(AND(CRC_War_Room_SIMs[[#This Row],[Excluded]] = 0, OR(CRC_War_Room_SIMs[[#This Row],[False Resolution Miss]] &lt;&gt; "", ISNUMBER(SEARCH("False Resolution", CRC_War_Room_SIMs[[#This Row],[Labels]])))), 1, 0)</f>
        <v>0</v>
      </c>
      <c r="P558" s="50">
        <f>IF(AND(CRC_War_Room_SIMs[[#This Row],[Excluded]] = 0, OR(CRC_War_Room_SIMs[[#This Row],[SLA Miss]] &lt;&gt; "", ISNUMBER(SEARCH("SLA", CRC_War_Room_SIMs[[#This Row],[Labels]])))), 1, 0)</f>
        <v>0</v>
      </c>
    </row>
    <row r="559" spans="1:16" x14ac:dyDescent="0.25">
      <c r="A559" t="s">
        <v>3122</v>
      </c>
      <c r="B559" t="s">
        <v>3044</v>
      </c>
      <c r="C559" t="s">
        <v>3045</v>
      </c>
      <c r="H55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59" s="49">
        <f ca="1">IFERROR(WEEKNUM(CRC_War_Room_SIMs[[#This Row],[Ops Date]]), "N/A")</f>
        <v>30</v>
      </c>
      <c r="J55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5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5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59" s="50">
        <f>IF(AND(CRC_War_Room_SIMs[[#This Row],[CI]] = 0, CRC_War_Room_SIMs[[#This Row],[Miss]] = 1), 1, 0)</f>
        <v>0</v>
      </c>
      <c r="N55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59" s="49">
        <f>IF(AND(CRC_War_Room_SIMs[[#This Row],[Excluded]] = 0, OR(CRC_War_Room_SIMs[[#This Row],[False Resolution Miss]] &lt;&gt; "", ISNUMBER(SEARCH("False Resolution", CRC_War_Room_SIMs[[#This Row],[Labels]])))), 1, 0)</f>
        <v>0</v>
      </c>
      <c r="P559" s="50">
        <f>IF(AND(CRC_War_Room_SIMs[[#This Row],[Excluded]] = 0, OR(CRC_War_Room_SIMs[[#This Row],[SLA Miss]] &lt;&gt; "", ISNUMBER(SEARCH("SLA", CRC_War_Room_SIMs[[#This Row],[Labels]])))), 1, 0)</f>
        <v>0</v>
      </c>
    </row>
    <row r="560" spans="1:16" x14ac:dyDescent="0.25">
      <c r="A560" t="s">
        <v>3123</v>
      </c>
      <c r="B560" t="s">
        <v>3049</v>
      </c>
      <c r="C560" t="s">
        <v>3045</v>
      </c>
      <c r="H56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60" s="49">
        <f ca="1">IFERROR(WEEKNUM(CRC_War_Room_SIMs[[#This Row],[Ops Date]]), "N/A")</f>
        <v>30</v>
      </c>
      <c r="J56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6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6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60" s="50">
        <f>IF(AND(CRC_War_Room_SIMs[[#This Row],[CI]] = 0, CRC_War_Room_SIMs[[#This Row],[Miss]] = 1), 1, 0)</f>
        <v>0</v>
      </c>
      <c r="N56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60" s="49">
        <f>IF(AND(CRC_War_Room_SIMs[[#This Row],[Excluded]] = 0, OR(CRC_War_Room_SIMs[[#This Row],[False Resolution Miss]] &lt;&gt; "", ISNUMBER(SEARCH("False Resolution", CRC_War_Room_SIMs[[#This Row],[Labels]])))), 1, 0)</f>
        <v>0</v>
      </c>
      <c r="P560" s="50">
        <f>IF(AND(CRC_War_Room_SIMs[[#This Row],[Excluded]] = 0, OR(CRC_War_Room_SIMs[[#This Row],[SLA Miss]] &lt;&gt; "", ISNUMBER(SEARCH("SLA", CRC_War_Room_SIMs[[#This Row],[Labels]])))), 1, 0)</f>
        <v>0</v>
      </c>
    </row>
    <row r="561" spans="1:16" x14ac:dyDescent="0.25">
      <c r="A561" t="s">
        <v>3124</v>
      </c>
      <c r="B561" t="s">
        <v>3047</v>
      </c>
      <c r="C561" t="s">
        <v>3045</v>
      </c>
      <c r="H56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61" s="49">
        <f ca="1">IFERROR(WEEKNUM(CRC_War_Room_SIMs[[#This Row],[Ops Date]]), "N/A")</f>
        <v>30</v>
      </c>
      <c r="J56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6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6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61" s="50">
        <f>IF(AND(CRC_War_Room_SIMs[[#This Row],[CI]] = 0, CRC_War_Room_SIMs[[#This Row],[Miss]] = 1), 1, 0)</f>
        <v>0</v>
      </c>
      <c r="N56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61" s="49">
        <f>IF(AND(CRC_War_Room_SIMs[[#This Row],[Excluded]] = 0, OR(CRC_War_Room_SIMs[[#This Row],[False Resolution Miss]] &lt;&gt; "", ISNUMBER(SEARCH("False Resolution", CRC_War_Room_SIMs[[#This Row],[Labels]])))), 1, 0)</f>
        <v>0</v>
      </c>
      <c r="P561" s="50">
        <f>IF(AND(CRC_War_Room_SIMs[[#This Row],[Excluded]] = 0, OR(CRC_War_Room_SIMs[[#This Row],[SLA Miss]] &lt;&gt; "", ISNUMBER(SEARCH("SLA", CRC_War_Room_SIMs[[#This Row],[Labels]])))), 1, 0)</f>
        <v>0</v>
      </c>
    </row>
    <row r="562" spans="1:16" x14ac:dyDescent="0.25">
      <c r="A562" t="s">
        <v>3125</v>
      </c>
      <c r="B562" t="s">
        <v>3077</v>
      </c>
      <c r="C562" t="s">
        <v>3045</v>
      </c>
      <c r="H56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62" s="49">
        <f ca="1">IFERROR(WEEKNUM(CRC_War_Room_SIMs[[#This Row],[Ops Date]]), "N/A")</f>
        <v>30</v>
      </c>
      <c r="J56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6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6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62" s="50">
        <f>IF(AND(CRC_War_Room_SIMs[[#This Row],[CI]] = 0, CRC_War_Room_SIMs[[#This Row],[Miss]] = 1), 1, 0)</f>
        <v>0</v>
      </c>
      <c r="N56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62" s="49">
        <f>IF(AND(CRC_War_Room_SIMs[[#This Row],[Excluded]] = 0, OR(CRC_War_Room_SIMs[[#This Row],[False Resolution Miss]] &lt;&gt; "", ISNUMBER(SEARCH("False Resolution", CRC_War_Room_SIMs[[#This Row],[Labels]])))), 1, 0)</f>
        <v>0</v>
      </c>
      <c r="P562" s="50">
        <f>IF(AND(CRC_War_Room_SIMs[[#This Row],[Excluded]] = 0, OR(CRC_War_Room_SIMs[[#This Row],[SLA Miss]] &lt;&gt; "", ISNUMBER(SEARCH("SLA", CRC_War_Room_SIMs[[#This Row],[Labels]])))), 1, 0)</f>
        <v>0</v>
      </c>
    </row>
    <row r="563" spans="1:16" x14ac:dyDescent="0.25">
      <c r="A563" t="s">
        <v>3126</v>
      </c>
      <c r="B563" t="s">
        <v>3053</v>
      </c>
      <c r="C563" t="s">
        <v>3045</v>
      </c>
      <c r="H56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63" s="49">
        <f ca="1">IFERROR(WEEKNUM(CRC_War_Room_SIMs[[#This Row],[Ops Date]]), "N/A")</f>
        <v>30</v>
      </c>
      <c r="J56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6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6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63" s="50">
        <f>IF(AND(CRC_War_Room_SIMs[[#This Row],[CI]] = 0, CRC_War_Room_SIMs[[#This Row],[Miss]] = 1), 1, 0)</f>
        <v>0</v>
      </c>
      <c r="N56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63" s="49">
        <f>IF(AND(CRC_War_Room_SIMs[[#This Row],[Excluded]] = 0, OR(CRC_War_Room_SIMs[[#This Row],[False Resolution Miss]] &lt;&gt; "", ISNUMBER(SEARCH("False Resolution", CRC_War_Room_SIMs[[#This Row],[Labels]])))), 1, 0)</f>
        <v>0</v>
      </c>
      <c r="P563" s="50">
        <f>IF(AND(CRC_War_Room_SIMs[[#This Row],[Excluded]] = 0, OR(CRC_War_Room_SIMs[[#This Row],[SLA Miss]] &lt;&gt; "", ISNUMBER(SEARCH("SLA", CRC_War_Room_SIMs[[#This Row],[Labels]])))), 1, 0)</f>
        <v>0</v>
      </c>
    </row>
    <row r="564" spans="1:16" x14ac:dyDescent="0.25">
      <c r="A564" t="s">
        <v>3127</v>
      </c>
      <c r="B564" t="s">
        <v>3077</v>
      </c>
      <c r="C564" t="s">
        <v>3045</v>
      </c>
      <c r="H56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64" s="49">
        <f ca="1">IFERROR(WEEKNUM(CRC_War_Room_SIMs[[#This Row],[Ops Date]]), "N/A")</f>
        <v>30</v>
      </c>
      <c r="J56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6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6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64" s="50">
        <f>IF(AND(CRC_War_Room_SIMs[[#This Row],[CI]] = 0, CRC_War_Room_SIMs[[#This Row],[Miss]] = 1), 1, 0)</f>
        <v>0</v>
      </c>
      <c r="N56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64" s="49">
        <f>IF(AND(CRC_War_Room_SIMs[[#This Row],[Excluded]] = 0, OR(CRC_War_Room_SIMs[[#This Row],[False Resolution Miss]] &lt;&gt; "", ISNUMBER(SEARCH("False Resolution", CRC_War_Room_SIMs[[#This Row],[Labels]])))), 1, 0)</f>
        <v>0</v>
      </c>
      <c r="P564" s="50">
        <f>IF(AND(CRC_War_Room_SIMs[[#This Row],[Excluded]] = 0, OR(CRC_War_Room_SIMs[[#This Row],[SLA Miss]] &lt;&gt; "", ISNUMBER(SEARCH("SLA", CRC_War_Room_SIMs[[#This Row],[Labels]])))), 1, 0)</f>
        <v>0</v>
      </c>
    </row>
    <row r="565" spans="1:16" x14ac:dyDescent="0.25">
      <c r="A565" t="s">
        <v>3128</v>
      </c>
      <c r="B565" t="s">
        <v>3049</v>
      </c>
      <c r="C565" t="s">
        <v>3045</v>
      </c>
      <c r="H56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65" s="49">
        <f ca="1">IFERROR(WEEKNUM(CRC_War_Room_SIMs[[#This Row],[Ops Date]]), "N/A")</f>
        <v>30</v>
      </c>
      <c r="J56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6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6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65" s="50">
        <f>IF(AND(CRC_War_Room_SIMs[[#This Row],[CI]] = 0, CRC_War_Room_SIMs[[#This Row],[Miss]] = 1), 1, 0)</f>
        <v>0</v>
      </c>
      <c r="N56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65" s="49">
        <f>IF(AND(CRC_War_Room_SIMs[[#This Row],[Excluded]] = 0, OR(CRC_War_Room_SIMs[[#This Row],[False Resolution Miss]] &lt;&gt; "", ISNUMBER(SEARCH("False Resolution", CRC_War_Room_SIMs[[#This Row],[Labels]])))), 1, 0)</f>
        <v>0</v>
      </c>
      <c r="P565" s="50">
        <f>IF(AND(CRC_War_Room_SIMs[[#This Row],[Excluded]] = 0, OR(CRC_War_Room_SIMs[[#This Row],[SLA Miss]] &lt;&gt; "", ISNUMBER(SEARCH("SLA", CRC_War_Room_SIMs[[#This Row],[Labels]])))), 1, 0)</f>
        <v>0</v>
      </c>
    </row>
    <row r="566" spans="1:16" x14ac:dyDescent="0.25">
      <c r="A566" t="s">
        <v>3129</v>
      </c>
      <c r="B566" t="s">
        <v>3077</v>
      </c>
      <c r="C566" t="s">
        <v>3045</v>
      </c>
      <c r="H56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66" s="49">
        <f ca="1">IFERROR(WEEKNUM(CRC_War_Room_SIMs[[#This Row],[Ops Date]]), "N/A")</f>
        <v>30</v>
      </c>
      <c r="J56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6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6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66" s="50">
        <f>IF(AND(CRC_War_Room_SIMs[[#This Row],[CI]] = 0, CRC_War_Room_SIMs[[#This Row],[Miss]] = 1), 1, 0)</f>
        <v>0</v>
      </c>
      <c r="N56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66" s="49">
        <f>IF(AND(CRC_War_Room_SIMs[[#This Row],[Excluded]] = 0, OR(CRC_War_Room_SIMs[[#This Row],[False Resolution Miss]] &lt;&gt; "", ISNUMBER(SEARCH("False Resolution", CRC_War_Room_SIMs[[#This Row],[Labels]])))), 1, 0)</f>
        <v>0</v>
      </c>
      <c r="P566" s="50">
        <f>IF(AND(CRC_War_Room_SIMs[[#This Row],[Excluded]] = 0, OR(CRC_War_Room_SIMs[[#This Row],[SLA Miss]] &lt;&gt; "", ISNUMBER(SEARCH("SLA", CRC_War_Room_SIMs[[#This Row],[Labels]])))), 1, 0)</f>
        <v>0</v>
      </c>
    </row>
    <row r="567" spans="1:16" x14ac:dyDescent="0.25">
      <c r="A567" t="s">
        <v>3130</v>
      </c>
      <c r="B567" t="s">
        <v>2692</v>
      </c>
      <c r="C567" t="s">
        <v>3045</v>
      </c>
      <c r="H56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67" s="49">
        <f ca="1">IFERROR(WEEKNUM(CRC_War_Room_SIMs[[#This Row],[Ops Date]]), "N/A")</f>
        <v>30</v>
      </c>
      <c r="J56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6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6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67" s="50">
        <f>IF(AND(CRC_War_Room_SIMs[[#This Row],[CI]] = 0, CRC_War_Room_SIMs[[#This Row],[Miss]] = 1), 1, 0)</f>
        <v>0</v>
      </c>
      <c r="N56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67" s="49">
        <f>IF(AND(CRC_War_Room_SIMs[[#This Row],[Excluded]] = 0, OR(CRC_War_Room_SIMs[[#This Row],[False Resolution Miss]] &lt;&gt; "", ISNUMBER(SEARCH("False Resolution", CRC_War_Room_SIMs[[#This Row],[Labels]])))), 1, 0)</f>
        <v>0</v>
      </c>
      <c r="P567" s="50">
        <f>IF(AND(CRC_War_Room_SIMs[[#This Row],[Excluded]] = 0, OR(CRC_War_Room_SIMs[[#This Row],[SLA Miss]] &lt;&gt; "", ISNUMBER(SEARCH("SLA", CRC_War_Room_SIMs[[#This Row],[Labels]])))), 1, 0)</f>
        <v>0</v>
      </c>
    </row>
    <row r="568" spans="1:16" x14ac:dyDescent="0.25">
      <c r="A568" t="s">
        <v>3131</v>
      </c>
      <c r="B568" t="s">
        <v>2692</v>
      </c>
      <c r="C568" t="s">
        <v>3045</v>
      </c>
      <c r="H56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68" s="49">
        <f ca="1">IFERROR(WEEKNUM(CRC_War_Room_SIMs[[#This Row],[Ops Date]]), "N/A")</f>
        <v>30</v>
      </c>
      <c r="J56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6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6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68" s="50">
        <f>IF(AND(CRC_War_Room_SIMs[[#This Row],[CI]] = 0, CRC_War_Room_SIMs[[#This Row],[Miss]] = 1), 1, 0)</f>
        <v>0</v>
      </c>
      <c r="N56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68" s="49">
        <f>IF(AND(CRC_War_Room_SIMs[[#This Row],[Excluded]] = 0, OR(CRC_War_Room_SIMs[[#This Row],[False Resolution Miss]] &lt;&gt; "", ISNUMBER(SEARCH("False Resolution", CRC_War_Room_SIMs[[#This Row],[Labels]])))), 1, 0)</f>
        <v>0</v>
      </c>
      <c r="P568" s="50">
        <f>IF(AND(CRC_War_Room_SIMs[[#This Row],[Excluded]] = 0, OR(CRC_War_Room_SIMs[[#This Row],[SLA Miss]] &lt;&gt; "", ISNUMBER(SEARCH("SLA", CRC_War_Room_SIMs[[#This Row],[Labels]])))), 1, 0)</f>
        <v>0</v>
      </c>
    </row>
    <row r="569" spans="1:16" x14ac:dyDescent="0.25">
      <c r="A569" t="s">
        <v>3132</v>
      </c>
      <c r="B569" t="s">
        <v>3044</v>
      </c>
      <c r="C569" t="s">
        <v>3045</v>
      </c>
      <c r="H56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69" s="49">
        <f ca="1">IFERROR(WEEKNUM(CRC_War_Room_SIMs[[#This Row],[Ops Date]]), "N/A")</f>
        <v>30</v>
      </c>
      <c r="J56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6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6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69" s="50">
        <f>IF(AND(CRC_War_Room_SIMs[[#This Row],[CI]] = 0, CRC_War_Room_SIMs[[#This Row],[Miss]] = 1), 1, 0)</f>
        <v>0</v>
      </c>
      <c r="N56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69" s="49">
        <f>IF(AND(CRC_War_Room_SIMs[[#This Row],[Excluded]] = 0, OR(CRC_War_Room_SIMs[[#This Row],[False Resolution Miss]] &lt;&gt; "", ISNUMBER(SEARCH("False Resolution", CRC_War_Room_SIMs[[#This Row],[Labels]])))), 1, 0)</f>
        <v>0</v>
      </c>
      <c r="P569" s="50">
        <f>IF(AND(CRC_War_Room_SIMs[[#This Row],[Excluded]] = 0, OR(CRC_War_Room_SIMs[[#This Row],[SLA Miss]] &lt;&gt; "", ISNUMBER(SEARCH("SLA", CRC_War_Room_SIMs[[#This Row],[Labels]])))), 1, 0)</f>
        <v>0</v>
      </c>
    </row>
    <row r="570" spans="1:16" x14ac:dyDescent="0.25">
      <c r="A570" t="s">
        <v>3133</v>
      </c>
      <c r="B570" t="s">
        <v>3049</v>
      </c>
      <c r="C570" t="s">
        <v>3091</v>
      </c>
      <c r="H57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70" s="49">
        <f ca="1">IFERROR(WEEKNUM(CRC_War_Room_SIMs[[#This Row],[Ops Date]]), "N/A")</f>
        <v>30</v>
      </c>
      <c r="J57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7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57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570" s="50">
        <f>IF(AND(CRC_War_Room_SIMs[[#This Row],[CI]] = 0, CRC_War_Room_SIMs[[#This Row],[Miss]] = 1), 1, 0)</f>
        <v>0</v>
      </c>
      <c r="N57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70" s="49">
        <f>IF(AND(CRC_War_Room_SIMs[[#This Row],[Excluded]] = 0, OR(CRC_War_Room_SIMs[[#This Row],[False Resolution Miss]] &lt;&gt; "", ISNUMBER(SEARCH("False Resolution", CRC_War_Room_SIMs[[#This Row],[Labels]])))), 1, 0)</f>
        <v>0</v>
      </c>
      <c r="P570" s="50">
        <f>IF(AND(CRC_War_Room_SIMs[[#This Row],[Excluded]] = 0, OR(CRC_War_Room_SIMs[[#This Row],[SLA Miss]] &lt;&gt; "", ISNUMBER(SEARCH("SLA", CRC_War_Room_SIMs[[#This Row],[Labels]])))), 1, 0)</f>
        <v>0</v>
      </c>
    </row>
    <row r="571" spans="1:16" x14ac:dyDescent="0.25">
      <c r="A571" t="s">
        <v>3134</v>
      </c>
      <c r="B571" t="s">
        <v>3049</v>
      </c>
      <c r="C571" t="s">
        <v>3045</v>
      </c>
      <c r="H57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71" s="49">
        <f ca="1">IFERROR(WEEKNUM(CRC_War_Room_SIMs[[#This Row],[Ops Date]]), "N/A")</f>
        <v>30</v>
      </c>
      <c r="J57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7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7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71" s="50">
        <f>IF(AND(CRC_War_Room_SIMs[[#This Row],[CI]] = 0, CRC_War_Room_SIMs[[#This Row],[Miss]] = 1), 1, 0)</f>
        <v>0</v>
      </c>
      <c r="N57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71" s="49">
        <f>IF(AND(CRC_War_Room_SIMs[[#This Row],[Excluded]] = 0, OR(CRC_War_Room_SIMs[[#This Row],[False Resolution Miss]] &lt;&gt; "", ISNUMBER(SEARCH("False Resolution", CRC_War_Room_SIMs[[#This Row],[Labels]])))), 1, 0)</f>
        <v>0</v>
      </c>
      <c r="P571" s="50">
        <f>IF(AND(CRC_War_Room_SIMs[[#This Row],[Excluded]] = 0, OR(CRC_War_Room_SIMs[[#This Row],[SLA Miss]] &lt;&gt; "", ISNUMBER(SEARCH("SLA", CRC_War_Room_SIMs[[#This Row],[Labels]])))), 1, 0)</f>
        <v>0</v>
      </c>
    </row>
    <row r="572" spans="1:16" x14ac:dyDescent="0.25">
      <c r="A572" t="s">
        <v>3135</v>
      </c>
      <c r="B572" t="s">
        <v>3044</v>
      </c>
      <c r="C572" t="s">
        <v>3045</v>
      </c>
      <c r="H57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72" s="49">
        <f ca="1">IFERROR(WEEKNUM(CRC_War_Room_SIMs[[#This Row],[Ops Date]]), "N/A")</f>
        <v>30</v>
      </c>
      <c r="J57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7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7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72" s="50">
        <f>IF(AND(CRC_War_Room_SIMs[[#This Row],[CI]] = 0, CRC_War_Room_SIMs[[#This Row],[Miss]] = 1), 1, 0)</f>
        <v>0</v>
      </c>
      <c r="N57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72" s="49">
        <f>IF(AND(CRC_War_Room_SIMs[[#This Row],[Excluded]] = 0, OR(CRC_War_Room_SIMs[[#This Row],[False Resolution Miss]] &lt;&gt; "", ISNUMBER(SEARCH("False Resolution", CRC_War_Room_SIMs[[#This Row],[Labels]])))), 1, 0)</f>
        <v>0</v>
      </c>
      <c r="P572" s="50">
        <f>IF(AND(CRC_War_Room_SIMs[[#This Row],[Excluded]] = 0, OR(CRC_War_Room_SIMs[[#This Row],[SLA Miss]] &lt;&gt; "", ISNUMBER(SEARCH("SLA", CRC_War_Room_SIMs[[#This Row],[Labels]])))), 1, 0)</f>
        <v>0</v>
      </c>
    </row>
    <row r="573" spans="1:16" x14ac:dyDescent="0.25">
      <c r="A573" t="s">
        <v>3136</v>
      </c>
      <c r="B573" t="s">
        <v>3044</v>
      </c>
      <c r="C573" t="s">
        <v>3045</v>
      </c>
      <c r="H57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73" s="49">
        <f ca="1">IFERROR(WEEKNUM(CRC_War_Room_SIMs[[#This Row],[Ops Date]]), "N/A")</f>
        <v>30</v>
      </c>
      <c r="J57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7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7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73" s="50">
        <f>IF(AND(CRC_War_Room_SIMs[[#This Row],[CI]] = 0, CRC_War_Room_SIMs[[#This Row],[Miss]] = 1), 1, 0)</f>
        <v>0</v>
      </c>
      <c r="N57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73" s="49">
        <f>IF(AND(CRC_War_Room_SIMs[[#This Row],[Excluded]] = 0, OR(CRC_War_Room_SIMs[[#This Row],[False Resolution Miss]] &lt;&gt; "", ISNUMBER(SEARCH("False Resolution", CRC_War_Room_SIMs[[#This Row],[Labels]])))), 1, 0)</f>
        <v>0</v>
      </c>
      <c r="P573" s="50">
        <f>IF(AND(CRC_War_Room_SIMs[[#This Row],[Excluded]] = 0, OR(CRC_War_Room_SIMs[[#This Row],[SLA Miss]] &lt;&gt; "", ISNUMBER(SEARCH("SLA", CRC_War_Room_SIMs[[#This Row],[Labels]])))), 1, 0)</f>
        <v>0</v>
      </c>
    </row>
    <row r="574" spans="1:16" x14ac:dyDescent="0.25">
      <c r="A574" t="s">
        <v>3137</v>
      </c>
      <c r="B574" t="s">
        <v>3049</v>
      </c>
      <c r="C574" t="s">
        <v>3045</v>
      </c>
      <c r="H57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74" s="49">
        <f ca="1">IFERROR(WEEKNUM(CRC_War_Room_SIMs[[#This Row],[Ops Date]]), "N/A")</f>
        <v>30</v>
      </c>
      <c r="J57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7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7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74" s="50">
        <f>IF(AND(CRC_War_Room_SIMs[[#This Row],[CI]] = 0, CRC_War_Room_SIMs[[#This Row],[Miss]] = 1), 1, 0)</f>
        <v>0</v>
      </c>
      <c r="N57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74" s="49">
        <f>IF(AND(CRC_War_Room_SIMs[[#This Row],[Excluded]] = 0, OR(CRC_War_Room_SIMs[[#This Row],[False Resolution Miss]] &lt;&gt; "", ISNUMBER(SEARCH("False Resolution", CRC_War_Room_SIMs[[#This Row],[Labels]])))), 1, 0)</f>
        <v>0</v>
      </c>
      <c r="P574" s="50">
        <f>IF(AND(CRC_War_Room_SIMs[[#This Row],[Excluded]] = 0, OR(CRC_War_Room_SIMs[[#This Row],[SLA Miss]] &lt;&gt; "", ISNUMBER(SEARCH("SLA", CRC_War_Room_SIMs[[#This Row],[Labels]])))), 1, 0)</f>
        <v>0</v>
      </c>
    </row>
    <row r="575" spans="1:16" x14ac:dyDescent="0.25">
      <c r="A575" t="s">
        <v>3138</v>
      </c>
      <c r="B575" t="s">
        <v>3139</v>
      </c>
      <c r="C575" t="s">
        <v>3045</v>
      </c>
      <c r="H57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75" s="49">
        <f ca="1">IFERROR(WEEKNUM(CRC_War_Room_SIMs[[#This Row],[Ops Date]]), "N/A")</f>
        <v>30</v>
      </c>
      <c r="J57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7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7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75" s="50">
        <f>IF(AND(CRC_War_Room_SIMs[[#This Row],[CI]] = 0, CRC_War_Room_SIMs[[#This Row],[Miss]] = 1), 1, 0)</f>
        <v>0</v>
      </c>
      <c r="N57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75" s="49">
        <f>IF(AND(CRC_War_Room_SIMs[[#This Row],[Excluded]] = 0, OR(CRC_War_Room_SIMs[[#This Row],[False Resolution Miss]] &lt;&gt; "", ISNUMBER(SEARCH("False Resolution", CRC_War_Room_SIMs[[#This Row],[Labels]])))), 1, 0)</f>
        <v>0</v>
      </c>
      <c r="P575" s="50">
        <f>IF(AND(CRC_War_Room_SIMs[[#This Row],[Excluded]] = 0, OR(CRC_War_Room_SIMs[[#This Row],[SLA Miss]] &lt;&gt; "", ISNUMBER(SEARCH("SLA", CRC_War_Room_SIMs[[#This Row],[Labels]])))), 1, 0)</f>
        <v>0</v>
      </c>
    </row>
    <row r="576" spans="1:16" x14ac:dyDescent="0.25">
      <c r="A576" t="s">
        <v>3140</v>
      </c>
      <c r="B576" t="s">
        <v>3049</v>
      </c>
      <c r="C576" t="s">
        <v>3045</v>
      </c>
      <c r="H57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76" s="49">
        <f ca="1">IFERROR(WEEKNUM(CRC_War_Room_SIMs[[#This Row],[Ops Date]]), "N/A")</f>
        <v>30</v>
      </c>
      <c r="J57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7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7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76" s="50">
        <f>IF(AND(CRC_War_Room_SIMs[[#This Row],[CI]] = 0, CRC_War_Room_SIMs[[#This Row],[Miss]] = 1), 1, 0)</f>
        <v>0</v>
      </c>
      <c r="N57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76" s="49">
        <f>IF(AND(CRC_War_Room_SIMs[[#This Row],[Excluded]] = 0, OR(CRC_War_Room_SIMs[[#This Row],[False Resolution Miss]] &lt;&gt; "", ISNUMBER(SEARCH("False Resolution", CRC_War_Room_SIMs[[#This Row],[Labels]])))), 1, 0)</f>
        <v>0</v>
      </c>
      <c r="P576" s="50">
        <f>IF(AND(CRC_War_Room_SIMs[[#This Row],[Excluded]] = 0, OR(CRC_War_Room_SIMs[[#This Row],[SLA Miss]] &lt;&gt; "", ISNUMBER(SEARCH("SLA", CRC_War_Room_SIMs[[#This Row],[Labels]])))), 1, 0)</f>
        <v>0</v>
      </c>
    </row>
    <row r="577" spans="1:16" x14ac:dyDescent="0.25">
      <c r="A577" t="s">
        <v>3141</v>
      </c>
      <c r="B577" t="s">
        <v>3139</v>
      </c>
      <c r="C577" t="s">
        <v>3045</v>
      </c>
      <c r="H57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77" s="49">
        <f ca="1">IFERROR(WEEKNUM(CRC_War_Room_SIMs[[#This Row],[Ops Date]]), "N/A")</f>
        <v>30</v>
      </c>
      <c r="J57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7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7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77" s="50">
        <f>IF(AND(CRC_War_Room_SIMs[[#This Row],[CI]] = 0, CRC_War_Room_SIMs[[#This Row],[Miss]] = 1), 1, 0)</f>
        <v>0</v>
      </c>
      <c r="N57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77" s="49">
        <f>IF(AND(CRC_War_Room_SIMs[[#This Row],[Excluded]] = 0, OR(CRC_War_Room_SIMs[[#This Row],[False Resolution Miss]] &lt;&gt; "", ISNUMBER(SEARCH("False Resolution", CRC_War_Room_SIMs[[#This Row],[Labels]])))), 1, 0)</f>
        <v>0</v>
      </c>
      <c r="P577" s="50">
        <f>IF(AND(CRC_War_Room_SIMs[[#This Row],[Excluded]] = 0, OR(CRC_War_Room_SIMs[[#This Row],[SLA Miss]] &lt;&gt; "", ISNUMBER(SEARCH("SLA", CRC_War_Room_SIMs[[#This Row],[Labels]])))), 1, 0)</f>
        <v>0</v>
      </c>
    </row>
    <row r="578" spans="1:16" x14ac:dyDescent="0.25">
      <c r="A578" t="s">
        <v>3142</v>
      </c>
      <c r="B578" t="s">
        <v>3139</v>
      </c>
      <c r="C578" t="s">
        <v>3045</v>
      </c>
      <c r="H57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78" s="49">
        <f ca="1">IFERROR(WEEKNUM(CRC_War_Room_SIMs[[#This Row],[Ops Date]]), "N/A")</f>
        <v>30</v>
      </c>
      <c r="J57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7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7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78" s="50">
        <f>IF(AND(CRC_War_Room_SIMs[[#This Row],[CI]] = 0, CRC_War_Room_SIMs[[#This Row],[Miss]] = 1), 1, 0)</f>
        <v>0</v>
      </c>
      <c r="N57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78" s="49">
        <f>IF(AND(CRC_War_Room_SIMs[[#This Row],[Excluded]] = 0, OR(CRC_War_Room_SIMs[[#This Row],[False Resolution Miss]] &lt;&gt; "", ISNUMBER(SEARCH("False Resolution", CRC_War_Room_SIMs[[#This Row],[Labels]])))), 1, 0)</f>
        <v>0</v>
      </c>
      <c r="P578" s="50">
        <f>IF(AND(CRC_War_Room_SIMs[[#This Row],[Excluded]] = 0, OR(CRC_War_Room_SIMs[[#This Row],[SLA Miss]] &lt;&gt; "", ISNUMBER(SEARCH("SLA", CRC_War_Room_SIMs[[#This Row],[Labels]])))), 1, 0)</f>
        <v>0</v>
      </c>
    </row>
    <row r="579" spans="1:16" x14ac:dyDescent="0.25">
      <c r="A579" t="s">
        <v>3143</v>
      </c>
      <c r="B579" t="s">
        <v>3139</v>
      </c>
      <c r="C579" t="s">
        <v>3045</v>
      </c>
      <c r="H57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79" s="49">
        <f ca="1">IFERROR(WEEKNUM(CRC_War_Room_SIMs[[#This Row],[Ops Date]]), "N/A")</f>
        <v>30</v>
      </c>
      <c r="J57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7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7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79" s="50">
        <f>IF(AND(CRC_War_Room_SIMs[[#This Row],[CI]] = 0, CRC_War_Room_SIMs[[#This Row],[Miss]] = 1), 1, 0)</f>
        <v>0</v>
      </c>
      <c r="N57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79" s="49">
        <f>IF(AND(CRC_War_Room_SIMs[[#This Row],[Excluded]] = 0, OR(CRC_War_Room_SIMs[[#This Row],[False Resolution Miss]] &lt;&gt; "", ISNUMBER(SEARCH("False Resolution", CRC_War_Room_SIMs[[#This Row],[Labels]])))), 1, 0)</f>
        <v>0</v>
      </c>
      <c r="P579" s="50">
        <f>IF(AND(CRC_War_Room_SIMs[[#This Row],[Excluded]] = 0, OR(CRC_War_Room_SIMs[[#This Row],[SLA Miss]] &lt;&gt; "", ISNUMBER(SEARCH("SLA", CRC_War_Room_SIMs[[#This Row],[Labels]])))), 1, 0)</f>
        <v>0</v>
      </c>
    </row>
    <row r="580" spans="1:16" x14ac:dyDescent="0.25">
      <c r="A580" t="s">
        <v>3144</v>
      </c>
      <c r="B580" t="s">
        <v>3049</v>
      </c>
      <c r="C580" t="s">
        <v>3045</v>
      </c>
      <c r="H58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80" s="49">
        <f ca="1">IFERROR(WEEKNUM(CRC_War_Room_SIMs[[#This Row],[Ops Date]]), "N/A")</f>
        <v>30</v>
      </c>
      <c r="J58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8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8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80" s="50">
        <f>IF(AND(CRC_War_Room_SIMs[[#This Row],[CI]] = 0, CRC_War_Room_SIMs[[#This Row],[Miss]] = 1), 1, 0)</f>
        <v>0</v>
      </c>
      <c r="N58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80" s="49">
        <f>IF(AND(CRC_War_Room_SIMs[[#This Row],[Excluded]] = 0, OR(CRC_War_Room_SIMs[[#This Row],[False Resolution Miss]] &lt;&gt; "", ISNUMBER(SEARCH("False Resolution", CRC_War_Room_SIMs[[#This Row],[Labels]])))), 1, 0)</f>
        <v>0</v>
      </c>
      <c r="P580" s="50">
        <f>IF(AND(CRC_War_Room_SIMs[[#This Row],[Excluded]] = 0, OR(CRC_War_Room_SIMs[[#This Row],[SLA Miss]] &lt;&gt; "", ISNUMBER(SEARCH("SLA", CRC_War_Room_SIMs[[#This Row],[Labels]])))), 1, 0)</f>
        <v>0</v>
      </c>
    </row>
    <row r="581" spans="1:16" x14ac:dyDescent="0.25">
      <c r="A581" t="s">
        <v>3145</v>
      </c>
      <c r="B581" t="s">
        <v>3139</v>
      </c>
      <c r="C581" t="s">
        <v>3045</v>
      </c>
      <c r="H58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81" s="49">
        <f ca="1">IFERROR(WEEKNUM(CRC_War_Room_SIMs[[#This Row],[Ops Date]]), "N/A")</f>
        <v>30</v>
      </c>
      <c r="J58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8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8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81" s="50">
        <f>IF(AND(CRC_War_Room_SIMs[[#This Row],[CI]] = 0, CRC_War_Room_SIMs[[#This Row],[Miss]] = 1), 1, 0)</f>
        <v>0</v>
      </c>
      <c r="N58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81" s="49">
        <f>IF(AND(CRC_War_Room_SIMs[[#This Row],[Excluded]] = 0, OR(CRC_War_Room_SIMs[[#This Row],[False Resolution Miss]] &lt;&gt; "", ISNUMBER(SEARCH("False Resolution", CRC_War_Room_SIMs[[#This Row],[Labels]])))), 1, 0)</f>
        <v>0</v>
      </c>
      <c r="P581" s="50">
        <f>IF(AND(CRC_War_Room_SIMs[[#This Row],[Excluded]] = 0, OR(CRC_War_Room_SIMs[[#This Row],[SLA Miss]] &lt;&gt; "", ISNUMBER(SEARCH("SLA", CRC_War_Room_SIMs[[#This Row],[Labels]])))), 1, 0)</f>
        <v>0</v>
      </c>
    </row>
    <row r="582" spans="1:16" x14ac:dyDescent="0.25">
      <c r="A582" t="s">
        <v>3146</v>
      </c>
      <c r="B582" t="s">
        <v>3139</v>
      </c>
      <c r="C582" t="s">
        <v>3045</v>
      </c>
      <c r="H58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82" s="49">
        <f ca="1">IFERROR(WEEKNUM(CRC_War_Room_SIMs[[#This Row],[Ops Date]]), "N/A")</f>
        <v>30</v>
      </c>
      <c r="J58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8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8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82" s="50">
        <f>IF(AND(CRC_War_Room_SIMs[[#This Row],[CI]] = 0, CRC_War_Room_SIMs[[#This Row],[Miss]] = 1), 1, 0)</f>
        <v>0</v>
      </c>
      <c r="N58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82" s="49">
        <f>IF(AND(CRC_War_Room_SIMs[[#This Row],[Excluded]] = 0, OR(CRC_War_Room_SIMs[[#This Row],[False Resolution Miss]] &lt;&gt; "", ISNUMBER(SEARCH("False Resolution", CRC_War_Room_SIMs[[#This Row],[Labels]])))), 1, 0)</f>
        <v>0</v>
      </c>
      <c r="P582" s="50">
        <f>IF(AND(CRC_War_Room_SIMs[[#This Row],[Excluded]] = 0, OR(CRC_War_Room_SIMs[[#This Row],[SLA Miss]] &lt;&gt; "", ISNUMBER(SEARCH("SLA", CRC_War_Room_SIMs[[#This Row],[Labels]])))), 1, 0)</f>
        <v>0</v>
      </c>
    </row>
    <row r="583" spans="1:16" x14ac:dyDescent="0.25">
      <c r="A583" t="s">
        <v>3147</v>
      </c>
      <c r="B583" t="s">
        <v>3049</v>
      </c>
      <c r="C583" t="s">
        <v>3045</v>
      </c>
      <c r="H58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83" s="49">
        <f ca="1">IFERROR(WEEKNUM(CRC_War_Room_SIMs[[#This Row],[Ops Date]]), "N/A")</f>
        <v>30</v>
      </c>
      <c r="J58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8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8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83" s="50">
        <f>IF(AND(CRC_War_Room_SIMs[[#This Row],[CI]] = 0, CRC_War_Room_SIMs[[#This Row],[Miss]] = 1), 1, 0)</f>
        <v>0</v>
      </c>
      <c r="N58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83" s="49">
        <f>IF(AND(CRC_War_Room_SIMs[[#This Row],[Excluded]] = 0, OR(CRC_War_Room_SIMs[[#This Row],[False Resolution Miss]] &lt;&gt; "", ISNUMBER(SEARCH("False Resolution", CRC_War_Room_SIMs[[#This Row],[Labels]])))), 1, 0)</f>
        <v>0</v>
      </c>
      <c r="P583" s="50">
        <f>IF(AND(CRC_War_Room_SIMs[[#This Row],[Excluded]] = 0, OR(CRC_War_Room_SIMs[[#This Row],[SLA Miss]] &lt;&gt; "", ISNUMBER(SEARCH("SLA", CRC_War_Room_SIMs[[#This Row],[Labels]])))), 1, 0)</f>
        <v>0</v>
      </c>
    </row>
    <row r="584" spans="1:16" x14ac:dyDescent="0.25">
      <c r="A584" t="s">
        <v>3148</v>
      </c>
      <c r="B584" t="s">
        <v>3139</v>
      </c>
      <c r="C584" t="s">
        <v>3045</v>
      </c>
      <c r="H58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84" s="49">
        <f ca="1">IFERROR(WEEKNUM(CRC_War_Room_SIMs[[#This Row],[Ops Date]]), "N/A")</f>
        <v>30</v>
      </c>
      <c r="J58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8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8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84" s="50">
        <f>IF(AND(CRC_War_Room_SIMs[[#This Row],[CI]] = 0, CRC_War_Room_SIMs[[#This Row],[Miss]] = 1), 1, 0)</f>
        <v>0</v>
      </c>
      <c r="N58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84" s="49">
        <f>IF(AND(CRC_War_Room_SIMs[[#This Row],[Excluded]] = 0, OR(CRC_War_Room_SIMs[[#This Row],[False Resolution Miss]] &lt;&gt; "", ISNUMBER(SEARCH("False Resolution", CRC_War_Room_SIMs[[#This Row],[Labels]])))), 1, 0)</f>
        <v>0</v>
      </c>
      <c r="P584" s="50">
        <f>IF(AND(CRC_War_Room_SIMs[[#This Row],[Excluded]] = 0, OR(CRC_War_Room_SIMs[[#This Row],[SLA Miss]] &lt;&gt; "", ISNUMBER(SEARCH("SLA", CRC_War_Room_SIMs[[#This Row],[Labels]])))), 1, 0)</f>
        <v>0</v>
      </c>
    </row>
    <row r="585" spans="1:16" x14ac:dyDescent="0.25">
      <c r="A585" t="s">
        <v>3149</v>
      </c>
      <c r="B585" t="s">
        <v>3049</v>
      </c>
      <c r="C585" t="s">
        <v>3045</v>
      </c>
      <c r="H58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85" s="49">
        <f ca="1">IFERROR(WEEKNUM(CRC_War_Room_SIMs[[#This Row],[Ops Date]]), "N/A")</f>
        <v>30</v>
      </c>
      <c r="J58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8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8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85" s="50">
        <f>IF(AND(CRC_War_Room_SIMs[[#This Row],[CI]] = 0, CRC_War_Room_SIMs[[#This Row],[Miss]] = 1), 1, 0)</f>
        <v>0</v>
      </c>
      <c r="N58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85" s="49">
        <f>IF(AND(CRC_War_Room_SIMs[[#This Row],[Excluded]] = 0, OR(CRC_War_Room_SIMs[[#This Row],[False Resolution Miss]] &lt;&gt; "", ISNUMBER(SEARCH("False Resolution", CRC_War_Room_SIMs[[#This Row],[Labels]])))), 1, 0)</f>
        <v>0</v>
      </c>
      <c r="P585" s="50">
        <f>IF(AND(CRC_War_Room_SIMs[[#This Row],[Excluded]] = 0, OR(CRC_War_Room_SIMs[[#This Row],[SLA Miss]] &lt;&gt; "", ISNUMBER(SEARCH("SLA", CRC_War_Room_SIMs[[#This Row],[Labels]])))), 1, 0)</f>
        <v>0</v>
      </c>
    </row>
    <row r="586" spans="1:16" x14ac:dyDescent="0.25">
      <c r="A586" t="s">
        <v>3150</v>
      </c>
      <c r="B586" t="s">
        <v>3049</v>
      </c>
      <c r="C586" t="s">
        <v>3045</v>
      </c>
      <c r="H58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86" s="49">
        <f ca="1">IFERROR(WEEKNUM(CRC_War_Room_SIMs[[#This Row],[Ops Date]]), "N/A")</f>
        <v>30</v>
      </c>
      <c r="J58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8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8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86" s="50">
        <f>IF(AND(CRC_War_Room_SIMs[[#This Row],[CI]] = 0, CRC_War_Room_SIMs[[#This Row],[Miss]] = 1), 1, 0)</f>
        <v>0</v>
      </c>
      <c r="N58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86" s="49">
        <f>IF(AND(CRC_War_Room_SIMs[[#This Row],[Excluded]] = 0, OR(CRC_War_Room_SIMs[[#This Row],[False Resolution Miss]] &lt;&gt; "", ISNUMBER(SEARCH("False Resolution", CRC_War_Room_SIMs[[#This Row],[Labels]])))), 1, 0)</f>
        <v>0</v>
      </c>
      <c r="P586" s="50">
        <f>IF(AND(CRC_War_Room_SIMs[[#This Row],[Excluded]] = 0, OR(CRC_War_Room_SIMs[[#This Row],[SLA Miss]] &lt;&gt; "", ISNUMBER(SEARCH("SLA", CRC_War_Room_SIMs[[#This Row],[Labels]])))), 1, 0)</f>
        <v>0</v>
      </c>
    </row>
    <row r="587" spans="1:16" x14ac:dyDescent="0.25">
      <c r="A587" t="s">
        <v>3151</v>
      </c>
      <c r="B587" t="s">
        <v>3049</v>
      </c>
      <c r="C587" t="s">
        <v>3045</v>
      </c>
      <c r="H58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87" s="49">
        <f ca="1">IFERROR(WEEKNUM(CRC_War_Room_SIMs[[#This Row],[Ops Date]]), "N/A")</f>
        <v>30</v>
      </c>
      <c r="J58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8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8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87" s="50">
        <f>IF(AND(CRC_War_Room_SIMs[[#This Row],[CI]] = 0, CRC_War_Room_SIMs[[#This Row],[Miss]] = 1), 1, 0)</f>
        <v>0</v>
      </c>
      <c r="N58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87" s="49">
        <f>IF(AND(CRC_War_Room_SIMs[[#This Row],[Excluded]] = 0, OR(CRC_War_Room_SIMs[[#This Row],[False Resolution Miss]] &lt;&gt; "", ISNUMBER(SEARCH("False Resolution", CRC_War_Room_SIMs[[#This Row],[Labels]])))), 1, 0)</f>
        <v>0</v>
      </c>
      <c r="P587" s="50">
        <f>IF(AND(CRC_War_Room_SIMs[[#This Row],[Excluded]] = 0, OR(CRC_War_Room_SIMs[[#This Row],[SLA Miss]] &lt;&gt; "", ISNUMBER(SEARCH("SLA", CRC_War_Room_SIMs[[#This Row],[Labels]])))), 1, 0)</f>
        <v>0</v>
      </c>
    </row>
    <row r="588" spans="1:16" x14ac:dyDescent="0.25">
      <c r="A588" t="s">
        <v>3152</v>
      </c>
      <c r="B588" t="s">
        <v>3049</v>
      </c>
      <c r="C588" t="s">
        <v>3045</v>
      </c>
      <c r="H58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88" s="49">
        <f ca="1">IFERROR(WEEKNUM(CRC_War_Room_SIMs[[#This Row],[Ops Date]]), "N/A")</f>
        <v>30</v>
      </c>
      <c r="J58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8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8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88" s="50">
        <f>IF(AND(CRC_War_Room_SIMs[[#This Row],[CI]] = 0, CRC_War_Room_SIMs[[#This Row],[Miss]] = 1), 1, 0)</f>
        <v>0</v>
      </c>
      <c r="N58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88" s="49">
        <f>IF(AND(CRC_War_Room_SIMs[[#This Row],[Excluded]] = 0, OR(CRC_War_Room_SIMs[[#This Row],[False Resolution Miss]] &lt;&gt; "", ISNUMBER(SEARCH("False Resolution", CRC_War_Room_SIMs[[#This Row],[Labels]])))), 1, 0)</f>
        <v>0</v>
      </c>
      <c r="P588" s="50">
        <f>IF(AND(CRC_War_Room_SIMs[[#This Row],[Excluded]] = 0, OR(CRC_War_Room_SIMs[[#This Row],[SLA Miss]] &lt;&gt; "", ISNUMBER(SEARCH("SLA", CRC_War_Room_SIMs[[#This Row],[Labels]])))), 1, 0)</f>
        <v>0</v>
      </c>
    </row>
    <row r="589" spans="1:16" x14ac:dyDescent="0.25">
      <c r="A589" t="s">
        <v>3153</v>
      </c>
      <c r="B589" t="s">
        <v>3154</v>
      </c>
      <c r="C589" t="s">
        <v>3045</v>
      </c>
      <c r="H58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89" s="49">
        <f ca="1">IFERROR(WEEKNUM(CRC_War_Room_SIMs[[#This Row],[Ops Date]]), "N/A")</f>
        <v>30</v>
      </c>
      <c r="J58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8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8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89" s="50">
        <f>IF(AND(CRC_War_Room_SIMs[[#This Row],[CI]] = 0, CRC_War_Room_SIMs[[#This Row],[Miss]] = 1), 1, 0)</f>
        <v>0</v>
      </c>
      <c r="N58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89" s="49">
        <f>IF(AND(CRC_War_Room_SIMs[[#This Row],[Excluded]] = 0, OR(CRC_War_Room_SIMs[[#This Row],[False Resolution Miss]] &lt;&gt; "", ISNUMBER(SEARCH("False Resolution", CRC_War_Room_SIMs[[#This Row],[Labels]])))), 1, 0)</f>
        <v>0</v>
      </c>
      <c r="P589" s="50">
        <f>IF(AND(CRC_War_Room_SIMs[[#This Row],[Excluded]] = 0, OR(CRC_War_Room_SIMs[[#This Row],[SLA Miss]] &lt;&gt; "", ISNUMBER(SEARCH("SLA", CRC_War_Room_SIMs[[#This Row],[Labels]])))), 1, 0)</f>
        <v>0</v>
      </c>
    </row>
    <row r="590" spans="1:16" x14ac:dyDescent="0.25">
      <c r="A590" t="s">
        <v>3155</v>
      </c>
      <c r="B590" t="s">
        <v>3049</v>
      </c>
      <c r="C590" t="s">
        <v>3045</v>
      </c>
      <c r="H59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90" s="49">
        <f ca="1">IFERROR(WEEKNUM(CRC_War_Room_SIMs[[#This Row],[Ops Date]]), "N/A")</f>
        <v>30</v>
      </c>
      <c r="J59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9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9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90" s="50">
        <f>IF(AND(CRC_War_Room_SIMs[[#This Row],[CI]] = 0, CRC_War_Room_SIMs[[#This Row],[Miss]] = 1), 1, 0)</f>
        <v>0</v>
      </c>
      <c r="N59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90" s="49">
        <f>IF(AND(CRC_War_Room_SIMs[[#This Row],[Excluded]] = 0, OR(CRC_War_Room_SIMs[[#This Row],[False Resolution Miss]] &lt;&gt; "", ISNUMBER(SEARCH("False Resolution", CRC_War_Room_SIMs[[#This Row],[Labels]])))), 1, 0)</f>
        <v>0</v>
      </c>
      <c r="P590" s="50">
        <f>IF(AND(CRC_War_Room_SIMs[[#This Row],[Excluded]] = 0, OR(CRC_War_Room_SIMs[[#This Row],[SLA Miss]] &lt;&gt; "", ISNUMBER(SEARCH("SLA", CRC_War_Room_SIMs[[#This Row],[Labels]])))), 1, 0)</f>
        <v>0</v>
      </c>
    </row>
    <row r="591" spans="1:16" x14ac:dyDescent="0.25">
      <c r="A591" t="s">
        <v>3156</v>
      </c>
      <c r="B591" t="s">
        <v>3154</v>
      </c>
      <c r="C591" t="s">
        <v>3045</v>
      </c>
      <c r="H59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91" s="49">
        <f ca="1">IFERROR(WEEKNUM(CRC_War_Room_SIMs[[#This Row],[Ops Date]]), "N/A")</f>
        <v>30</v>
      </c>
      <c r="J59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9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9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91" s="50">
        <f>IF(AND(CRC_War_Room_SIMs[[#This Row],[CI]] = 0, CRC_War_Room_SIMs[[#This Row],[Miss]] = 1), 1, 0)</f>
        <v>0</v>
      </c>
      <c r="N59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91" s="49">
        <f>IF(AND(CRC_War_Room_SIMs[[#This Row],[Excluded]] = 0, OR(CRC_War_Room_SIMs[[#This Row],[False Resolution Miss]] &lt;&gt; "", ISNUMBER(SEARCH("False Resolution", CRC_War_Room_SIMs[[#This Row],[Labels]])))), 1, 0)</f>
        <v>0</v>
      </c>
      <c r="P591" s="50">
        <f>IF(AND(CRC_War_Room_SIMs[[#This Row],[Excluded]] = 0, OR(CRC_War_Room_SIMs[[#This Row],[SLA Miss]] &lt;&gt; "", ISNUMBER(SEARCH("SLA", CRC_War_Room_SIMs[[#This Row],[Labels]])))), 1, 0)</f>
        <v>0</v>
      </c>
    </row>
    <row r="592" spans="1:16" x14ac:dyDescent="0.25">
      <c r="A592" t="s">
        <v>3157</v>
      </c>
      <c r="B592" t="s">
        <v>3154</v>
      </c>
      <c r="C592" t="s">
        <v>3045</v>
      </c>
      <c r="H59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92" s="49">
        <f ca="1">IFERROR(WEEKNUM(CRC_War_Room_SIMs[[#This Row],[Ops Date]]), "N/A")</f>
        <v>30</v>
      </c>
      <c r="J59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9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9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92" s="50">
        <f>IF(AND(CRC_War_Room_SIMs[[#This Row],[CI]] = 0, CRC_War_Room_SIMs[[#This Row],[Miss]] = 1), 1, 0)</f>
        <v>0</v>
      </c>
      <c r="N59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92" s="49">
        <f>IF(AND(CRC_War_Room_SIMs[[#This Row],[Excluded]] = 0, OR(CRC_War_Room_SIMs[[#This Row],[False Resolution Miss]] &lt;&gt; "", ISNUMBER(SEARCH("False Resolution", CRC_War_Room_SIMs[[#This Row],[Labels]])))), 1, 0)</f>
        <v>0</v>
      </c>
      <c r="P592" s="50">
        <f>IF(AND(CRC_War_Room_SIMs[[#This Row],[Excluded]] = 0, OR(CRC_War_Room_SIMs[[#This Row],[SLA Miss]] &lt;&gt; "", ISNUMBER(SEARCH("SLA", CRC_War_Room_SIMs[[#This Row],[Labels]])))), 1, 0)</f>
        <v>0</v>
      </c>
    </row>
    <row r="593" spans="1:16" x14ac:dyDescent="0.25">
      <c r="A593" t="s">
        <v>3158</v>
      </c>
      <c r="B593" t="s">
        <v>3154</v>
      </c>
      <c r="C593" t="s">
        <v>3045</v>
      </c>
      <c r="H59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93" s="49">
        <f ca="1">IFERROR(WEEKNUM(CRC_War_Room_SIMs[[#This Row],[Ops Date]]), "N/A")</f>
        <v>30</v>
      </c>
      <c r="J59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9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9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93" s="50">
        <f>IF(AND(CRC_War_Room_SIMs[[#This Row],[CI]] = 0, CRC_War_Room_SIMs[[#This Row],[Miss]] = 1), 1, 0)</f>
        <v>0</v>
      </c>
      <c r="N59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93" s="49">
        <f>IF(AND(CRC_War_Room_SIMs[[#This Row],[Excluded]] = 0, OR(CRC_War_Room_SIMs[[#This Row],[False Resolution Miss]] &lt;&gt; "", ISNUMBER(SEARCH("False Resolution", CRC_War_Room_SIMs[[#This Row],[Labels]])))), 1, 0)</f>
        <v>0</v>
      </c>
      <c r="P593" s="50">
        <f>IF(AND(CRC_War_Room_SIMs[[#This Row],[Excluded]] = 0, OR(CRC_War_Room_SIMs[[#This Row],[SLA Miss]] &lt;&gt; "", ISNUMBER(SEARCH("SLA", CRC_War_Room_SIMs[[#This Row],[Labels]])))), 1, 0)</f>
        <v>0</v>
      </c>
    </row>
    <row r="594" spans="1:16" x14ac:dyDescent="0.25">
      <c r="A594" t="s">
        <v>3159</v>
      </c>
      <c r="B594" t="s">
        <v>3154</v>
      </c>
      <c r="C594" t="s">
        <v>3045</v>
      </c>
      <c r="H59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94" s="49">
        <f ca="1">IFERROR(WEEKNUM(CRC_War_Room_SIMs[[#This Row],[Ops Date]]), "N/A")</f>
        <v>30</v>
      </c>
      <c r="J59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9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9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94" s="50">
        <f>IF(AND(CRC_War_Room_SIMs[[#This Row],[CI]] = 0, CRC_War_Room_SIMs[[#This Row],[Miss]] = 1), 1, 0)</f>
        <v>0</v>
      </c>
      <c r="N59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94" s="49">
        <f>IF(AND(CRC_War_Room_SIMs[[#This Row],[Excluded]] = 0, OR(CRC_War_Room_SIMs[[#This Row],[False Resolution Miss]] &lt;&gt; "", ISNUMBER(SEARCH("False Resolution", CRC_War_Room_SIMs[[#This Row],[Labels]])))), 1, 0)</f>
        <v>0</v>
      </c>
      <c r="P594" s="50">
        <f>IF(AND(CRC_War_Room_SIMs[[#This Row],[Excluded]] = 0, OR(CRC_War_Room_SIMs[[#This Row],[SLA Miss]] &lt;&gt; "", ISNUMBER(SEARCH("SLA", CRC_War_Room_SIMs[[#This Row],[Labels]])))), 1, 0)</f>
        <v>0</v>
      </c>
    </row>
    <row r="595" spans="1:16" x14ac:dyDescent="0.25">
      <c r="A595" t="s">
        <v>3160</v>
      </c>
      <c r="B595" t="s">
        <v>3154</v>
      </c>
      <c r="C595" t="s">
        <v>3045</v>
      </c>
      <c r="H59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45496</v>
      </c>
      <c r="I595" s="49">
        <f ca="1">IFERROR(WEEKNUM(CRC_War_Room_SIMs[[#This Row],[Ops Date]]), "N/A")</f>
        <v>30</v>
      </c>
      <c r="J59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9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9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95" s="50">
        <f>IF(AND(CRC_War_Room_SIMs[[#This Row],[CI]] = 0, CRC_War_Room_SIMs[[#This Row],[Miss]] = 1), 1, 0)</f>
        <v>0</v>
      </c>
      <c r="N59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95" s="49">
        <f>IF(AND(CRC_War_Room_SIMs[[#This Row],[Excluded]] = 0, OR(CRC_War_Room_SIMs[[#This Row],[False Resolution Miss]] &lt;&gt; "", ISNUMBER(SEARCH("False Resolution", CRC_War_Room_SIMs[[#This Row],[Labels]])))), 1, 0)</f>
        <v>0</v>
      </c>
      <c r="P595" s="50">
        <f>IF(AND(CRC_War_Room_SIMs[[#This Row],[Excluded]] = 0, OR(CRC_War_Room_SIMs[[#This Row],[SLA Miss]] &lt;&gt; "", ISNUMBER(SEARCH("SLA", CRC_War_Room_SIMs[[#This Row],[Labels]])))), 1, 0)</f>
        <v>0</v>
      </c>
    </row>
    <row r="596" spans="1:16" x14ac:dyDescent="0.25">
      <c r="A596" t="s">
        <v>3161</v>
      </c>
      <c r="B596" t="s">
        <v>3039</v>
      </c>
      <c r="C596" t="s">
        <v>3034</v>
      </c>
      <c r="H59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596" s="49">
        <f ca="1">IFERROR(WEEKNUM(CRC_War_Room_SIMs[[#This Row],[Ops Date]]), "N/A")</f>
        <v>30</v>
      </c>
      <c r="J59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9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9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96" s="50">
        <f>IF(AND(CRC_War_Room_SIMs[[#This Row],[CI]] = 0, CRC_War_Room_SIMs[[#This Row],[Miss]] = 1), 1, 0)</f>
        <v>0</v>
      </c>
      <c r="N59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96" s="49">
        <f>IF(AND(CRC_War_Room_SIMs[[#This Row],[Excluded]] = 0, OR(CRC_War_Room_SIMs[[#This Row],[False Resolution Miss]] &lt;&gt; "", ISNUMBER(SEARCH("False Resolution", CRC_War_Room_SIMs[[#This Row],[Labels]])))), 1, 0)</f>
        <v>0</v>
      </c>
      <c r="P596" s="50">
        <f>IF(AND(CRC_War_Room_SIMs[[#This Row],[Excluded]] = 0, OR(CRC_War_Room_SIMs[[#This Row],[SLA Miss]] &lt;&gt; "", ISNUMBER(SEARCH("SLA", CRC_War_Room_SIMs[[#This Row],[Labels]])))), 1, 0)</f>
        <v>0</v>
      </c>
    </row>
    <row r="597" spans="1:16" x14ac:dyDescent="0.25">
      <c r="A597" t="s">
        <v>3162</v>
      </c>
      <c r="B597" t="s">
        <v>3039</v>
      </c>
      <c r="C597" t="s">
        <v>3163</v>
      </c>
      <c r="H59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597" s="49">
        <f ca="1">IFERROR(WEEKNUM(CRC_War_Room_SIMs[[#This Row],[Ops Date]]), "N/A")</f>
        <v>30</v>
      </c>
      <c r="J59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9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59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597" s="50">
        <f>IF(AND(CRC_War_Room_SIMs[[#This Row],[CI]] = 0, CRC_War_Room_SIMs[[#This Row],[Miss]] = 1), 1, 0)</f>
        <v>0</v>
      </c>
      <c r="N59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97" s="49">
        <f>IF(AND(CRC_War_Room_SIMs[[#This Row],[Excluded]] = 0, OR(CRC_War_Room_SIMs[[#This Row],[False Resolution Miss]] &lt;&gt; "", ISNUMBER(SEARCH("False Resolution", CRC_War_Room_SIMs[[#This Row],[Labels]])))), 1, 0)</f>
        <v>0</v>
      </c>
      <c r="P597" s="50">
        <f>IF(AND(CRC_War_Room_SIMs[[#This Row],[Excluded]] = 0, OR(CRC_War_Room_SIMs[[#This Row],[SLA Miss]] &lt;&gt; "", ISNUMBER(SEARCH("SLA", CRC_War_Room_SIMs[[#This Row],[Labels]])))), 1, 0)</f>
        <v>0</v>
      </c>
    </row>
    <row r="598" spans="1:16" x14ac:dyDescent="0.25">
      <c r="A598" t="s">
        <v>3164</v>
      </c>
      <c r="B598" t="s">
        <v>3039</v>
      </c>
      <c r="C598" t="s">
        <v>3034</v>
      </c>
      <c r="H59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598" s="49">
        <f ca="1">IFERROR(WEEKNUM(CRC_War_Room_SIMs[[#This Row],[Ops Date]]), "N/A")</f>
        <v>30</v>
      </c>
      <c r="J59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9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9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98" s="50">
        <f>IF(AND(CRC_War_Room_SIMs[[#This Row],[CI]] = 0, CRC_War_Room_SIMs[[#This Row],[Miss]] = 1), 1, 0)</f>
        <v>0</v>
      </c>
      <c r="N59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98" s="49">
        <f>IF(AND(CRC_War_Room_SIMs[[#This Row],[Excluded]] = 0, OR(CRC_War_Room_SIMs[[#This Row],[False Resolution Miss]] &lt;&gt; "", ISNUMBER(SEARCH("False Resolution", CRC_War_Room_SIMs[[#This Row],[Labels]])))), 1, 0)</f>
        <v>0</v>
      </c>
      <c r="P598" s="50">
        <f>IF(AND(CRC_War_Room_SIMs[[#This Row],[Excluded]] = 0, OR(CRC_War_Room_SIMs[[#This Row],[SLA Miss]] &lt;&gt; "", ISNUMBER(SEARCH("SLA", CRC_War_Room_SIMs[[#This Row],[Labels]])))), 1, 0)</f>
        <v>0</v>
      </c>
    </row>
    <row r="599" spans="1:16" x14ac:dyDescent="0.25">
      <c r="A599" t="s">
        <v>3165</v>
      </c>
      <c r="B599" t="s">
        <v>3039</v>
      </c>
      <c r="C599" t="s">
        <v>3034</v>
      </c>
      <c r="H59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599" s="49">
        <f ca="1">IFERROR(WEEKNUM(CRC_War_Room_SIMs[[#This Row],[Ops Date]]), "N/A")</f>
        <v>30</v>
      </c>
      <c r="J59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59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59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599" s="50">
        <f>IF(AND(CRC_War_Room_SIMs[[#This Row],[CI]] = 0, CRC_War_Room_SIMs[[#This Row],[Miss]] = 1), 1, 0)</f>
        <v>0</v>
      </c>
      <c r="N59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599" s="49">
        <f>IF(AND(CRC_War_Room_SIMs[[#This Row],[Excluded]] = 0, OR(CRC_War_Room_SIMs[[#This Row],[False Resolution Miss]] &lt;&gt; "", ISNUMBER(SEARCH("False Resolution", CRC_War_Room_SIMs[[#This Row],[Labels]])))), 1, 0)</f>
        <v>0</v>
      </c>
      <c r="P599" s="50">
        <f>IF(AND(CRC_War_Room_SIMs[[#This Row],[Excluded]] = 0, OR(CRC_War_Room_SIMs[[#This Row],[SLA Miss]] &lt;&gt; "", ISNUMBER(SEARCH("SLA", CRC_War_Room_SIMs[[#This Row],[Labels]])))), 1, 0)</f>
        <v>0</v>
      </c>
    </row>
    <row r="600" spans="1:16" x14ac:dyDescent="0.25">
      <c r="A600" t="s">
        <v>3166</v>
      </c>
      <c r="B600" t="s">
        <v>3039</v>
      </c>
      <c r="C600" t="s">
        <v>3034</v>
      </c>
      <c r="H60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00" s="49">
        <f ca="1">IFERROR(WEEKNUM(CRC_War_Room_SIMs[[#This Row],[Ops Date]]), "N/A")</f>
        <v>30</v>
      </c>
      <c r="J60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0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0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00" s="50">
        <f>IF(AND(CRC_War_Room_SIMs[[#This Row],[CI]] = 0, CRC_War_Room_SIMs[[#This Row],[Miss]] = 1), 1, 0)</f>
        <v>0</v>
      </c>
      <c r="N60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00" s="49">
        <f>IF(AND(CRC_War_Room_SIMs[[#This Row],[Excluded]] = 0, OR(CRC_War_Room_SIMs[[#This Row],[False Resolution Miss]] &lt;&gt; "", ISNUMBER(SEARCH("False Resolution", CRC_War_Room_SIMs[[#This Row],[Labels]])))), 1, 0)</f>
        <v>0</v>
      </c>
      <c r="P600" s="50">
        <f>IF(AND(CRC_War_Room_SIMs[[#This Row],[Excluded]] = 0, OR(CRC_War_Room_SIMs[[#This Row],[SLA Miss]] &lt;&gt; "", ISNUMBER(SEARCH("SLA", CRC_War_Room_SIMs[[#This Row],[Labels]])))), 1, 0)</f>
        <v>0</v>
      </c>
    </row>
    <row r="601" spans="1:16" x14ac:dyDescent="0.25">
      <c r="A601" t="s">
        <v>3167</v>
      </c>
      <c r="B601" t="s">
        <v>3039</v>
      </c>
      <c r="C601" t="s">
        <v>3034</v>
      </c>
      <c r="H60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01" s="49">
        <f ca="1">IFERROR(WEEKNUM(CRC_War_Room_SIMs[[#This Row],[Ops Date]]), "N/A")</f>
        <v>30</v>
      </c>
      <c r="J60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0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0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01" s="50">
        <f>IF(AND(CRC_War_Room_SIMs[[#This Row],[CI]] = 0, CRC_War_Room_SIMs[[#This Row],[Miss]] = 1), 1, 0)</f>
        <v>0</v>
      </c>
      <c r="N60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01" s="49">
        <f>IF(AND(CRC_War_Room_SIMs[[#This Row],[Excluded]] = 0, OR(CRC_War_Room_SIMs[[#This Row],[False Resolution Miss]] &lt;&gt; "", ISNUMBER(SEARCH("False Resolution", CRC_War_Room_SIMs[[#This Row],[Labels]])))), 1, 0)</f>
        <v>0</v>
      </c>
      <c r="P601" s="50">
        <f>IF(AND(CRC_War_Room_SIMs[[#This Row],[Excluded]] = 0, OR(CRC_War_Room_SIMs[[#This Row],[SLA Miss]] &lt;&gt; "", ISNUMBER(SEARCH("SLA", CRC_War_Room_SIMs[[#This Row],[Labels]])))), 1, 0)</f>
        <v>0</v>
      </c>
    </row>
    <row r="602" spans="1:16" x14ac:dyDescent="0.25">
      <c r="A602" t="s">
        <v>3168</v>
      </c>
      <c r="B602" t="s">
        <v>3039</v>
      </c>
      <c r="C602" t="s">
        <v>3034</v>
      </c>
      <c r="H60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02" s="49">
        <f ca="1">IFERROR(WEEKNUM(CRC_War_Room_SIMs[[#This Row],[Ops Date]]), "N/A")</f>
        <v>30</v>
      </c>
      <c r="J60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0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0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02" s="50">
        <f>IF(AND(CRC_War_Room_SIMs[[#This Row],[CI]] = 0, CRC_War_Room_SIMs[[#This Row],[Miss]] = 1), 1, 0)</f>
        <v>0</v>
      </c>
      <c r="N60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02" s="49">
        <f>IF(AND(CRC_War_Room_SIMs[[#This Row],[Excluded]] = 0, OR(CRC_War_Room_SIMs[[#This Row],[False Resolution Miss]] &lt;&gt; "", ISNUMBER(SEARCH("False Resolution", CRC_War_Room_SIMs[[#This Row],[Labels]])))), 1, 0)</f>
        <v>0</v>
      </c>
      <c r="P602" s="50">
        <f>IF(AND(CRC_War_Room_SIMs[[#This Row],[Excluded]] = 0, OR(CRC_War_Room_SIMs[[#This Row],[SLA Miss]] &lt;&gt; "", ISNUMBER(SEARCH("SLA", CRC_War_Room_SIMs[[#This Row],[Labels]])))), 1, 0)</f>
        <v>0</v>
      </c>
    </row>
    <row r="603" spans="1:16" x14ac:dyDescent="0.25">
      <c r="A603" t="s">
        <v>3169</v>
      </c>
      <c r="B603" t="s">
        <v>3039</v>
      </c>
      <c r="C603" t="s">
        <v>3034</v>
      </c>
      <c r="H60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03" s="49">
        <f ca="1">IFERROR(WEEKNUM(CRC_War_Room_SIMs[[#This Row],[Ops Date]]), "N/A")</f>
        <v>30</v>
      </c>
      <c r="J60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0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0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03" s="50">
        <f>IF(AND(CRC_War_Room_SIMs[[#This Row],[CI]] = 0, CRC_War_Room_SIMs[[#This Row],[Miss]] = 1), 1, 0)</f>
        <v>0</v>
      </c>
      <c r="N60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03" s="49">
        <f>IF(AND(CRC_War_Room_SIMs[[#This Row],[Excluded]] = 0, OR(CRC_War_Room_SIMs[[#This Row],[False Resolution Miss]] &lt;&gt; "", ISNUMBER(SEARCH("False Resolution", CRC_War_Room_SIMs[[#This Row],[Labels]])))), 1, 0)</f>
        <v>0</v>
      </c>
      <c r="P603" s="50">
        <f>IF(AND(CRC_War_Room_SIMs[[#This Row],[Excluded]] = 0, OR(CRC_War_Room_SIMs[[#This Row],[SLA Miss]] &lt;&gt; "", ISNUMBER(SEARCH("SLA", CRC_War_Room_SIMs[[#This Row],[Labels]])))), 1, 0)</f>
        <v>0</v>
      </c>
    </row>
    <row r="604" spans="1:16" x14ac:dyDescent="0.25">
      <c r="A604" t="s">
        <v>3170</v>
      </c>
      <c r="B604" t="s">
        <v>3039</v>
      </c>
      <c r="C604" t="s">
        <v>3034</v>
      </c>
      <c r="H60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04" s="49">
        <f ca="1">IFERROR(WEEKNUM(CRC_War_Room_SIMs[[#This Row],[Ops Date]]), "N/A")</f>
        <v>30</v>
      </c>
      <c r="J60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0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0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04" s="50">
        <f>IF(AND(CRC_War_Room_SIMs[[#This Row],[CI]] = 0, CRC_War_Room_SIMs[[#This Row],[Miss]] = 1), 1, 0)</f>
        <v>0</v>
      </c>
      <c r="N60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04" s="49">
        <f>IF(AND(CRC_War_Room_SIMs[[#This Row],[Excluded]] = 0, OR(CRC_War_Room_SIMs[[#This Row],[False Resolution Miss]] &lt;&gt; "", ISNUMBER(SEARCH("False Resolution", CRC_War_Room_SIMs[[#This Row],[Labels]])))), 1, 0)</f>
        <v>0</v>
      </c>
      <c r="P604" s="50">
        <f>IF(AND(CRC_War_Room_SIMs[[#This Row],[Excluded]] = 0, OR(CRC_War_Room_SIMs[[#This Row],[SLA Miss]] &lt;&gt; "", ISNUMBER(SEARCH("SLA", CRC_War_Room_SIMs[[#This Row],[Labels]])))), 1, 0)</f>
        <v>0</v>
      </c>
    </row>
    <row r="605" spans="1:16" x14ac:dyDescent="0.25">
      <c r="A605" t="s">
        <v>3171</v>
      </c>
      <c r="B605" t="s">
        <v>3039</v>
      </c>
      <c r="C605" t="s">
        <v>3163</v>
      </c>
      <c r="E605" t="s">
        <v>2473</v>
      </c>
      <c r="H60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05" s="49">
        <f ca="1">IFERROR(WEEKNUM(CRC_War_Room_SIMs[[#This Row],[Ops Date]]), "N/A")</f>
        <v>30</v>
      </c>
      <c r="J60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0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60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605" s="50">
        <f>IF(AND(CRC_War_Room_SIMs[[#This Row],[CI]] = 0, CRC_War_Room_SIMs[[#This Row],[Miss]] = 1), 1, 0)</f>
        <v>0</v>
      </c>
      <c r="N605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605" s="49">
        <f>IF(AND(CRC_War_Room_SIMs[[#This Row],[Excluded]] = 0, OR(CRC_War_Room_SIMs[[#This Row],[False Resolution Miss]] &lt;&gt; "", ISNUMBER(SEARCH("False Resolution", CRC_War_Room_SIMs[[#This Row],[Labels]])))), 1, 0)</f>
        <v>0</v>
      </c>
      <c r="P605" s="50">
        <f>IF(AND(CRC_War_Room_SIMs[[#This Row],[Excluded]] = 0, OR(CRC_War_Room_SIMs[[#This Row],[SLA Miss]] &lt;&gt; "", ISNUMBER(SEARCH("SLA", CRC_War_Room_SIMs[[#This Row],[Labels]])))), 1, 0)</f>
        <v>0</v>
      </c>
    </row>
    <row r="606" spans="1:16" x14ac:dyDescent="0.25">
      <c r="A606" t="s">
        <v>3172</v>
      </c>
      <c r="B606" t="s">
        <v>3039</v>
      </c>
      <c r="C606" t="s">
        <v>3034</v>
      </c>
      <c r="H60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06" s="49">
        <f ca="1">IFERROR(WEEKNUM(CRC_War_Room_SIMs[[#This Row],[Ops Date]]), "N/A")</f>
        <v>30</v>
      </c>
      <c r="J60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0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0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06" s="50">
        <f>IF(AND(CRC_War_Room_SIMs[[#This Row],[CI]] = 0, CRC_War_Room_SIMs[[#This Row],[Miss]] = 1), 1, 0)</f>
        <v>0</v>
      </c>
      <c r="N60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06" s="49">
        <f>IF(AND(CRC_War_Room_SIMs[[#This Row],[Excluded]] = 0, OR(CRC_War_Room_SIMs[[#This Row],[False Resolution Miss]] &lt;&gt; "", ISNUMBER(SEARCH("False Resolution", CRC_War_Room_SIMs[[#This Row],[Labels]])))), 1, 0)</f>
        <v>0</v>
      </c>
      <c r="P606" s="50">
        <f>IF(AND(CRC_War_Room_SIMs[[#This Row],[Excluded]] = 0, OR(CRC_War_Room_SIMs[[#This Row],[SLA Miss]] &lt;&gt; "", ISNUMBER(SEARCH("SLA", CRC_War_Room_SIMs[[#This Row],[Labels]])))), 1, 0)</f>
        <v>0</v>
      </c>
    </row>
    <row r="607" spans="1:16" x14ac:dyDescent="0.25">
      <c r="A607" t="s">
        <v>3173</v>
      </c>
      <c r="B607" t="s">
        <v>3174</v>
      </c>
      <c r="C607" t="s">
        <v>3034</v>
      </c>
      <c r="H60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07" s="49">
        <f ca="1">IFERROR(WEEKNUM(CRC_War_Room_SIMs[[#This Row],[Ops Date]]), "N/A")</f>
        <v>30</v>
      </c>
      <c r="J60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0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0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07" s="50">
        <f>IF(AND(CRC_War_Room_SIMs[[#This Row],[CI]] = 0, CRC_War_Room_SIMs[[#This Row],[Miss]] = 1), 1, 0)</f>
        <v>0</v>
      </c>
      <c r="N60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07" s="49">
        <f>IF(AND(CRC_War_Room_SIMs[[#This Row],[Excluded]] = 0, OR(CRC_War_Room_SIMs[[#This Row],[False Resolution Miss]] &lt;&gt; "", ISNUMBER(SEARCH("False Resolution", CRC_War_Room_SIMs[[#This Row],[Labels]])))), 1, 0)</f>
        <v>0</v>
      </c>
      <c r="P607" s="50">
        <f>IF(AND(CRC_War_Room_SIMs[[#This Row],[Excluded]] = 0, OR(CRC_War_Room_SIMs[[#This Row],[SLA Miss]] &lt;&gt; "", ISNUMBER(SEARCH("SLA", CRC_War_Room_SIMs[[#This Row],[Labels]])))), 1, 0)</f>
        <v>0</v>
      </c>
    </row>
    <row r="608" spans="1:16" x14ac:dyDescent="0.25">
      <c r="A608" t="s">
        <v>3175</v>
      </c>
      <c r="B608" t="s">
        <v>3039</v>
      </c>
      <c r="C608" t="s">
        <v>3034</v>
      </c>
      <c r="H60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08" s="49">
        <f ca="1">IFERROR(WEEKNUM(CRC_War_Room_SIMs[[#This Row],[Ops Date]]), "N/A")</f>
        <v>30</v>
      </c>
      <c r="J60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0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0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08" s="50">
        <f>IF(AND(CRC_War_Room_SIMs[[#This Row],[CI]] = 0, CRC_War_Room_SIMs[[#This Row],[Miss]] = 1), 1, 0)</f>
        <v>0</v>
      </c>
      <c r="N60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08" s="49">
        <f>IF(AND(CRC_War_Room_SIMs[[#This Row],[Excluded]] = 0, OR(CRC_War_Room_SIMs[[#This Row],[False Resolution Miss]] &lt;&gt; "", ISNUMBER(SEARCH("False Resolution", CRC_War_Room_SIMs[[#This Row],[Labels]])))), 1, 0)</f>
        <v>0</v>
      </c>
      <c r="P608" s="50">
        <f>IF(AND(CRC_War_Room_SIMs[[#This Row],[Excluded]] = 0, OR(CRC_War_Room_SIMs[[#This Row],[SLA Miss]] &lt;&gt; "", ISNUMBER(SEARCH("SLA", CRC_War_Room_SIMs[[#This Row],[Labels]])))), 1, 0)</f>
        <v>0</v>
      </c>
    </row>
    <row r="609" spans="1:16" x14ac:dyDescent="0.25">
      <c r="A609" t="s">
        <v>3176</v>
      </c>
      <c r="B609" t="s">
        <v>3039</v>
      </c>
      <c r="C609" t="s">
        <v>3034</v>
      </c>
      <c r="H60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09" s="49">
        <f ca="1">IFERROR(WEEKNUM(CRC_War_Room_SIMs[[#This Row],[Ops Date]]), "N/A")</f>
        <v>30</v>
      </c>
      <c r="J60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0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0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09" s="50">
        <f>IF(AND(CRC_War_Room_SIMs[[#This Row],[CI]] = 0, CRC_War_Room_SIMs[[#This Row],[Miss]] = 1), 1, 0)</f>
        <v>0</v>
      </c>
      <c r="N60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09" s="49">
        <f>IF(AND(CRC_War_Room_SIMs[[#This Row],[Excluded]] = 0, OR(CRC_War_Room_SIMs[[#This Row],[False Resolution Miss]] &lt;&gt; "", ISNUMBER(SEARCH("False Resolution", CRC_War_Room_SIMs[[#This Row],[Labels]])))), 1, 0)</f>
        <v>0</v>
      </c>
      <c r="P609" s="50">
        <f>IF(AND(CRC_War_Room_SIMs[[#This Row],[Excluded]] = 0, OR(CRC_War_Room_SIMs[[#This Row],[SLA Miss]] &lt;&gt; "", ISNUMBER(SEARCH("SLA", CRC_War_Room_SIMs[[#This Row],[Labels]])))), 1, 0)</f>
        <v>0</v>
      </c>
    </row>
    <row r="610" spans="1:16" x14ac:dyDescent="0.25">
      <c r="A610" t="s">
        <v>3177</v>
      </c>
      <c r="B610" t="s">
        <v>3178</v>
      </c>
      <c r="C610" t="s">
        <v>3034</v>
      </c>
      <c r="H61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10" s="49">
        <f ca="1">IFERROR(WEEKNUM(CRC_War_Room_SIMs[[#This Row],[Ops Date]]), "N/A")</f>
        <v>30</v>
      </c>
      <c r="J61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1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1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10" s="50">
        <f>IF(AND(CRC_War_Room_SIMs[[#This Row],[CI]] = 0, CRC_War_Room_SIMs[[#This Row],[Miss]] = 1), 1, 0)</f>
        <v>0</v>
      </c>
      <c r="N61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10" s="49">
        <f>IF(AND(CRC_War_Room_SIMs[[#This Row],[Excluded]] = 0, OR(CRC_War_Room_SIMs[[#This Row],[False Resolution Miss]] &lt;&gt; "", ISNUMBER(SEARCH("False Resolution", CRC_War_Room_SIMs[[#This Row],[Labels]])))), 1, 0)</f>
        <v>0</v>
      </c>
      <c r="P610" s="50">
        <f>IF(AND(CRC_War_Room_SIMs[[#This Row],[Excluded]] = 0, OR(CRC_War_Room_SIMs[[#This Row],[SLA Miss]] &lt;&gt; "", ISNUMBER(SEARCH("SLA", CRC_War_Room_SIMs[[#This Row],[Labels]])))), 1, 0)</f>
        <v>0</v>
      </c>
    </row>
    <row r="611" spans="1:16" x14ac:dyDescent="0.25">
      <c r="A611" t="s">
        <v>3179</v>
      </c>
      <c r="B611" t="s">
        <v>3174</v>
      </c>
      <c r="C611" t="s">
        <v>3034</v>
      </c>
      <c r="H61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11" s="49">
        <f ca="1">IFERROR(WEEKNUM(CRC_War_Room_SIMs[[#This Row],[Ops Date]]), "N/A")</f>
        <v>30</v>
      </c>
      <c r="J61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1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1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11" s="50">
        <f>IF(AND(CRC_War_Room_SIMs[[#This Row],[CI]] = 0, CRC_War_Room_SIMs[[#This Row],[Miss]] = 1), 1, 0)</f>
        <v>0</v>
      </c>
      <c r="N61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11" s="49">
        <f>IF(AND(CRC_War_Room_SIMs[[#This Row],[Excluded]] = 0, OR(CRC_War_Room_SIMs[[#This Row],[False Resolution Miss]] &lt;&gt; "", ISNUMBER(SEARCH("False Resolution", CRC_War_Room_SIMs[[#This Row],[Labels]])))), 1, 0)</f>
        <v>0</v>
      </c>
      <c r="P611" s="50">
        <f>IF(AND(CRC_War_Room_SIMs[[#This Row],[Excluded]] = 0, OR(CRC_War_Room_SIMs[[#This Row],[SLA Miss]] &lt;&gt; "", ISNUMBER(SEARCH("SLA", CRC_War_Room_SIMs[[#This Row],[Labels]])))), 1, 0)</f>
        <v>0</v>
      </c>
    </row>
    <row r="612" spans="1:16" x14ac:dyDescent="0.25">
      <c r="A612" t="s">
        <v>3180</v>
      </c>
      <c r="B612" t="s">
        <v>3174</v>
      </c>
      <c r="C612" t="s">
        <v>3034</v>
      </c>
      <c r="H61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12" s="49">
        <f ca="1">IFERROR(WEEKNUM(CRC_War_Room_SIMs[[#This Row],[Ops Date]]), "N/A")</f>
        <v>30</v>
      </c>
      <c r="J61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1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1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12" s="50">
        <f>IF(AND(CRC_War_Room_SIMs[[#This Row],[CI]] = 0, CRC_War_Room_SIMs[[#This Row],[Miss]] = 1), 1, 0)</f>
        <v>0</v>
      </c>
      <c r="N61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12" s="49">
        <f>IF(AND(CRC_War_Room_SIMs[[#This Row],[Excluded]] = 0, OR(CRC_War_Room_SIMs[[#This Row],[False Resolution Miss]] &lt;&gt; "", ISNUMBER(SEARCH("False Resolution", CRC_War_Room_SIMs[[#This Row],[Labels]])))), 1, 0)</f>
        <v>0</v>
      </c>
      <c r="P612" s="50">
        <f>IF(AND(CRC_War_Room_SIMs[[#This Row],[Excluded]] = 0, OR(CRC_War_Room_SIMs[[#This Row],[SLA Miss]] &lt;&gt; "", ISNUMBER(SEARCH("SLA", CRC_War_Room_SIMs[[#This Row],[Labels]])))), 1, 0)</f>
        <v>0</v>
      </c>
    </row>
    <row r="613" spans="1:16" x14ac:dyDescent="0.25">
      <c r="A613" t="s">
        <v>3181</v>
      </c>
      <c r="B613" t="s">
        <v>3178</v>
      </c>
      <c r="C613" t="s">
        <v>3034</v>
      </c>
      <c r="H61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13" s="49">
        <f ca="1">IFERROR(WEEKNUM(CRC_War_Room_SIMs[[#This Row],[Ops Date]]), "N/A")</f>
        <v>30</v>
      </c>
      <c r="J61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1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1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13" s="50">
        <f>IF(AND(CRC_War_Room_SIMs[[#This Row],[CI]] = 0, CRC_War_Room_SIMs[[#This Row],[Miss]] = 1), 1, 0)</f>
        <v>0</v>
      </c>
      <c r="N61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13" s="49">
        <f>IF(AND(CRC_War_Room_SIMs[[#This Row],[Excluded]] = 0, OR(CRC_War_Room_SIMs[[#This Row],[False Resolution Miss]] &lt;&gt; "", ISNUMBER(SEARCH("False Resolution", CRC_War_Room_SIMs[[#This Row],[Labels]])))), 1, 0)</f>
        <v>0</v>
      </c>
      <c r="P613" s="50">
        <f>IF(AND(CRC_War_Room_SIMs[[#This Row],[Excluded]] = 0, OR(CRC_War_Room_SIMs[[#This Row],[SLA Miss]] &lt;&gt; "", ISNUMBER(SEARCH("SLA", CRC_War_Room_SIMs[[#This Row],[Labels]])))), 1, 0)</f>
        <v>0</v>
      </c>
    </row>
    <row r="614" spans="1:16" x14ac:dyDescent="0.25">
      <c r="A614" t="s">
        <v>3182</v>
      </c>
      <c r="B614" t="s">
        <v>3178</v>
      </c>
      <c r="C614" t="s">
        <v>3034</v>
      </c>
      <c r="H61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14" s="49">
        <f ca="1">IFERROR(WEEKNUM(CRC_War_Room_SIMs[[#This Row],[Ops Date]]), "N/A")</f>
        <v>30</v>
      </c>
      <c r="J61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1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1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14" s="50">
        <f>IF(AND(CRC_War_Room_SIMs[[#This Row],[CI]] = 0, CRC_War_Room_SIMs[[#This Row],[Miss]] = 1), 1, 0)</f>
        <v>0</v>
      </c>
      <c r="N61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14" s="49">
        <f>IF(AND(CRC_War_Room_SIMs[[#This Row],[Excluded]] = 0, OR(CRC_War_Room_SIMs[[#This Row],[False Resolution Miss]] &lt;&gt; "", ISNUMBER(SEARCH("False Resolution", CRC_War_Room_SIMs[[#This Row],[Labels]])))), 1, 0)</f>
        <v>0</v>
      </c>
      <c r="P614" s="50">
        <f>IF(AND(CRC_War_Room_SIMs[[#This Row],[Excluded]] = 0, OR(CRC_War_Room_SIMs[[#This Row],[SLA Miss]] &lt;&gt; "", ISNUMBER(SEARCH("SLA", CRC_War_Room_SIMs[[#This Row],[Labels]])))), 1, 0)</f>
        <v>0</v>
      </c>
    </row>
    <row r="615" spans="1:16" x14ac:dyDescent="0.25">
      <c r="A615" t="s">
        <v>3183</v>
      </c>
      <c r="B615" t="s">
        <v>3178</v>
      </c>
      <c r="C615" t="s">
        <v>3034</v>
      </c>
      <c r="H61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15" s="49">
        <f ca="1">IFERROR(WEEKNUM(CRC_War_Room_SIMs[[#This Row],[Ops Date]]), "N/A")</f>
        <v>30</v>
      </c>
      <c r="J61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1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1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15" s="50">
        <f>IF(AND(CRC_War_Room_SIMs[[#This Row],[CI]] = 0, CRC_War_Room_SIMs[[#This Row],[Miss]] = 1), 1, 0)</f>
        <v>0</v>
      </c>
      <c r="N61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15" s="49">
        <f>IF(AND(CRC_War_Room_SIMs[[#This Row],[Excluded]] = 0, OR(CRC_War_Room_SIMs[[#This Row],[False Resolution Miss]] &lt;&gt; "", ISNUMBER(SEARCH("False Resolution", CRC_War_Room_SIMs[[#This Row],[Labels]])))), 1, 0)</f>
        <v>0</v>
      </c>
      <c r="P615" s="50">
        <f>IF(AND(CRC_War_Room_SIMs[[#This Row],[Excluded]] = 0, OR(CRC_War_Room_SIMs[[#This Row],[SLA Miss]] &lt;&gt; "", ISNUMBER(SEARCH("SLA", CRC_War_Room_SIMs[[#This Row],[Labels]])))), 1, 0)</f>
        <v>0</v>
      </c>
    </row>
    <row r="616" spans="1:16" x14ac:dyDescent="0.25">
      <c r="A616" t="s">
        <v>3184</v>
      </c>
      <c r="B616" t="s">
        <v>3178</v>
      </c>
      <c r="C616" t="s">
        <v>3034</v>
      </c>
      <c r="H61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16" s="49">
        <f ca="1">IFERROR(WEEKNUM(CRC_War_Room_SIMs[[#This Row],[Ops Date]]), "N/A")</f>
        <v>30</v>
      </c>
      <c r="J61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1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1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16" s="50">
        <f>IF(AND(CRC_War_Room_SIMs[[#This Row],[CI]] = 0, CRC_War_Room_SIMs[[#This Row],[Miss]] = 1), 1, 0)</f>
        <v>0</v>
      </c>
      <c r="N61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16" s="49">
        <f>IF(AND(CRC_War_Room_SIMs[[#This Row],[Excluded]] = 0, OR(CRC_War_Room_SIMs[[#This Row],[False Resolution Miss]] &lt;&gt; "", ISNUMBER(SEARCH("False Resolution", CRC_War_Room_SIMs[[#This Row],[Labels]])))), 1, 0)</f>
        <v>0</v>
      </c>
      <c r="P616" s="50">
        <f>IF(AND(CRC_War_Room_SIMs[[#This Row],[Excluded]] = 0, OR(CRC_War_Room_SIMs[[#This Row],[SLA Miss]] &lt;&gt; "", ISNUMBER(SEARCH("SLA", CRC_War_Room_SIMs[[#This Row],[Labels]])))), 1, 0)</f>
        <v>0</v>
      </c>
    </row>
    <row r="617" spans="1:16" x14ac:dyDescent="0.25">
      <c r="A617" t="s">
        <v>3185</v>
      </c>
      <c r="B617" t="s">
        <v>3178</v>
      </c>
      <c r="C617" t="s">
        <v>3034</v>
      </c>
      <c r="H61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17" s="49">
        <f ca="1">IFERROR(WEEKNUM(CRC_War_Room_SIMs[[#This Row],[Ops Date]]), "N/A")</f>
        <v>30</v>
      </c>
      <c r="J61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1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1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17" s="50">
        <f>IF(AND(CRC_War_Room_SIMs[[#This Row],[CI]] = 0, CRC_War_Room_SIMs[[#This Row],[Miss]] = 1), 1, 0)</f>
        <v>0</v>
      </c>
      <c r="N61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17" s="49">
        <f>IF(AND(CRC_War_Room_SIMs[[#This Row],[Excluded]] = 0, OR(CRC_War_Room_SIMs[[#This Row],[False Resolution Miss]] &lt;&gt; "", ISNUMBER(SEARCH("False Resolution", CRC_War_Room_SIMs[[#This Row],[Labels]])))), 1, 0)</f>
        <v>0</v>
      </c>
      <c r="P617" s="50">
        <f>IF(AND(CRC_War_Room_SIMs[[#This Row],[Excluded]] = 0, OR(CRC_War_Room_SIMs[[#This Row],[SLA Miss]] &lt;&gt; "", ISNUMBER(SEARCH("SLA", CRC_War_Room_SIMs[[#This Row],[Labels]])))), 1, 0)</f>
        <v>0</v>
      </c>
    </row>
    <row r="618" spans="1:16" x14ac:dyDescent="0.25">
      <c r="A618" t="s">
        <v>3186</v>
      </c>
      <c r="B618" t="s">
        <v>3178</v>
      </c>
      <c r="C618" t="s">
        <v>3034</v>
      </c>
      <c r="H61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18" s="49">
        <f ca="1">IFERROR(WEEKNUM(CRC_War_Room_SIMs[[#This Row],[Ops Date]]), "N/A")</f>
        <v>30</v>
      </c>
      <c r="J61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1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1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18" s="50">
        <f>IF(AND(CRC_War_Room_SIMs[[#This Row],[CI]] = 0, CRC_War_Room_SIMs[[#This Row],[Miss]] = 1), 1, 0)</f>
        <v>0</v>
      </c>
      <c r="N61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18" s="49">
        <f>IF(AND(CRC_War_Room_SIMs[[#This Row],[Excluded]] = 0, OR(CRC_War_Room_SIMs[[#This Row],[False Resolution Miss]] &lt;&gt; "", ISNUMBER(SEARCH("False Resolution", CRC_War_Room_SIMs[[#This Row],[Labels]])))), 1, 0)</f>
        <v>0</v>
      </c>
      <c r="P618" s="50">
        <f>IF(AND(CRC_War_Room_SIMs[[#This Row],[Excluded]] = 0, OR(CRC_War_Room_SIMs[[#This Row],[SLA Miss]] &lt;&gt; "", ISNUMBER(SEARCH("SLA", CRC_War_Room_SIMs[[#This Row],[Labels]])))), 1, 0)</f>
        <v>0</v>
      </c>
    </row>
    <row r="619" spans="1:16" x14ac:dyDescent="0.25">
      <c r="A619" t="s">
        <v>3187</v>
      </c>
      <c r="B619" t="s">
        <v>3178</v>
      </c>
      <c r="C619" t="s">
        <v>3034</v>
      </c>
      <c r="H61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19" s="49">
        <f ca="1">IFERROR(WEEKNUM(CRC_War_Room_SIMs[[#This Row],[Ops Date]]), "N/A")</f>
        <v>30</v>
      </c>
      <c r="J61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1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1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19" s="50">
        <f>IF(AND(CRC_War_Room_SIMs[[#This Row],[CI]] = 0, CRC_War_Room_SIMs[[#This Row],[Miss]] = 1), 1, 0)</f>
        <v>0</v>
      </c>
      <c r="N61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19" s="49">
        <f>IF(AND(CRC_War_Room_SIMs[[#This Row],[Excluded]] = 0, OR(CRC_War_Room_SIMs[[#This Row],[False Resolution Miss]] &lt;&gt; "", ISNUMBER(SEARCH("False Resolution", CRC_War_Room_SIMs[[#This Row],[Labels]])))), 1, 0)</f>
        <v>0</v>
      </c>
      <c r="P619" s="50">
        <f>IF(AND(CRC_War_Room_SIMs[[#This Row],[Excluded]] = 0, OR(CRC_War_Room_SIMs[[#This Row],[SLA Miss]] &lt;&gt; "", ISNUMBER(SEARCH("SLA", CRC_War_Room_SIMs[[#This Row],[Labels]])))), 1, 0)</f>
        <v>0</v>
      </c>
    </row>
    <row r="620" spans="1:16" x14ac:dyDescent="0.25">
      <c r="A620" t="s">
        <v>3188</v>
      </c>
      <c r="B620" t="s">
        <v>3178</v>
      </c>
      <c r="C620" t="s">
        <v>3034</v>
      </c>
      <c r="H62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20" s="49">
        <f ca="1">IFERROR(WEEKNUM(CRC_War_Room_SIMs[[#This Row],[Ops Date]]), "N/A")</f>
        <v>30</v>
      </c>
      <c r="J62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2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2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20" s="50">
        <f>IF(AND(CRC_War_Room_SIMs[[#This Row],[CI]] = 0, CRC_War_Room_SIMs[[#This Row],[Miss]] = 1), 1, 0)</f>
        <v>0</v>
      </c>
      <c r="N62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20" s="49">
        <f>IF(AND(CRC_War_Room_SIMs[[#This Row],[Excluded]] = 0, OR(CRC_War_Room_SIMs[[#This Row],[False Resolution Miss]] &lt;&gt; "", ISNUMBER(SEARCH("False Resolution", CRC_War_Room_SIMs[[#This Row],[Labels]])))), 1, 0)</f>
        <v>0</v>
      </c>
      <c r="P620" s="50">
        <f>IF(AND(CRC_War_Room_SIMs[[#This Row],[Excluded]] = 0, OR(CRC_War_Room_SIMs[[#This Row],[SLA Miss]] &lt;&gt; "", ISNUMBER(SEARCH("SLA", CRC_War_Room_SIMs[[#This Row],[Labels]])))), 1, 0)</f>
        <v>0</v>
      </c>
    </row>
    <row r="621" spans="1:16" x14ac:dyDescent="0.25">
      <c r="A621" t="s">
        <v>3189</v>
      </c>
      <c r="B621" t="s">
        <v>3178</v>
      </c>
      <c r="C621" t="s">
        <v>3034</v>
      </c>
      <c r="H62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21" s="49">
        <f ca="1">IFERROR(WEEKNUM(CRC_War_Room_SIMs[[#This Row],[Ops Date]]), "N/A")</f>
        <v>30</v>
      </c>
      <c r="J62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2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2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21" s="50">
        <f>IF(AND(CRC_War_Room_SIMs[[#This Row],[CI]] = 0, CRC_War_Room_SIMs[[#This Row],[Miss]] = 1), 1, 0)</f>
        <v>0</v>
      </c>
      <c r="N62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21" s="49">
        <f>IF(AND(CRC_War_Room_SIMs[[#This Row],[Excluded]] = 0, OR(CRC_War_Room_SIMs[[#This Row],[False Resolution Miss]] &lt;&gt; "", ISNUMBER(SEARCH("False Resolution", CRC_War_Room_SIMs[[#This Row],[Labels]])))), 1, 0)</f>
        <v>0</v>
      </c>
      <c r="P621" s="50">
        <f>IF(AND(CRC_War_Room_SIMs[[#This Row],[Excluded]] = 0, OR(CRC_War_Room_SIMs[[#This Row],[SLA Miss]] &lt;&gt; "", ISNUMBER(SEARCH("SLA", CRC_War_Room_SIMs[[#This Row],[Labels]])))), 1, 0)</f>
        <v>0</v>
      </c>
    </row>
    <row r="622" spans="1:16" x14ac:dyDescent="0.25">
      <c r="A622" t="s">
        <v>3190</v>
      </c>
      <c r="B622" t="s">
        <v>3178</v>
      </c>
      <c r="C622" t="s">
        <v>3034</v>
      </c>
      <c r="H62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22" s="49">
        <f ca="1">IFERROR(WEEKNUM(CRC_War_Room_SIMs[[#This Row],[Ops Date]]), "N/A")</f>
        <v>30</v>
      </c>
      <c r="J62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2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2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22" s="50">
        <f>IF(AND(CRC_War_Room_SIMs[[#This Row],[CI]] = 0, CRC_War_Room_SIMs[[#This Row],[Miss]] = 1), 1, 0)</f>
        <v>0</v>
      </c>
      <c r="N62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22" s="49">
        <f>IF(AND(CRC_War_Room_SIMs[[#This Row],[Excluded]] = 0, OR(CRC_War_Room_SIMs[[#This Row],[False Resolution Miss]] &lt;&gt; "", ISNUMBER(SEARCH("False Resolution", CRC_War_Room_SIMs[[#This Row],[Labels]])))), 1, 0)</f>
        <v>0</v>
      </c>
      <c r="P622" s="50">
        <f>IF(AND(CRC_War_Room_SIMs[[#This Row],[Excluded]] = 0, OR(CRC_War_Room_SIMs[[#This Row],[SLA Miss]] &lt;&gt; "", ISNUMBER(SEARCH("SLA", CRC_War_Room_SIMs[[#This Row],[Labels]])))), 1, 0)</f>
        <v>0</v>
      </c>
    </row>
    <row r="623" spans="1:16" x14ac:dyDescent="0.25">
      <c r="A623" t="s">
        <v>3191</v>
      </c>
      <c r="B623" t="s">
        <v>3178</v>
      </c>
      <c r="C623" t="s">
        <v>3034</v>
      </c>
      <c r="H62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23" s="49">
        <f ca="1">IFERROR(WEEKNUM(CRC_War_Room_SIMs[[#This Row],[Ops Date]]), "N/A")</f>
        <v>30</v>
      </c>
      <c r="J62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2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2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23" s="50">
        <f>IF(AND(CRC_War_Room_SIMs[[#This Row],[CI]] = 0, CRC_War_Room_SIMs[[#This Row],[Miss]] = 1), 1, 0)</f>
        <v>0</v>
      </c>
      <c r="N62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23" s="49">
        <f>IF(AND(CRC_War_Room_SIMs[[#This Row],[Excluded]] = 0, OR(CRC_War_Room_SIMs[[#This Row],[False Resolution Miss]] &lt;&gt; "", ISNUMBER(SEARCH("False Resolution", CRC_War_Room_SIMs[[#This Row],[Labels]])))), 1, 0)</f>
        <v>0</v>
      </c>
      <c r="P623" s="50">
        <f>IF(AND(CRC_War_Room_SIMs[[#This Row],[Excluded]] = 0, OR(CRC_War_Room_SIMs[[#This Row],[SLA Miss]] &lt;&gt; "", ISNUMBER(SEARCH("SLA", CRC_War_Room_SIMs[[#This Row],[Labels]])))), 1, 0)</f>
        <v>0</v>
      </c>
    </row>
    <row r="624" spans="1:16" x14ac:dyDescent="0.25">
      <c r="A624" t="s">
        <v>3192</v>
      </c>
      <c r="B624" t="s">
        <v>3178</v>
      </c>
      <c r="C624" t="s">
        <v>3034</v>
      </c>
      <c r="H62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24" s="49">
        <f ca="1">IFERROR(WEEKNUM(CRC_War_Room_SIMs[[#This Row],[Ops Date]]), "N/A")</f>
        <v>30</v>
      </c>
      <c r="J62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2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2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24" s="50">
        <f>IF(AND(CRC_War_Room_SIMs[[#This Row],[CI]] = 0, CRC_War_Room_SIMs[[#This Row],[Miss]] = 1), 1, 0)</f>
        <v>0</v>
      </c>
      <c r="N62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24" s="49">
        <f>IF(AND(CRC_War_Room_SIMs[[#This Row],[Excluded]] = 0, OR(CRC_War_Room_SIMs[[#This Row],[False Resolution Miss]] &lt;&gt; "", ISNUMBER(SEARCH("False Resolution", CRC_War_Room_SIMs[[#This Row],[Labels]])))), 1, 0)</f>
        <v>0</v>
      </c>
      <c r="P624" s="50">
        <f>IF(AND(CRC_War_Room_SIMs[[#This Row],[Excluded]] = 0, OR(CRC_War_Room_SIMs[[#This Row],[SLA Miss]] &lt;&gt; "", ISNUMBER(SEARCH("SLA", CRC_War_Room_SIMs[[#This Row],[Labels]])))), 1, 0)</f>
        <v>0</v>
      </c>
    </row>
    <row r="625" spans="1:16" x14ac:dyDescent="0.25">
      <c r="A625" t="s">
        <v>3193</v>
      </c>
      <c r="B625" t="s">
        <v>3178</v>
      </c>
      <c r="C625" t="s">
        <v>3034</v>
      </c>
      <c r="H62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25" s="49">
        <f ca="1">IFERROR(WEEKNUM(CRC_War_Room_SIMs[[#This Row],[Ops Date]]), "N/A")</f>
        <v>30</v>
      </c>
      <c r="J62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2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2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25" s="50">
        <f>IF(AND(CRC_War_Room_SIMs[[#This Row],[CI]] = 0, CRC_War_Room_SIMs[[#This Row],[Miss]] = 1), 1, 0)</f>
        <v>0</v>
      </c>
      <c r="N62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25" s="49">
        <f>IF(AND(CRC_War_Room_SIMs[[#This Row],[Excluded]] = 0, OR(CRC_War_Room_SIMs[[#This Row],[False Resolution Miss]] &lt;&gt; "", ISNUMBER(SEARCH("False Resolution", CRC_War_Room_SIMs[[#This Row],[Labels]])))), 1, 0)</f>
        <v>0</v>
      </c>
      <c r="P625" s="50">
        <f>IF(AND(CRC_War_Room_SIMs[[#This Row],[Excluded]] = 0, OR(CRC_War_Room_SIMs[[#This Row],[SLA Miss]] &lt;&gt; "", ISNUMBER(SEARCH("SLA", CRC_War_Room_SIMs[[#This Row],[Labels]])))), 1, 0)</f>
        <v>0</v>
      </c>
    </row>
    <row r="626" spans="1:16" x14ac:dyDescent="0.25">
      <c r="A626" t="s">
        <v>3194</v>
      </c>
      <c r="B626" t="s">
        <v>3178</v>
      </c>
      <c r="C626" t="s">
        <v>3034</v>
      </c>
      <c r="H62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26" s="49">
        <f ca="1">IFERROR(WEEKNUM(CRC_War_Room_SIMs[[#This Row],[Ops Date]]), "N/A")</f>
        <v>30</v>
      </c>
      <c r="J62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2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2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26" s="50">
        <f>IF(AND(CRC_War_Room_SIMs[[#This Row],[CI]] = 0, CRC_War_Room_SIMs[[#This Row],[Miss]] = 1), 1, 0)</f>
        <v>0</v>
      </c>
      <c r="N62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26" s="49">
        <f>IF(AND(CRC_War_Room_SIMs[[#This Row],[Excluded]] = 0, OR(CRC_War_Room_SIMs[[#This Row],[False Resolution Miss]] &lt;&gt; "", ISNUMBER(SEARCH("False Resolution", CRC_War_Room_SIMs[[#This Row],[Labels]])))), 1, 0)</f>
        <v>0</v>
      </c>
      <c r="P626" s="50">
        <f>IF(AND(CRC_War_Room_SIMs[[#This Row],[Excluded]] = 0, OR(CRC_War_Room_SIMs[[#This Row],[SLA Miss]] &lt;&gt; "", ISNUMBER(SEARCH("SLA", CRC_War_Room_SIMs[[#This Row],[Labels]])))), 1, 0)</f>
        <v>0</v>
      </c>
    </row>
    <row r="627" spans="1:16" x14ac:dyDescent="0.25">
      <c r="A627" t="s">
        <v>3195</v>
      </c>
      <c r="B627" t="s">
        <v>3178</v>
      </c>
      <c r="C627" t="s">
        <v>3034</v>
      </c>
      <c r="H62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27" s="49">
        <f ca="1">IFERROR(WEEKNUM(CRC_War_Room_SIMs[[#This Row],[Ops Date]]), "N/A")</f>
        <v>30</v>
      </c>
      <c r="J62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2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2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27" s="50">
        <f>IF(AND(CRC_War_Room_SIMs[[#This Row],[CI]] = 0, CRC_War_Room_SIMs[[#This Row],[Miss]] = 1), 1, 0)</f>
        <v>0</v>
      </c>
      <c r="N62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27" s="49">
        <f>IF(AND(CRC_War_Room_SIMs[[#This Row],[Excluded]] = 0, OR(CRC_War_Room_SIMs[[#This Row],[False Resolution Miss]] &lt;&gt; "", ISNUMBER(SEARCH("False Resolution", CRC_War_Room_SIMs[[#This Row],[Labels]])))), 1, 0)</f>
        <v>0</v>
      </c>
      <c r="P627" s="50">
        <f>IF(AND(CRC_War_Room_SIMs[[#This Row],[Excluded]] = 0, OR(CRC_War_Room_SIMs[[#This Row],[SLA Miss]] &lt;&gt; "", ISNUMBER(SEARCH("SLA", CRC_War_Room_SIMs[[#This Row],[Labels]])))), 1, 0)</f>
        <v>0</v>
      </c>
    </row>
    <row r="628" spans="1:16" x14ac:dyDescent="0.25">
      <c r="A628" t="s">
        <v>3196</v>
      </c>
      <c r="B628" t="s">
        <v>3178</v>
      </c>
      <c r="C628" t="s">
        <v>3034</v>
      </c>
      <c r="H62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28" s="49">
        <f ca="1">IFERROR(WEEKNUM(CRC_War_Room_SIMs[[#This Row],[Ops Date]]), "N/A")</f>
        <v>30</v>
      </c>
      <c r="J62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2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2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28" s="50">
        <f>IF(AND(CRC_War_Room_SIMs[[#This Row],[CI]] = 0, CRC_War_Room_SIMs[[#This Row],[Miss]] = 1), 1, 0)</f>
        <v>0</v>
      </c>
      <c r="N62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28" s="49">
        <f>IF(AND(CRC_War_Room_SIMs[[#This Row],[Excluded]] = 0, OR(CRC_War_Room_SIMs[[#This Row],[False Resolution Miss]] &lt;&gt; "", ISNUMBER(SEARCH("False Resolution", CRC_War_Room_SIMs[[#This Row],[Labels]])))), 1, 0)</f>
        <v>0</v>
      </c>
      <c r="P628" s="50">
        <f>IF(AND(CRC_War_Room_SIMs[[#This Row],[Excluded]] = 0, OR(CRC_War_Room_SIMs[[#This Row],[SLA Miss]] &lt;&gt; "", ISNUMBER(SEARCH("SLA", CRC_War_Room_SIMs[[#This Row],[Labels]])))), 1, 0)</f>
        <v>0</v>
      </c>
    </row>
    <row r="629" spans="1:16" x14ac:dyDescent="0.25">
      <c r="A629" t="s">
        <v>3197</v>
      </c>
      <c r="B629" t="s">
        <v>3178</v>
      </c>
      <c r="C629" t="s">
        <v>3034</v>
      </c>
      <c r="H62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29" s="49">
        <f ca="1">IFERROR(WEEKNUM(CRC_War_Room_SIMs[[#This Row],[Ops Date]]), "N/A")</f>
        <v>30</v>
      </c>
      <c r="J62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2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2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29" s="50">
        <f>IF(AND(CRC_War_Room_SIMs[[#This Row],[CI]] = 0, CRC_War_Room_SIMs[[#This Row],[Miss]] = 1), 1, 0)</f>
        <v>0</v>
      </c>
      <c r="N62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29" s="49">
        <f>IF(AND(CRC_War_Room_SIMs[[#This Row],[Excluded]] = 0, OR(CRC_War_Room_SIMs[[#This Row],[False Resolution Miss]] &lt;&gt; "", ISNUMBER(SEARCH("False Resolution", CRC_War_Room_SIMs[[#This Row],[Labels]])))), 1, 0)</f>
        <v>0</v>
      </c>
      <c r="P629" s="50">
        <f>IF(AND(CRC_War_Room_SIMs[[#This Row],[Excluded]] = 0, OR(CRC_War_Room_SIMs[[#This Row],[SLA Miss]] &lt;&gt; "", ISNUMBER(SEARCH("SLA", CRC_War_Room_SIMs[[#This Row],[Labels]])))), 1, 0)</f>
        <v>0</v>
      </c>
    </row>
    <row r="630" spans="1:16" x14ac:dyDescent="0.25">
      <c r="A630" t="s">
        <v>3198</v>
      </c>
      <c r="B630" t="s">
        <v>3178</v>
      </c>
      <c r="C630" t="s">
        <v>3034</v>
      </c>
      <c r="H63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30" s="49">
        <f ca="1">IFERROR(WEEKNUM(CRC_War_Room_SIMs[[#This Row],[Ops Date]]), "N/A")</f>
        <v>30</v>
      </c>
      <c r="J63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3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3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30" s="50">
        <f>IF(AND(CRC_War_Room_SIMs[[#This Row],[CI]] = 0, CRC_War_Room_SIMs[[#This Row],[Miss]] = 1), 1, 0)</f>
        <v>0</v>
      </c>
      <c r="N63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30" s="49">
        <f>IF(AND(CRC_War_Room_SIMs[[#This Row],[Excluded]] = 0, OR(CRC_War_Room_SIMs[[#This Row],[False Resolution Miss]] &lt;&gt; "", ISNUMBER(SEARCH("False Resolution", CRC_War_Room_SIMs[[#This Row],[Labels]])))), 1, 0)</f>
        <v>0</v>
      </c>
      <c r="P630" s="50">
        <f>IF(AND(CRC_War_Room_SIMs[[#This Row],[Excluded]] = 0, OR(CRC_War_Room_SIMs[[#This Row],[SLA Miss]] &lt;&gt; "", ISNUMBER(SEARCH("SLA", CRC_War_Room_SIMs[[#This Row],[Labels]])))), 1, 0)</f>
        <v>0</v>
      </c>
    </row>
    <row r="631" spans="1:16" x14ac:dyDescent="0.25">
      <c r="A631" t="s">
        <v>3199</v>
      </c>
      <c r="B631" t="s">
        <v>3178</v>
      </c>
      <c r="C631" t="s">
        <v>3034</v>
      </c>
      <c r="H63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31" s="49">
        <f ca="1">IFERROR(WEEKNUM(CRC_War_Room_SIMs[[#This Row],[Ops Date]]), "N/A")</f>
        <v>30</v>
      </c>
      <c r="J63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3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3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31" s="50">
        <f>IF(AND(CRC_War_Room_SIMs[[#This Row],[CI]] = 0, CRC_War_Room_SIMs[[#This Row],[Miss]] = 1), 1, 0)</f>
        <v>0</v>
      </c>
      <c r="N63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31" s="49">
        <f>IF(AND(CRC_War_Room_SIMs[[#This Row],[Excluded]] = 0, OR(CRC_War_Room_SIMs[[#This Row],[False Resolution Miss]] &lt;&gt; "", ISNUMBER(SEARCH("False Resolution", CRC_War_Room_SIMs[[#This Row],[Labels]])))), 1, 0)</f>
        <v>0</v>
      </c>
      <c r="P631" s="50">
        <f>IF(AND(CRC_War_Room_SIMs[[#This Row],[Excluded]] = 0, OR(CRC_War_Room_SIMs[[#This Row],[SLA Miss]] &lt;&gt; "", ISNUMBER(SEARCH("SLA", CRC_War_Room_SIMs[[#This Row],[Labels]])))), 1, 0)</f>
        <v>0</v>
      </c>
    </row>
    <row r="632" spans="1:16" x14ac:dyDescent="0.25">
      <c r="A632" t="s">
        <v>3200</v>
      </c>
      <c r="B632" t="s">
        <v>3178</v>
      </c>
      <c r="C632" t="s">
        <v>3034</v>
      </c>
      <c r="H63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32" s="49">
        <f ca="1">IFERROR(WEEKNUM(CRC_War_Room_SIMs[[#This Row],[Ops Date]]), "N/A")</f>
        <v>30</v>
      </c>
      <c r="J63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3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3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32" s="50">
        <f>IF(AND(CRC_War_Room_SIMs[[#This Row],[CI]] = 0, CRC_War_Room_SIMs[[#This Row],[Miss]] = 1), 1, 0)</f>
        <v>0</v>
      </c>
      <c r="N63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32" s="49">
        <f>IF(AND(CRC_War_Room_SIMs[[#This Row],[Excluded]] = 0, OR(CRC_War_Room_SIMs[[#This Row],[False Resolution Miss]] &lt;&gt; "", ISNUMBER(SEARCH("False Resolution", CRC_War_Room_SIMs[[#This Row],[Labels]])))), 1, 0)</f>
        <v>0</v>
      </c>
      <c r="P632" s="50">
        <f>IF(AND(CRC_War_Room_SIMs[[#This Row],[Excluded]] = 0, OR(CRC_War_Room_SIMs[[#This Row],[SLA Miss]] &lt;&gt; "", ISNUMBER(SEARCH("SLA", CRC_War_Room_SIMs[[#This Row],[Labels]])))), 1, 0)</f>
        <v>0</v>
      </c>
    </row>
    <row r="633" spans="1:16" x14ac:dyDescent="0.25">
      <c r="A633" t="s">
        <v>3201</v>
      </c>
      <c r="B633" t="s">
        <v>3178</v>
      </c>
      <c r="C633" t="s">
        <v>3163</v>
      </c>
      <c r="E633" t="s">
        <v>2463</v>
      </c>
      <c r="H63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33" s="49">
        <f ca="1">IFERROR(WEEKNUM(CRC_War_Room_SIMs[[#This Row],[Ops Date]]), "N/A")</f>
        <v>30</v>
      </c>
      <c r="J63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3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63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633" s="50">
        <f>IF(AND(CRC_War_Room_SIMs[[#This Row],[CI]] = 0, CRC_War_Room_SIMs[[#This Row],[Miss]] = 1), 1, 0)</f>
        <v>0</v>
      </c>
      <c r="N633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633" s="49">
        <f>IF(AND(CRC_War_Room_SIMs[[#This Row],[Excluded]] = 0, OR(CRC_War_Room_SIMs[[#This Row],[False Resolution Miss]] &lt;&gt; "", ISNUMBER(SEARCH("False Resolution", CRC_War_Room_SIMs[[#This Row],[Labels]])))), 1, 0)</f>
        <v>0</v>
      </c>
      <c r="P633" s="50">
        <f>IF(AND(CRC_War_Room_SIMs[[#This Row],[Excluded]] = 0, OR(CRC_War_Room_SIMs[[#This Row],[SLA Miss]] &lt;&gt; "", ISNUMBER(SEARCH("SLA", CRC_War_Room_SIMs[[#This Row],[Labels]])))), 1, 0)</f>
        <v>0</v>
      </c>
    </row>
    <row r="634" spans="1:16" x14ac:dyDescent="0.25">
      <c r="A634" t="s">
        <v>3202</v>
      </c>
      <c r="B634" t="s">
        <v>3178</v>
      </c>
      <c r="C634" t="s">
        <v>3034</v>
      </c>
      <c r="H63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34" s="49">
        <f ca="1">IFERROR(WEEKNUM(CRC_War_Room_SIMs[[#This Row],[Ops Date]]), "N/A")</f>
        <v>30</v>
      </c>
      <c r="J63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3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3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34" s="50">
        <f>IF(AND(CRC_War_Room_SIMs[[#This Row],[CI]] = 0, CRC_War_Room_SIMs[[#This Row],[Miss]] = 1), 1, 0)</f>
        <v>0</v>
      </c>
      <c r="N63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34" s="49">
        <f>IF(AND(CRC_War_Room_SIMs[[#This Row],[Excluded]] = 0, OR(CRC_War_Room_SIMs[[#This Row],[False Resolution Miss]] &lt;&gt; "", ISNUMBER(SEARCH("False Resolution", CRC_War_Room_SIMs[[#This Row],[Labels]])))), 1, 0)</f>
        <v>0</v>
      </c>
      <c r="P634" s="50">
        <f>IF(AND(CRC_War_Room_SIMs[[#This Row],[Excluded]] = 0, OR(CRC_War_Room_SIMs[[#This Row],[SLA Miss]] &lt;&gt; "", ISNUMBER(SEARCH("SLA", CRC_War_Room_SIMs[[#This Row],[Labels]])))), 1, 0)</f>
        <v>0</v>
      </c>
    </row>
    <row r="635" spans="1:16" x14ac:dyDescent="0.25">
      <c r="A635" t="s">
        <v>3203</v>
      </c>
      <c r="B635" t="s">
        <v>3178</v>
      </c>
      <c r="C635" t="s">
        <v>3034</v>
      </c>
      <c r="H63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35" s="49">
        <f ca="1">IFERROR(WEEKNUM(CRC_War_Room_SIMs[[#This Row],[Ops Date]]), "N/A")</f>
        <v>30</v>
      </c>
      <c r="J63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3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3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35" s="50">
        <f>IF(AND(CRC_War_Room_SIMs[[#This Row],[CI]] = 0, CRC_War_Room_SIMs[[#This Row],[Miss]] = 1), 1, 0)</f>
        <v>0</v>
      </c>
      <c r="N63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35" s="49">
        <f>IF(AND(CRC_War_Room_SIMs[[#This Row],[Excluded]] = 0, OR(CRC_War_Room_SIMs[[#This Row],[False Resolution Miss]] &lt;&gt; "", ISNUMBER(SEARCH("False Resolution", CRC_War_Room_SIMs[[#This Row],[Labels]])))), 1, 0)</f>
        <v>0</v>
      </c>
      <c r="P635" s="50">
        <f>IF(AND(CRC_War_Room_SIMs[[#This Row],[Excluded]] = 0, OR(CRC_War_Room_SIMs[[#This Row],[SLA Miss]] &lt;&gt; "", ISNUMBER(SEARCH("SLA", CRC_War_Room_SIMs[[#This Row],[Labels]])))), 1, 0)</f>
        <v>0</v>
      </c>
    </row>
    <row r="636" spans="1:16" x14ac:dyDescent="0.25">
      <c r="A636" t="s">
        <v>3204</v>
      </c>
      <c r="B636" t="s">
        <v>3205</v>
      </c>
      <c r="C636" t="s">
        <v>3034</v>
      </c>
      <c r="H63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36" s="49">
        <f ca="1">IFERROR(WEEKNUM(CRC_War_Room_SIMs[[#This Row],[Ops Date]]), "N/A")</f>
        <v>30</v>
      </c>
      <c r="J63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3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3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36" s="50">
        <f>IF(AND(CRC_War_Room_SIMs[[#This Row],[CI]] = 0, CRC_War_Room_SIMs[[#This Row],[Miss]] = 1), 1, 0)</f>
        <v>0</v>
      </c>
      <c r="N63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36" s="49">
        <f>IF(AND(CRC_War_Room_SIMs[[#This Row],[Excluded]] = 0, OR(CRC_War_Room_SIMs[[#This Row],[False Resolution Miss]] &lt;&gt; "", ISNUMBER(SEARCH("False Resolution", CRC_War_Room_SIMs[[#This Row],[Labels]])))), 1, 0)</f>
        <v>0</v>
      </c>
      <c r="P636" s="50">
        <f>IF(AND(CRC_War_Room_SIMs[[#This Row],[Excluded]] = 0, OR(CRC_War_Room_SIMs[[#This Row],[SLA Miss]] &lt;&gt; "", ISNUMBER(SEARCH("SLA", CRC_War_Room_SIMs[[#This Row],[Labels]])))), 1, 0)</f>
        <v>0</v>
      </c>
    </row>
    <row r="637" spans="1:16" x14ac:dyDescent="0.25">
      <c r="A637" t="s">
        <v>3206</v>
      </c>
      <c r="B637" t="s">
        <v>3205</v>
      </c>
      <c r="C637" t="s">
        <v>3034</v>
      </c>
      <c r="H63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37" s="49">
        <f ca="1">IFERROR(WEEKNUM(CRC_War_Room_SIMs[[#This Row],[Ops Date]]), "N/A")</f>
        <v>30</v>
      </c>
      <c r="J63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3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3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37" s="50">
        <f>IF(AND(CRC_War_Room_SIMs[[#This Row],[CI]] = 0, CRC_War_Room_SIMs[[#This Row],[Miss]] = 1), 1, 0)</f>
        <v>0</v>
      </c>
      <c r="N63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37" s="49">
        <f>IF(AND(CRC_War_Room_SIMs[[#This Row],[Excluded]] = 0, OR(CRC_War_Room_SIMs[[#This Row],[False Resolution Miss]] &lt;&gt; "", ISNUMBER(SEARCH("False Resolution", CRC_War_Room_SIMs[[#This Row],[Labels]])))), 1, 0)</f>
        <v>0</v>
      </c>
      <c r="P637" s="50">
        <f>IF(AND(CRC_War_Room_SIMs[[#This Row],[Excluded]] = 0, OR(CRC_War_Room_SIMs[[#This Row],[SLA Miss]] &lt;&gt; "", ISNUMBER(SEARCH("SLA", CRC_War_Room_SIMs[[#This Row],[Labels]])))), 1, 0)</f>
        <v>0</v>
      </c>
    </row>
    <row r="638" spans="1:16" x14ac:dyDescent="0.25">
      <c r="A638" t="s">
        <v>3207</v>
      </c>
      <c r="B638" t="s">
        <v>3205</v>
      </c>
      <c r="C638" t="s">
        <v>3034</v>
      </c>
      <c r="H63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38" s="49">
        <f ca="1">IFERROR(WEEKNUM(CRC_War_Room_SIMs[[#This Row],[Ops Date]]), "N/A")</f>
        <v>30</v>
      </c>
      <c r="J63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3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3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38" s="50">
        <f>IF(AND(CRC_War_Room_SIMs[[#This Row],[CI]] = 0, CRC_War_Room_SIMs[[#This Row],[Miss]] = 1), 1, 0)</f>
        <v>0</v>
      </c>
      <c r="N63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38" s="49">
        <f>IF(AND(CRC_War_Room_SIMs[[#This Row],[Excluded]] = 0, OR(CRC_War_Room_SIMs[[#This Row],[False Resolution Miss]] &lt;&gt; "", ISNUMBER(SEARCH("False Resolution", CRC_War_Room_SIMs[[#This Row],[Labels]])))), 1, 0)</f>
        <v>0</v>
      </c>
      <c r="P638" s="50">
        <f>IF(AND(CRC_War_Room_SIMs[[#This Row],[Excluded]] = 0, OR(CRC_War_Room_SIMs[[#This Row],[SLA Miss]] &lt;&gt; "", ISNUMBER(SEARCH("SLA", CRC_War_Room_SIMs[[#This Row],[Labels]])))), 1, 0)</f>
        <v>0</v>
      </c>
    </row>
    <row r="639" spans="1:16" x14ac:dyDescent="0.25">
      <c r="A639" t="s">
        <v>3208</v>
      </c>
      <c r="B639" t="s">
        <v>3205</v>
      </c>
      <c r="C639" t="s">
        <v>3034</v>
      </c>
      <c r="H63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39" s="49">
        <f ca="1">IFERROR(WEEKNUM(CRC_War_Room_SIMs[[#This Row],[Ops Date]]), "N/A")</f>
        <v>30</v>
      </c>
      <c r="J63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3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3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39" s="50">
        <f>IF(AND(CRC_War_Room_SIMs[[#This Row],[CI]] = 0, CRC_War_Room_SIMs[[#This Row],[Miss]] = 1), 1, 0)</f>
        <v>0</v>
      </c>
      <c r="N63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39" s="49">
        <f>IF(AND(CRC_War_Room_SIMs[[#This Row],[Excluded]] = 0, OR(CRC_War_Room_SIMs[[#This Row],[False Resolution Miss]] &lt;&gt; "", ISNUMBER(SEARCH("False Resolution", CRC_War_Room_SIMs[[#This Row],[Labels]])))), 1, 0)</f>
        <v>0</v>
      </c>
      <c r="P639" s="50">
        <f>IF(AND(CRC_War_Room_SIMs[[#This Row],[Excluded]] = 0, OR(CRC_War_Room_SIMs[[#This Row],[SLA Miss]] &lt;&gt; "", ISNUMBER(SEARCH("SLA", CRC_War_Room_SIMs[[#This Row],[Labels]])))), 1, 0)</f>
        <v>0</v>
      </c>
    </row>
    <row r="640" spans="1:16" x14ac:dyDescent="0.25">
      <c r="A640" t="s">
        <v>3209</v>
      </c>
      <c r="B640" t="s">
        <v>3037</v>
      </c>
      <c r="C640" t="s">
        <v>3034</v>
      </c>
      <c r="H64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40" s="49">
        <f ca="1">IFERROR(WEEKNUM(CRC_War_Room_SIMs[[#This Row],[Ops Date]]), "N/A")</f>
        <v>30</v>
      </c>
      <c r="J64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4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4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40" s="50">
        <f>IF(AND(CRC_War_Room_SIMs[[#This Row],[CI]] = 0, CRC_War_Room_SIMs[[#This Row],[Miss]] = 1), 1, 0)</f>
        <v>0</v>
      </c>
      <c r="N64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40" s="49">
        <f>IF(AND(CRC_War_Room_SIMs[[#This Row],[Excluded]] = 0, OR(CRC_War_Room_SIMs[[#This Row],[False Resolution Miss]] &lt;&gt; "", ISNUMBER(SEARCH("False Resolution", CRC_War_Room_SIMs[[#This Row],[Labels]])))), 1, 0)</f>
        <v>0</v>
      </c>
      <c r="P640" s="50">
        <f>IF(AND(CRC_War_Room_SIMs[[#This Row],[Excluded]] = 0, OR(CRC_War_Room_SIMs[[#This Row],[SLA Miss]] &lt;&gt; "", ISNUMBER(SEARCH("SLA", CRC_War_Room_SIMs[[#This Row],[Labels]])))), 1, 0)</f>
        <v>0</v>
      </c>
    </row>
    <row r="641" spans="1:16" x14ac:dyDescent="0.25">
      <c r="A641" t="s">
        <v>3210</v>
      </c>
      <c r="B641" t="s">
        <v>3037</v>
      </c>
      <c r="C641" t="s">
        <v>3034</v>
      </c>
      <c r="H64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41" s="49">
        <f ca="1">IFERROR(WEEKNUM(CRC_War_Room_SIMs[[#This Row],[Ops Date]]), "N/A")</f>
        <v>30</v>
      </c>
      <c r="J64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4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4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41" s="50">
        <f>IF(AND(CRC_War_Room_SIMs[[#This Row],[CI]] = 0, CRC_War_Room_SIMs[[#This Row],[Miss]] = 1), 1, 0)</f>
        <v>0</v>
      </c>
      <c r="N64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41" s="49">
        <f>IF(AND(CRC_War_Room_SIMs[[#This Row],[Excluded]] = 0, OR(CRC_War_Room_SIMs[[#This Row],[False Resolution Miss]] &lt;&gt; "", ISNUMBER(SEARCH("False Resolution", CRC_War_Room_SIMs[[#This Row],[Labels]])))), 1, 0)</f>
        <v>0</v>
      </c>
      <c r="P641" s="50">
        <f>IF(AND(CRC_War_Room_SIMs[[#This Row],[Excluded]] = 0, OR(CRC_War_Room_SIMs[[#This Row],[SLA Miss]] &lt;&gt; "", ISNUMBER(SEARCH("SLA", CRC_War_Room_SIMs[[#This Row],[Labels]])))), 1, 0)</f>
        <v>0</v>
      </c>
    </row>
    <row r="642" spans="1:16" x14ac:dyDescent="0.25">
      <c r="A642" t="s">
        <v>3211</v>
      </c>
      <c r="B642" t="s">
        <v>3037</v>
      </c>
      <c r="C642" t="s">
        <v>3034</v>
      </c>
      <c r="H64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42" s="49">
        <f ca="1">IFERROR(WEEKNUM(CRC_War_Room_SIMs[[#This Row],[Ops Date]]), "N/A")</f>
        <v>30</v>
      </c>
      <c r="J64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4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4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42" s="50">
        <f>IF(AND(CRC_War_Room_SIMs[[#This Row],[CI]] = 0, CRC_War_Room_SIMs[[#This Row],[Miss]] = 1), 1, 0)</f>
        <v>0</v>
      </c>
      <c r="N64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42" s="49">
        <f>IF(AND(CRC_War_Room_SIMs[[#This Row],[Excluded]] = 0, OR(CRC_War_Room_SIMs[[#This Row],[False Resolution Miss]] &lt;&gt; "", ISNUMBER(SEARCH("False Resolution", CRC_War_Room_SIMs[[#This Row],[Labels]])))), 1, 0)</f>
        <v>0</v>
      </c>
      <c r="P642" s="50">
        <f>IF(AND(CRC_War_Room_SIMs[[#This Row],[Excluded]] = 0, OR(CRC_War_Room_SIMs[[#This Row],[SLA Miss]] &lt;&gt; "", ISNUMBER(SEARCH("SLA", CRC_War_Room_SIMs[[#This Row],[Labels]])))), 1, 0)</f>
        <v>0</v>
      </c>
    </row>
    <row r="643" spans="1:16" x14ac:dyDescent="0.25">
      <c r="A643" t="s">
        <v>3212</v>
      </c>
      <c r="B643" t="s">
        <v>3037</v>
      </c>
      <c r="C643" t="s">
        <v>3034</v>
      </c>
      <c r="H64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43" s="49">
        <f ca="1">IFERROR(WEEKNUM(CRC_War_Room_SIMs[[#This Row],[Ops Date]]), "N/A")</f>
        <v>30</v>
      </c>
      <c r="J64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4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4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43" s="50">
        <f>IF(AND(CRC_War_Room_SIMs[[#This Row],[CI]] = 0, CRC_War_Room_SIMs[[#This Row],[Miss]] = 1), 1, 0)</f>
        <v>0</v>
      </c>
      <c r="N64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43" s="49">
        <f>IF(AND(CRC_War_Room_SIMs[[#This Row],[Excluded]] = 0, OR(CRC_War_Room_SIMs[[#This Row],[False Resolution Miss]] &lt;&gt; "", ISNUMBER(SEARCH("False Resolution", CRC_War_Room_SIMs[[#This Row],[Labels]])))), 1, 0)</f>
        <v>0</v>
      </c>
      <c r="P643" s="50">
        <f>IF(AND(CRC_War_Room_SIMs[[#This Row],[Excluded]] = 0, OR(CRC_War_Room_SIMs[[#This Row],[SLA Miss]] &lt;&gt; "", ISNUMBER(SEARCH("SLA", CRC_War_Room_SIMs[[#This Row],[Labels]])))), 1, 0)</f>
        <v>0</v>
      </c>
    </row>
    <row r="644" spans="1:16" x14ac:dyDescent="0.25">
      <c r="A644" t="s">
        <v>3213</v>
      </c>
      <c r="B644" t="s">
        <v>3037</v>
      </c>
      <c r="C644" t="s">
        <v>3034</v>
      </c>
      <c r="H64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44" s="49">
        <f ca="1">IFERROR(WEEKNUM(CRC_War_Room_SIMs[[#This Row],[Ops Date]]), "N/A")</f>
        <v>30</v>
      </c>
      <c r="J64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4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4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44" s="50">
        <f>IF(AND(CRC_War_Room_SIMs[[#This Row],[CI]] = 0, CRC_War_Room_SIMs[[#This Row],[Miss]] = 1), 1, 0)</f>
        <v>0</v>
      </c>
      <c r="N64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44" s="49">
        <f>IF(AND(CRC_War_Room_SIMs[[#This Row],[Excluded]] = 0, OR(CRC_War_Room_SIMs[[#This Row],[False Resolution Miss]] &lt;&gt; "", ISNUMBER(SEARCH("False Resolution", CRC_War_Room_SIMs[[#This Row],[Labels]])))), 1, 0)</f>
        <v>0</v>
      </c>
      <c r="P644" s="50">
        <f>IF(AND(CRC_War_Room_SIMs[[#This Row],[Excluded]] = 0, OR(CRC_War_Room_SIMs[[#This Row],[SLA Miss]] &lt;&gt; "", ISNUMBER(SEARCH("SLA", CRC_War_Room_SIMs[[#This Row],[Labels]])))), 1, 0)</f>
        <v>0</v>
      </c>
    </row>
    <row r="645" spans="1:16" x14ac:dyDescent="0.25">
      <c r="A645" t="s">
        <v>3214</v>
      </c>
      <c r="B645" t="s">
        <v>3037</v>
      </c>
      <c r="C645" t="s">
        <v>3034</v>
      </c>
      <c r="H64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45" s="49">
        <f ca="1">IFERROR(WEEKNUM(CRC_War_Room_SIMs[[#This Row],[Ops Date]]), "N/A")</f>
        <v>30</v>
      </c>
      <c r="J64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4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4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45" s="50">
        <f>IF(AND(CRC_War_Room_SIMs[[#This Row],[CI]] = 0, CRC_War_Room_SIMs[[#This Row],[Miss]] = 1), 1, 0)</f>
        <v>0</v>
      </c>
      <c r="N64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45" s="49">
        <f>IF(AND(CRC_War_Room_SIMs[[#This Row],[Excluded]] = 0, OR(CRC_War_Room_SIMs[[#This Row],[False Resolution Miss]] &lt;&gt; "", ISNUMBER(SEARCH("False Resolution", CRC_War_Room_SIMs[[#This Row],[Labels]])))), 1, 0)</f>
        <v>0</v>
      </c>
      <c r="P645" s="50">
        <f>IF(AND(CRC_War_Room_SIMs[[#This Row],[Excluded]] = 0, OR(CRC_War_Room_SIMs[[#This Row],[SLA Miss]] &lt;&gt; "", ISNUMBER(SEARCH("SLA", CRC_War_Room_SIMs[[#This Row],[Labels]])))), 1, 0)</f>
        <v>0</v>
      </c>
    </row>
    <row r="646" spans="1:16" x14ac:dyDescent="0.25">
      <c r="A646" t="s">
        <v>3215</v>
      </c>
      <c r="B646" t="s">
        <v>3037</v>
      </c>
      <c r="C646" t="s">
        <v>3034</v>
      </c>
      <c r="H64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46" s="49">
        <f ca="1">IFERROR(WEEKNUM(CRC_War_Room_SIMs[[#This Row],[Ops Date]]), "N/A")</f>
        <v>30</v>
      </c>
      <c r="J64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4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4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46" s="50">
        <f>IF(AND(CRC_War_Room_SIMs[[#This Row],[CI]] = 0, CRC_War_Room_SIMs[[#This Row],[Miss]] = 1), 1, 0)</f>
        <v>0</v>
      </c>
      <c r="N64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46" s="49">
        <f>IF(AND(CRC_War_Room_SIMs[[#This Row],[Excluded]] = 0, OR(CRC_War_Room_SIMs[[#This Row],[False Resolution Miss]] &lt;&gt; "", ISNUMBER(SEARCH("False Resolution", CRC_War_Room_SIMs[[#This Row],[Labels]])))), 1, 0)</f>
        <v>0</v>
      </c>
      <c r="P646" s="50">
        <f>IF(AND(CRC_War_Room_SIMs[[#This Row],[Excluded]] = 0, OR(CRC_War_Room_SIMs[[#This Row],[SLA Miss]] &lt;&gt; "", ISNUMBER(SEARCH("SLA", CRC_War_Room_SIMs[[#This Row],[Labels]])))), 1, 0)</f>
        <v>0</v>
      </c>
    </row>
    <row r="647" spans="1:16" x14ac:dyDescent="0.25">
      <c r="A647" t="s">
        <v>3216</v>
      </c>
      <c r="B647" t="s">
        <v>3037</v>
      </c>
      <c r="C647" t="s">
        <v>3034</v>
      </c>
      <c r="H64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47" s="49">
        <f ca="1">IFERROR(WEEKNUM(CRC_War_Room_SIMs[[#This Row],[Ops Date]]), "N/A")</f>
        <v>30</v>
      </c>
      <c r="J64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4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4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47" s="50">
        <f>IF(AND(CRC_War_Room_SIMs[[#This Row],[CI]] = 0, CRC_War_Room_SIMs[[#This Row],[Miss]] = 1), 1, 0)</f>
        <v>0</v>
      </c>
      <c r="N64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47" s="49">
        <f>IF(AND(CRC_War_Room_SIMs[[#This Row],[Excluded]] = 0, OR(CRC_War_Room_SIMs[[#This Row],[False Resolution Miss]] &lt;&gt; "", ISNUMBER(SEARCH("False Resolution", CRC_War_Room_SIMs[[#This Row],[Labels]])))), 1, 0)</f>
        <v>0</v>
      </c>
      <c r="P647" s="50">
        <f>IF(AND(CRC_War_Room_SIMs[[#This Row],[Excluded]] = 0, OR(CRC_War_Room_SIMs[[#This Row],[SLA Miss]] &lt;&gt; "", ISNUMBER(SEARCH("SLA", CRC_War_Room_SIMs[[#This Row],[Labels]])))), 1, 0)</f>
        <v>0</v>
      </c>
    </row>
    <row r="648" spans="1:16" x14ac:dyDescent="0.25">
      <c r="A648" t="s">
        <v>3217</v>
      </c>
      <c r="B648" t="s">
        <v>3037</v>
      </c>
      <c r="C648" t="s">
        <v>3034</v>
      </c>
      <c r="H64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48" s="49">
        <f ca="1">IFERROR(WEEKNUM(CRC_War_Room_SIMs[[#This Row],[Ops Date]]), "N/A")</f>
        <v>30</v>
      </c>
      <c r="J64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4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4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48" s="50">
        <f>IF(AND(CRC_War_Room_SIMs[[#This Row],[CI]] = 0, CRC_War_Room_SIMs[[#This Row],[Miss]] = 1), 1, 0)</f>
        <v>0</v>
      </c>
      <c r="N64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48" s="49">
        <f>IF(AND(CRC_War_Room_SIMs[[#This Row],[Excluded]] = 0, OR(CRC_War_Room_SIMs[[#This Row],[False Resolution Miss]] &lt;&gt; "", ISNUMBER(SEARCH("False Resolution", CRC_War_Room_SIMs[[#This Row],[Labels]])))), 1, 0)</f>
        <v>0</v>
      </c>
      <c r="P648" s="50">
        <f>IF(AND(CRC_War_Room_SIMs[[#This Row],[Excluded]] = 0, OR(CRC_War_Room_SIMs[[#This Row],[SLA Miss]] &lt;&gt; "", ISNUMBER(SEARCH("SLA", CRC_War_Room_SIMs[[#This Row],[Labels]])))), 1, 0)</f>
        <v>0</v>
      </c>
    </row>
    <row r="649" spans="1:16" x14ac:dyDescent="0.25">
      <c r="A649" t="s">
        <v>3218</v>
      </c>
      <c r="B649" t="s">
        <v>3037</v>
      </c>
      <c r="C649" t="s">
        <v>3034</v>
      </c>
      <c r="H64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49" s="49">
        <f ca="1">IFERROR(WEEKNUM(CRC_War_Room_SIMs[[#This Row],[Ops Date]]), "N/A")</f>
        <v>30</v>
      </c>
      <c r="J64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4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4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49" s="50">
        <f>IF(AND(CRC_War_Room_SIMs[[#This Row],[CI]] = 0, CRC_War_Room_SIMs[[#This Row],[Miss]] = 1), 1, 0)</f>
        <v>0</v>
      </c>
      <c r="N64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49" s="49">
        <f>IF(AND(CRC_War_Room_SIMs[[#This Row],[Excluded]] = 0, OR(CRC_War_Room_SIMs[[#This Row],[False Resolution Miss]] &lt;&gt; "", ISNUMBER(SEARCH("False Resolution", CRC_War_Room_SIMs[[#This Row],[Labels]])))), 1, 0)</f>
        <v>0</v>
      </c>
      <c r="P649" s="50">
        <f>IF(AND(CRC_War_Room_SIMs[[#This Row],[Excluded]] = 0, OR(CRC_War_Room_SIMs[[#This Row],[SLA Miss]] &lt;&gt; "", ISNUMBER(SEARCH("SLA", CRC_War_Room_SIMs[[#This Row],[Labels]])))), 1, 0)</f>
        <v>0</v>
      </c>
    </row>
    <row r="650" spans="1:16" x14ac:dyDescent="0.25">
      <c r="A650" t="s">
        <v>3219</v>
      </c>
      <c r="B650" t="s">
        <v>3037</v>
      </c>
      <c r="C650" t="s">
        <v>3034</v>
      </c>
      <c r="H65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50" s="49">
        <f ca="1">IFERROR(WEEKNUM(CRC_War_Room_SIMs[[#This Row],[Ops Date]]), "N/A")</f>
        <v>30</v>
      </c>
      <c r="J65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5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5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50" s="50">
        <f>IF(AND(CRC_War_Room_SIMs[[#This Row],[CI]] = 0, CRC_War_Room_SIMs[[#This Row],[Miss]] = 1), 1, 0)</f>
        <v>0</v>
      </c>
      <c r="N65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50" s="49">
        <f>IF(AND(CRC_War_Room_SIMs[[#This Row],[Excluded]] = 0, OR(CRC_War_Room_SIMs[[#This Row],[False Resolution Miss]] &lt;&gt; "", ISNUMBER(SEARCH("False Resolution", CRC_War_Room_SIMs[[#This Row],[Labels]])))), 1, 0)</f>
        <v>0</v>
      </c>
      <c r="P650" s="50">
        <f>IF(AND(CRC_War_Room_SIMs[[#This Row],[Excluded]] = 0, OR(CRC_War_Room_SIMs[[#This Row],[SLA Miss]] &lt;&gt; "", ISNUMBER(SEARCH("SLA", CRC_War_Room_SIMs[[#This Row],[Labels]])))), 1, 0)</f>
        <v>0</v>
      </c>
    </row>
    <row r="651" spans="1:16" x14ac:dyDescent="0.25">
      <c r="A651" t="s">
        <v>3220</v>
      </c>
      <c r="B651" t="s">
        <v>3037</v>
      </c>
      <c r="C651" t="s">
        <v>3034</v>
      </c>
      <c r="H65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51" s="49">
        <f ca="1">IFERROR(WEEKNUM(CRC_War_Room_SIMs[[#This Row],[Ops Date]]), "N/A")</f>
        <v>30</v>
      </c>
      <c r="J65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5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5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51" s="50">
        <f>IF(AND(CRC_War_Room_SIMs[[#This Row],[CI]] = 0, CRC_War_Room_SIMs[[#This Row],[Miss]] = 1), 1, 0)</f>
        <v>0</v>
      </c>
      <c r="N65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51" s="49">
        <f>IF(AND(CRC_War_Room_SIMs[[#This Row],[Excluded]] = 0, OR(CRC_War_Room_SIMs[[#This Row],[False Resolution Miss]] &lt;&gt; "", ISNUMBER(SEARCH("False Resolution", CRC_War_Room_SIMs[[#This Row],[Labels]])))), 1, 0)</f>
        <v>0</v>
      </c>
      <c r="P651" s="50">
        <f>IF(AND(CRC_War_Room_SIMs[[#This Row],[Excluded]] = 0, OR(CRC_War_Room_SIMs[[#This Row],[SLA Miss]] &lt;&gt; "", ISNUMBER(SEARCH("SLA", CRC_War_Room_SIMs[[#This Row],[Labels]])))), 1, 0)</f>
        <v>0</v>
      </c>
    </row>
    <row r="652" spans="1:16" x14ac:dyDescent="0.25">
      <c r="A652" t="s">
        <v>3221</v>
      </c>
      <c r="B652" t="s">
        <v>3037</v>
      </c>
      <c r="C652" t="s">
        <v>3034</v>
      </c>
      <c r="H65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52" s="49">
        <f ca="1">IFERROR(WEEKNUM(CRC_War_Room_SIMs[[#This Row],[Ops Date]]), "N/A")</f>
        <v>30</v>
      </c>
      <c r="J65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5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5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52" s="50">
        <f>IF(AND(CRC_War_Room_SIMs[[#This Row],[CI]] = 0, CRC_War_Room_SIMs[[#This Row],[Miss]] = 1), 1, 0)</f>
        <v>0</v>
      </c>
      <c r="N65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52" s="49">
        <f>IF(AND(CRC_War_Room_SIMs[[#This Row],[Excluded]] = 0, OR(CRC_War_Room_SIMs[[#This Row],[False Resolution Miss]] &lt;&gt; "", ISNUMBER(SEARCH("False Resolution", CRC_War_Room_SIMs[[#This Row],[Labels]])))), 1, 0)</f>
        <v>0</v>
      </c>
      <c r="P652" s="50">
        <f>IF(AND(CRC_War_Room_SIMs[[#This Row],[Excluded]] = 0, OR(CRC_War_Room_SIMs[[#This Row],[SLA Miss]] &lt;&gt; "", ISNUMBER(SEARCH("SLA", CRC_War_Room_SIMs[[#This Row],[Labels]])))), 1, 0)</f>
        <v>0</v>
      </c>
    </row>
    <row r="653" spans="1:16" x14ac:dyDescent="0.25">
      <c r="A653" t="s">
        <v>3222</v>
      </c>
      <c r="B653" t="s">
        <v>3037</v>
      </c>
      <c r="C653" t="s">
        <v>3034</v>
      </c>
      <c r="H65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53" s="49">
        <f ca="1">IFERROR(WEEKNUM(CRC_War_Room_SIMs[[#This Row],[Ops Date]]), "N/A")</f>
        <v>30</v>
      </c>
      <c r="J65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5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5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53" s="50">
        <f>IF(AND(CRC_War_Room_SIMs[[#This Row],[CI]] = 0, CRC_War_Room_SIMs[[#This Row],[Miss]] = 1), 1, 0)</f>
        <v>0</v>
      </c>
      <c r="N65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53" s="49">
        <f>IF(AND(CRC_War_Room_SIMs[[#This Row],[Excluded]] = 0, OR(CRC_War_Room_SIMs[[#This Row],[False Resolution Miss]] &lt;&gt; "", ISNUMBER(SEARCH("False Resolution", CRC_War_Room_SIMs[[#This Row],[Labels]])))), 1, 0)</f>
        <v>0</v>
      </c>
      <c r="P653" s="50">
        <f>IF(AND(CRC_War_Room_SIMs[[#This Row],[Excluded]] = 0, OR(CRC_War_Room_SIMs[[#This Row],[SLA Miss]] &lt;&gt; "", ISNUMBER(SEARCH("SLA", CRC_War_Room_SIMs[[#This Row],[Labels]])))), 1, 0)</f>
        <v>0</v>
      </c>
    </row>
    <row r="654" spans="1:16" x14ac:dyDescent="0.25">
      <c r="A654" t="s">
        <v>3223</v>
      </c>
      <c r="B654" t="s">
        <v>3037</v>
      </c>
      <c r="C654" t="s">
        <v>3034</v>
      </c>
      <c r="H65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54" s="49">
        <f ca="1">IFERROR(WEEKNUM(CRC_War_Room_SIMs[[#This Row],[Ops Date]]), "N/A")</f>
        <v>30</v>
      </c>
      <c r="J65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5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5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54" s="50">
        <f>IF(AND(CRC_War_Room_SIMs[[#This Row],[CI]] = 0, CRC_War_Room_SIMs[[#This Row],[Miss]] = 1), 1, 0)</f>
        <v>0</v>
      </c>
      <c r="N65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54" s="49">
        <f>IF(AND(CRC_War_Room_SIMs[[#This Row],[Excluded]] = 0, OR(CRC_War_Room_SIMs[[#This Row],[False Resolution Miss]] &lt;&gt; "", ISNUMBER(SEARCH("False Resolution", CRC_War_Room_SIMs[[#This Row],[Labels]])))), 1, 0)</f>
        <v>0</v>
      </c>
      <c r="P654" s="50">
        <f>IF(AND(CRC_War_Room_SIMs[[#This Row],[Excluded]] = 0, OR(CRC_War_Room_SIMs[[#This Row],[SLA Miss]] &lt;&gt; "", ISNUMBER(SEARCH("SLA", CRC_War_Room_SIMs[[#This Row],[Labels]])))), 1, 0)</f>
        <v>0</v>
      </c>
    </row>
    <row r="655" spans="1:16" x14ac:dyDescent="0.25">
      <c r="A655" t="s">
        <v>3224</v>
      </c>
      <c r="B655" t="s">
        <v>3037</v>
      </c>
      <c r="C655" t="s">
        <v>3034</v>
      </c>
      <c r="H65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55" s="49">
        <f ca="1">IFERROR(WEEKNUM(CRC_War_Room_SIMs[[#This Row],[Ops Date]]), "N/A")</f>
        <v>30</v>
      </c>
      <c r="J65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5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5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55" s="50">
        <f>IF(AND(CRC_War_Room_SIMs[[#This Row],[CI]] = 0, CRC_War_Room_SIMs[[#This Row],[Miss]] = 1), 1, 0)</f>
        <v>0</v>
      </c>
      <c r="N65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55" s="49">
        <f>IF(AND(CRC_War_Room_SIMs[[#This Row],[Excluded]] = 0, OR(CRC_War_Room_SIMs[[#This Row],[False Resolution Miss]] &lt;&gt; "", ISNUMBER(SEARCH("False Resolution", CRC_War_Room_SIMs[[#This Row],[Labels]])))), 1, 0)</f>
        <v>0</v>
      </c>
      <c r="P655" s="50">
        <f>IF(AND(CRC_War_Room_SIMs[[#This Row],[Excluded]] = 0, OR(CRC_War_Room_SIMs[[#This Row],[SLA Miss]] &lt;&gt; "", ISNUMBER(SEARCH("SLA", CRC_War_Room_SIMs[[#This Row],[Labels]])))), 1, 0)</f>
        <v>0</v>
      </c>
    </row>
    <row r="656" spans="1:16" x14ac:dyDescent="0.25">
      <c r="A656" t="s">
        <v>3225</v>
      </c>
      <c r="B656" t="s">
        <v>3037</v>
      </c>
      <c r="C656" t="s">
        <v>3034</v>
      </c>
      <c r="H65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56" s="49">
        <f ca="1">IFERROR(WEEKNUM(CRC_War_Room_SIMs[[#This Row],[Ops Date]]), "N/A")</f>
        <v>30</v>
      </c>
      <c r="J65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5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5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56" s="50">
        <f>IF(AND(CRC_War_Room_SIMs[[#This Row],[CI]] = 0, CRC_War_Room_SIMs[[#This Row],[Miss]] = 1), 1, 0)</f>
        <v>0</v>
      </c>
      <c r="N65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56" s="49">
        <f>IF(AND(CRC_War_Room_SIMs[[#This Row],[Excluded]] = 0, OR(CRC_War_Room_SIMs[[#This Row],[False Resolution Miss]] &lt;&gt; "", ISNUMBER(SEARCH("False Resolution", CRC_War_Room_SIMs[[#This Row],[Labels]])))), 1, 0)</f>
        <v>0</v>
      </c>
      <c r="P656" s="50">
        <f>IF(AND(CRC_War_Room_SIMs[[#This Row],[Excluded]] = 0, OR(CRC_War_Room_SIMs[[#This Row],[SLA Miss]] &lt;&gt; "", ISNUMBER(SEARCH("SLA", CRC_War_Room_SIMs[[#This Row],[Labels]])))), 1, 0)</f>
        <v>0</v>
      </c>
    </row>
    <row r="657" spans="1:16" x14ac:dyDescent="0.25">
      <c r="A657" t="s">
        <v>3226</v>
      </c>
      <c r="B657" t="s">
        <v>3037</v>
      </c>
      <c r="C657" t="s">
        <v>3034</v>
      </c>
      <c r="H65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57" s="49">
        <f ca="1">IFERROR(WEEKNUM(CRC_War_Room_SIMs[[#This Row],[Ops Date]]), "N/A")</f>
        <v>30</v>
      </c>
      <c r="J65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5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5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57" s="50">
        <f>IF(AND(CRC_War_Room_SIMs[[#This Row],[CI]] = 0, CRC_War_Room_SIMs[[#This Row],[Miss]] = 1), 1, 0)</f>
        <v>0</v>
      </c>
      <c r="N65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57" s="49">
        <f>IF(AND(CRC_War_Room_SIMs[[#This Row],[Excluded]] = 0, OR(CRC_War_Room_SIMs[[#This Row],[False Resolution Miss]] &lt;&gt; "", ISNUMBER(SEARCH("False Resolution", CRC_War_Room_SIMs[[#This Row],[Labels]])))), 1, 0)</f>
        <v>0</v>
      </c>
      <c r="P657" s="50">
        <f>IF(AND(CRC_War_Room_SIMs[[#This Row],[Excluded]] = 0, OR(CRC_War_Room_SIMs[[#This Row],[SLA Miss]] &lt;&gt; "", ISNUMBER(SEARCH("SLA", CRC_War_Room_SIMs[[#This Row],[Labels]])))), 1, 0)</f>
        <v>0</v>
      </c>
    </row>
    <row r="658" spans="1:16" x14ac:dyDescent="0.25">
      <c r="A658" t="s">
        <v>3227</v>
      </c>
      <c r="B658" t="s">
        <v>3037</v>
      </c>
      <c r="C658" t="s">
        <v>3034</v>
      </c>
      <c r="H65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58" s="49">
        <f ca="1">IFERROR(WEEKNUM(CRC_War_Room_SIMs[[#This Row],[Ops Date]]), "N/A")</f>
        <v>30</v>
      </c>
      <c r="J65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5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5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58" s="50">
        <f>IF(AND(CRC_War_Room_SIMs[[#This Row],[CI]] = 0, CRC_War_Room_SIMs[[#This Row],[Miss]] = 1), 1, 0)</f>
        <v>0</v>
      </c>
      <c r="N65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58" s="49">
        <f>IF(AND(CRC_War_Room_SIMs[[#This Row],[Excluded]] = 0, OR(CRC_War_Room_SIMs[[#This Row],[False Resolution Miss]] &lt;&gt; "", ISNUMBER(SEARCH("False Resolution", CRC_War_Room_SIMs[[#This Row],[Labels]])))), 1, 0)</f>
        <v>0</v>
      </c>
      <c r="P658" s="50">
        <f>IF(AND(CRC_War_Room_SIMs[[#This Row],[Excluded]] = 0, OR(CRC_War_Room_SIMs[[#This Row],[SLA Miss]] &lt;&gt; "", ISNUMBER(SEARCH("SLA", CRC_War_Room_SIMs[[#This Row],[Labels]])))), 1, 0)</f>
        <v>0</v>
      </c>
    </row>
    <row r="659" spans="1:16" x14ac:dyDescent="0.25">
      <c r="A659" t="s">
        <v>3228</v>
      </c>
      <c r="B659" t="s">
        <v>3037</v>
      </c>
      <c r="C659" t="s">
        <v>3034</v>
      </c>
      <c r="H65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59" s="49">
        <f ca="1">IFERROR(WEEKNUM(CRC_War_Room_SIMs[[#This Row],[Ops Date]]), "N/A")</f>
        <v>30</v>
      </c>
      <c r="J65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5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5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59" s="50">
        <f>IF(AND(CRC_War_Room_SIMs[[#This Row],[CI]] = 0, CRC_War_Room_SIMs[[#This Row],[Miss]] = 1), 1, 0)</f>
        <v>0</v>
      </c>
      <c r="N65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59" s="49">
        <f>IF(AND(CRC_War_Room_SIMs[[#This Row],[Excluded]] = 0, OR(CRC_War_Room_SIMs[[#This Row],[False Resolution Miss]] &lt;&gt; "", ISNUMBER(SEARCH("False Resolution", CRC_War_Room_SIMs[[#This Row],[Labels]])))), 1, 0)</f>
        <v>0</v>
      </c>
      <c r="P659" s="50">
        <f>IF(AND(CRC_War_Room_SIMs[[#This Row],[Excluded]] = 0, OR(CRC_War_Room_SIMs[[#This Row],[SLA Miss]] &lt;&gt; "", ISNUMBER(SEARCH("SLA", CRC_War_Room_SIMs[[#This Row],[Labels]])))), 1, 0)</f>
        <v>0</v>
      </c>
    </row>
    <row r="660" spans="1:16" x14ac:dyDescent="0.25">
      <c r="A660" t="s">
        <v>3229</v>
      </c>
      <c r="B660" t="s">
        <v>3037</v>
      </c>
      <c r="C660" t="s">
        <v>3034</v>
      </c>
      <c r="H66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60" s="49">
        <f ca="1">IFERROR(WEEKNUM(CRC_War_Room_SIMs[[#This Row],[Ops Date]]), "N/A")</f>
        <v>30</v>
      </c>
      <c r="J66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6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6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60" s="50">
        <f>IF(AND(CRC_War_Room_SIMs[[#This Row],[CI]] = 0, CRC_War_Room_SIMs[[#This Row],[Miss]] = 1), 1, 0)</f>
        <v>0</v>
      </c>
      <c r="N66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60" s="49">
        <f>IF(AND(CRC_War_Room_SIMs[[#This Row],[Excluded]] = 0, OR(CRC_War_Room_SIMs[[#This Row],[False Resolution Miss]] &lt;&gt; "", ISNUMBER(SEARCH("False Resolution", CRC_War_Room_SIMs[[#This Row],[Labels]])))), 1, 0)</f>
        <v>0</v>
      </c>
      <c r="P660" s="50">
        <f>IF(AND(CRC_War_Room_SIMs[[#This Row],[Excluded]] = 0, OR(CRC_War_Room_SIMs[[#This Row],[SLA Miss]] &lt;&gt; "", ISNUMBER(SEARCH("SLA", CRC_War_Room_SIMs[[#This Row],[Labels]])))), 1, 0)</f>
        <v>0</v>
      </c>
    </row>
    <row r="661" spans="1:16" x14ac:dyDescent="0.25">
      <c r="A661" t="s">
        <v>3230</v>
      </c>
      <c r="B661" t="s">
        <v>3037</v>
      </c>
      <c r="C661" t="s">
        <v>3034</v>
      </c>
      <c r="H66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61" s="49">
        <f ca="1">IFERROR(WEEKNUM(CRC_War_Room_SIMs[[#This Row],[Ops Date]]), "N/A")</f>
        <v>30</v>
      </c>
      <c r="J66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6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6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61" s="50">
        <f>IF(AND(CRC_War_Room_SIMs[[#This Row],[CI]] = 0, CRC_War_Room_SIMs[[#This Row],[Miss]] = 1), 1, 0)</f>
        <v>0</v>
      </c>
      <c r="N66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61" s="49">
        <f>IF(AND(CRC_War_Room_SIMs[[#This Row],[Excluded]] = 0, OR(CRC_War_Room_SIMs[[#This Row],[False Resolution Miss]] &lt;&gt; "", ISNUMBER(SEARCH("False Resolution", CRC_War_Room_SIMs[[#This Row],[Labels]])))), 1, 0)</f>
        <v>0</v>
      </c>
      <c r="P661" s="50">
        <f>IF(AND(CRC_War_Room_SIMs[[#This Row],[Excluded]] = 0, OR(CRC_War_Room_SIMs[[#This Row],[SLA Miss]] &lt;&gt; "", ISNUMBER(SEARCH("SLA", CRC_War_Room_SIMs[[#This Row],[Labels]])))), 1, 0)</f>
        <v>0</v>
      </c>
    </row>
    <row r="662" spans="1:16" x14ac:dyDescent="0.25">
      <c r="A662" t="s">
        <v>3231</v>
      </c>
      <c r="B662" t="s">
        <v>3232</v>
      </c>
      <c r="C662" t="s">
        <v>3034</v>
      </c>
      <c r="H66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62" s="49">
        <f ca="1">IFERROR(WEEKNUM(CRC_War_Room_SIMs[[#This Row],[Ops Date]]), "N/A")</f>
        <v>30</v>
      </c>
      <c r="J66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6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6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62" s="50">
        <f>IF(AND(CRC_War_Room_SIMs[[#This Row],[CI]] = 0, CRC_War_Room_SIMs[[#This Row],[Miss]] = 1), 1, 0)</f>
        <v>0</v>
      </c>
      <c r="N66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62" s="49">
        <f>IF(AND(CRC_War_Room_SIMs[[#This Row],[Excluded]] = 0, OR(CRC_War_Room_SIMs[[#This Row],[False Resolution Miss]] &lt;&gt; "", ISNUMBER(SEARCH("False Resolution", CRC_War_Room_SIMs[[#This Row],[Labels]])))), 1, 0)</f>
        <v>0</v>
      </c>
      <c r="P662" s="50">
        <f>IF(AND(CRC_War_Room_SIMs[[#This Row],[Excluded]] = 0, OR(CRC_War_Room_SIMs[[#This Row],[SLA Miss]] &lt;&gt; "", ISNUMBER(SEARCH("SLA", CRC_War_Room_SIMs[[#This Row],[Labels]])))), 1, 0)</f>
        <v>0</v>
      </c>
    </row>
    <row r="663" spans="1:16" x14ac:dyDescent="0.25">
      <c r="A663" t="s">
        <v>3233</v>
      </c>
      <c r="B663" t="s">
        <v>3232</v>
      </c>
      <c r="C663" t="s">
        <v>3034</v>
      </c>
      <c r="H66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63" s="49">
        <f ca="1">IFERROR(WEEKNUM(CRC_War_Room_SIMs[[#This Row],[Ops Date]]), "N/A")</f>
        <v>30</v>
      </c>
      <c r="J66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6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6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63" s="50">
        <f>IF(AND(CRC_War_Room_SIMs[[#This Row],[CI]] = 0, CRC_War_Room_SIMs[[#This Row],[Miss]] = 1), 1, 0)</f>
        <v>0</v>
      </c>
      <c r="N66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63" s="49">
        <f>IF(AND(CRC_War_Room_SIMs[[#This Row],[Excluded]] = 0, OR(CRC_War_Room_SIMs[[#This Row],[False Resolution Miss]] &lt;&gt; "", ISNUMBER(SEARCH("False Resolution", CRC_War_Room_SIMs[[#This Row],[Labels]])))), 1, 0)</f>
        <v>0</v>
      </c>
      <c r="P663" s="50">
        <f>IF(AND(CRC_War_Room_SIMs[[#This Row],[Excluded]] = 0, OR(CRC_War_Room_SIMs[[#This Row],[SLA Miss]] &lt;&gt; "", ISNUMBER(SEARCH("SLA", CRC_War_Room_SIMs[[#This Row],[Labels]])))), 1, 0)</f>
        <v>0</v>
      </c>
    </row>
    <row r="664" spans="1:16" x14ac:dyDescent="0.25">
      <c r="A664" t="s">
        <v>3234</v>
      </c>
      <c r="B664" t="s">
        <v>3232</v>
      </c>
      <c r="C664" t="s">
        <v>3034</v>
      </c>
      <c r="H66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64" s="49">
        <f ca="1">IFERROR(WEEKNUM(CRC_War_Room_SIMs[[#This Row],[Ops Date]]), "N/A")</f>
        <v>30</v>
      </c>
      <c r="J66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6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6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64" s="50">
        <f>IF(AND(CRC_War_Room_SIMs[[#This Row],[CI]] = 0, CRC_War_Room_SIMs[[#This Row],[Miss]] = 1), 1, 0)</f>
        <v>0</v>
      </c>
      <c r="N66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64" s="49">
        <f>IF(AND(CRC_War_Room_SIMs[[#This Row],[Excluded]] = 0, OR(CRC_War_Room_SIMs[[#This Row],[False Resolution Miss]] &lt;&gt; "", ISNUMBER(SEARCH("False Resolution", CRC_War_Room_SIMs[[#This Row],[Labels]])))), 1, 0)</f>
        <v>0</v>
      </c>
      <c r="P664" s="50">
        <f>IF(AND(CRC_War_Room_SIMs[[#This Row],[Excluded]] = 0, OR(CRC_War_Room_SIMs[[#This Row],[SLA Miss]] &lt;&gt; "", ISNUMBER(SEARCH("SLA", CRC_War_Room_SIMs[[#This Row],[Labels]])))), 1, 0)</f>
        <v>0</v>
      </c>
    </row>
    <row r="665" spans="1:16" x14ac:dyDescent="0.25">
      <c r="A665" t="s">
        <v>3235</v>
      </c>
      <c r="B665" t="s">
        <v>3232</v>
      </c>
      <c r="C665" t="s">
        <v>3034</v>
      </c>
      <c r="H66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65" s="49">
        <f ca="1">IFERROR(WEEKNUM(CRC_War_Room_SIMs[[#This Row],[Ops Date]]), "N/A")</f>
        <v>30</v>
      </c>
      <c r="J66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6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6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65" s="50">
        <f>IF(AND(CRC_War_Room_SIMs[[#This Row],[CI]] = 0, CRC_War_Room_SIMs[[#This Row],[Miss]] = 1), 1, 0)</f>
        <v>0</v>
      </c>
      <c r="N66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65" s="49">
        <f>IF(AND(CRC_War_Room_SIMs[[#This Row],[Excluded]] = 0, OR(CRC_War_Room_SIMs[[#This Row],[False Resolution Miss]] &lt;&gt; "", ISNUMBER(SEARCH("False Resolution", CRC_War_Room_SIMs[[#This Row],[Labels]])))), 1, 0)</f>
        <v>0</v>
      </c>
      <c r="P665" s="50">
        <f>IF(AND(CRC_War_Room_SIMs[[#This Row],[Excluded]] = 0, OR(CRC_War_Room_SIMs[[#This Row],[SLA Miss]] &lt;&gt; "", ISNUMBER(SEARCH("SLA", CRC_War_Room_SIMs[[#This Row],[Labels]])))), 1, 0)</f>
        <v>0</v>
      </c>
    </row>
    <row r="666" spans="1:16" x14ac:dyDescent="0.25">
      <c r="A666" t="s">
        <v>3236</v>
      </c>
      <c r="B666" t="s">
        <v>3033</v>
      </c>
      <c r="C666" t="s">
        <v>3034</v>
      </c>
      <c r="H66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66" s="49">
        <f ca="1">IFERROR(WEEKNUM(CRC_War_Room_SIMs[[#This Row],[Ops Date]]), "N/A")</f>
        <v>30</v>
      </c>
      <c r="J66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6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6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66" s="50">
        <f>IF(AND(CRC_War_Room_SIMs[[#This Row],[CI]] = 0, CRC_War_Room_SIMs[[#This Row],[Miss]] = 1), 1, 0)</f>
        <v>0</v>
      </c>
      <c r="N66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66" s="49">
        <f>IF(AND(CRC_War_Room_SIMs[[#This Row],[Excluded]] = 0, OR(CRC_War_Room_SIMs[[#This Row],[False Resolution Miss]] &lt;&gt; "", ISNUMBER(SEARCH("False Resolution", CRC_War_Room_SIMs[[#This Row],[Labels]])))), 1, 0)</f>
        <v>0</v>
      </c>
      <c r="P666" s="50">
        <f>IF(AND(CRC_War_Room_SIMs[[#This Row],[Excluded]] = 0, OR(CRC_War_Room_SIMs[[#This Row],[SLA Miss]] &lt;&gt; "", ISNUMBER(SEARCH("SLA", CRC_War_Room_SIMs[[#This Row],[Labels]])))), 1, 0)</f>
        <v>0</v>
      </c>
    </row>
    <row r="667" spans="1:16" x14ac:dyDescent="0.25">
      <c r="A667" t="s">
        <v>3237</v>
      </c>
      <c r="B667" t="s">
        <v>3033</v>
      </c>
      <c r="C667" t="s">
        <v>3034</v>
      </c>
      <c r="H66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67" s="49">
        <f ca="1">IFERROR(WEEKNUM(CRC_War_Room_SIMs[[#This Row],[Ops Date]]), "N/A")</f>
        <v>30</v>
      </c>
      <c r="J66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6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6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67" s="50">
        <f>IF(AND(CRC_War_Room_SIMs[[#This Row],[CI]] = 0, CRC_War_Room_SIMs[[#This Row],[Miss]] = 1), 1, 0)</f>
        <v>0</v>
      </c>
      <c r="N66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67" s="49">
        <f>IF(AND(CRC_War_Room_SIMs[[#This Row],[Excluded]] = 0, OR(CRC_War_Room_SIMs[[#This Row],[False Resolution Miss]] &lt;&gt; "", ISNUMBER(SEARCH("False Resolution", CRC_War_Room_SIMs[[#This Row],[Labels]])))), 1, 0)</f>
        <v>0</v>
      </c>
      <c r="P667" s="50">
        <f>IF(AND(CRC_War_Room_SIMs[[#This Row],[Excluded]] = 0, OR(CRC_War_Room_SIMs[[#This Row],[SLA Miss]] &lt;&gt; "", ISNUMBER(SEARCH("SLA", CRC_War_Room_SIMs[[#This Row],[Labels]])))), 1, 0)</f>
        <v>0</v>
      </c>
    </row>
    <row r="668" spans="1:16" x14ac:dyDescent="0.25">
      <c r="A668" t="s">
        <v>3238</v>
      </c>
      <c r="B668" t="s">
        <v>3033</v>
      </c>
      <c r="C668" t="s">
        <v>3034</v>
      </c>
      <c r="H66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68" s="49">
        <f ca="1">IFERROR(WEEKNUM(CRC_War_Room_SIMs[[#This Row],[Ops Date]]), "N/A")</f>
        <v>30</v>
      </c>
      <c r="J66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6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6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68" s="50">
        <f>IF(AND(CRC_War_Room_SIMs[[#This Row],[CI]] = 0, CRC_War_Room_SIMs[[#This Row],[Miss]] = 1), 1, 0)</f>
        <v>0</v>
      </c>
      <c r="N66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68" s="49">
        <f>IF(AND(CRC_War_Room_SIMs[[#This Row],[Excluded]] = 0, OR(CRC_War_Room_SIMs[[#This Row],[False Resolution Miss]] &lt;&gt; "", ISNUMBER(SEARCH("False Resolution", CRC_War_Room_SIMs[[#This Row],[Labels]])))), 1, 0)</f>
        <v>0</v>
      </c>
      <c r="P668" s="50">
        <f>IF(AND(CRC_War_Room_SIMs[[#This Row],[Excluded]] = 0, OR(CRC_War_Room_SIMs[[#This Row],[SLA Miss]] &lt;&gt; "", ISNUMBER(SEARCH("SLA", CRC_War_Room_SIMs[[#This Row],[Labels]])))), 1, 0)</f>
        <v>0</v>
      </c>
    </row>
    <row r="669" spans="1:16" x14ac:dyDescent="0.25">
      <c r="A669" t="s">
        <v>3239</v>
      </c>
      <c r="B669" t="s">
        <v>3033</v>
      </c>
      <c r="C669" t="s">
        <v>3034</v>
      </c>
      <c r="H66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69" s="49">
        <f ca="1">IFERROR(WEEKNUM(CRC_War_Room_SIMs[[#This Row],[Ops Date]]), "N/A")</f>
        <v>30</v>
      </c>
      <c r="J66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6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6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69" s="50">
        <f>IF(AND(CRC_War_Room_SIMs[[#This Row],[CI]] = 0, CRC_War_Room_SIMs[[#This Row],[Miss]] = 1), 1, 0)</f>
        <v>0</v>
      </c>
      <c r="N66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69" s="49">
        <f>IF(AND(CRC_War_Room_SIMs[[#This Row],[Excluded]] = 0, OR(CRC_War_Room_SIMs[[#This Row],[False Resolution Miss]] &lt;&gt; "", ISNUMBER(SEARCH("False Resolution", CRC_War_Room_SIMs[[#This Row],[Labels]])))), 1, 0)</f>
        <v>0</v>
      </c>
      <c r="P669" s="50">
        <f>IF(AND(CRC_War_Room_SIMs[[#This Row],[Excluded]] = 0, OR(CRC_War_Room_SIMs[[#This Row],[SLA Miss]] &lt;&gt; "", ISNUMBER(SEARCH("SLA", CRC_War_Room_SIMs[[#This Row],[Labels]])))), 1, 0)</f>
        <v>0</v>
      </c>
    </row>
    <row r="670" spans="1:16" x14ac:dyDescent="0.25">
      <c r="A670" t="s">
        <v>3240</v>
      </c>
      <c r="B670" t="s">
        <v>3033</v>
      </c>
      <c r="C670" t="s">
        <v>3034</v>
      </c>
      <c r="H67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70" s="49">
        <f ca="1">IFERROR(WEEKNUM(CRC_War_Room_SIMs[[#This Row],[Ops Date]]), "N/A")</f>
        <v>30</v>
      </c>
      <c r="J67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7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7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70" s="50">
        <f>IF(AND(CRC_War_Room_SIMs[[#This Row],[CI]] = 0, CRC_War_Room_SIMs[[#This Row],[Miss]] = 1), 1, 0)</f>
        <v>0</v>
      </c>
      <c r="N67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70" s="49">
        <f>IF(AND(CRC_War_Room_SIMs[[#This Row],[Excluded]] = 0, OR(CRC_War_Room_SIMs[[#This Row],[False Resolution Miss]] &lt;&gt; "", ISNUMBER(SEARCH("False Resolution", CRC_War_Room_SIMs[[#This Row],[Labels]])))), 1, 0)</f>
        <v>0</v>
      </c>
      <c r="P670" s="50">
        <f>IF(AND(CRC_War_Room_SIMs[[#This Row],[Excluded]] = 0, OR(CRC_War_Room_SIMs[[#This Row],[SLA Miss]] &lt;&gt; "", ISNUMBER(SEARCH("SLA", CRC_War_Room_SIMs[[#This Row],[Labels]])))), 1, 0)</f>
        <v>0</v>
      </c>
    </row>
    <row r="671" spans="1:16" x14ac:dyDescent="0.25">
      <c r="A671" t="s">
        <v>3241</v>
      </c>
      <c r="B671" t="s">
        <v>3033</v>
      </c>
      <c r="C671" t="s">
        <v>3034</v>
      </c>
      <c r="H67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71" s="49">
        <f ca="1">IFERROR(WEEKNUM(CRC_War_Room_SIMs[[#This Row],[Ops Date]]), "N/A")</f>
        <v>30</v>
      </c>
      <c r="J67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7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7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71" s="50">
        <f>IF(AND(CRC_War_Room_SIMs[[#This Row],[CI]] = 0, CRC_War_Room_SIMs[[#This Row],[Miss]] = 1), 1, 0)</f>
        <v>0</v>
      </c>
      <c r="N67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71" s="49">
        <f>IF(AND(CRC_War_Room_SIMs[[#This Row],[Excluded]] = 0, OR(CRC_War_Room_SIMs[[#This Row],[False Resolution Miss]] &lt;&gt; "", ISNUMBER(SEARCH("False Resolution", CRC_War_Room_SIMs[[#This Row],[Labels]])))), 1, 0)</f>
        <v>0</v>
      </c>
      <c r="P671" s="50">
        <f>IF(AND(CRC_War_Room_SIMs[[#This Row],[Excluded]] = 0, OR(CRC_War_Room_SIMs[[#This Row],[SLA Miss]] &lt;&gt; "", ISNUMBER(SEARCH("SLA", CRC_War_Room_SIMs[[#This Row],[Labels]])))), 1, 0)</f>
        <v>0</v>
      </c>
    </row>
    <row r="672" spans="1:16" x14ac:dyDescent="0.25">
      <c r="A672" t="s">
        <v>3242</v>
      </c>
      <c r="B672" t="s">
        <v>3033</v>
      </c>
      <c r="C672" t="s">
        <v>3034</v>
      </c>
      <c r="H67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72" s="49">
        <f ca="1">IFERROR(WEEKNUM(CRC_War_Room_SIMs[[#This Row],[Ops Date]]), "N/A")</f>
        <v>30</v>
      </c>
      <c r="J67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7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7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72" s="50">
        <f>IF(AND(CRC_War_Room_SIMs[[#This Row],[CI]] = 0, CRC_War_Room_SIMs[[#This Row],[Miss]] = 1), 1, 0)</f>
        <v>0</v>
      </c>
      <c r="N67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72" s="49">
        <f>IF(AND(CRC_War_Room_SIMs[[#This Row],[Excluded]] = 0, OR(CRC_War_Room_SIMs[[#This Row],[False Resolution Miss]] &lt;&gt; "", ISNUMBER(SEARCH("False Resolution", CRC_War_Room_SIMs[[#This Row],[Labels]])))), 1, 0)</f>
        <v>0</v>
      </c>
      <c r="P672" s="50">
        <f>IF(AND(CRC_War_Room_SIMs[[#This Row],[Excluded]] = 0, OR(CRC_War_Room_SIMs[[#This Row],[SLA Miss]] &lt;&gt; "", ISNUMBER(SEARCH("SLA", CRC_War_Room_SIMs[[#This Row],[Labels]])))), 1, 0)</f>
        <v>0</v>
      </c>
    </row>
    <row r="673" spans="1:16" x14ac:dyDescent="0.25">
      <c r="A673" t="s">
        <v>3243</v>
      </c>
      <c r="B673" t="s">
        <v>3033</v>
      </c>
      <c r="C673" t="s">
        <v>3034</v>
      </c>
      <c r="H67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73" s="49">
        <f ca="1">IFERROR(WEEKNUM(CRC_War_Room_SIMs[[#This Row],[Ops Date]]), "N/A")</f>
        <v>30</v>
      </c>
      <c r="J67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7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7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73" s="50">
        <f>IF(AND(CRC_War_Room_SIMs[[#This Row],[CI]] = 0, CRC_War_Room_SIMs[[#This Row],[Miss]] = 1), 1, 0)</f>
        <v>0</v>
      </c>
      <c r="N67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73" s="49">
        <f>IF(AND(CRC_War_Room_SIMs[[#This Row],[Excluded]] = 0, OR(CRC_War_Room_SIMs[[#This Row],[False Resolution Miss]] &lt;&gt; "", ISNUMBER(SEARCH("False Resolution", CRC_War_Room_SIMs[[#This Row],[Labels]])))), 1, 0)</f>
        <v>0</v>
      </c>
      <c r="P673" s="50">
        <f>IF(AND(CRC_War_Room_SIMs[[#This Row],[Excluded]] = 0, OR(CRC_War_Room_SIMs[[#This Row],[SLA Miss]] &lt;&gt; "", ISNUMBER(SEARCH("SLA", CRC_War_Room_SIMs[[#This Row],[Labels]])))), 1, 0)</f>
        <v>0</v>
      </c>
    </row>
    <row r="674" spans="1:16" x14ac:dyDescent="0.25">
      <c r="A674" t="s">
        <v>3244</v>
      </c>
      <c r="B674" t="s">
        <v>3033</v>
      </c>
      <c r="C674" t="s">
        <v>3034</v>
      </c>
      <c r="H67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74" s="49">
        <f ca="1">IFERROR(WEEKNUM(CRC_War_Room_SIMs[[#This Row],[Ops Date]]), "N/A")</f>
        <v>30</v>
      </c>
      <c r="J67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7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7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74" s="50">
        <f>IF(AND(CRC_War_Room_SIMs[[#This Row],[CI]] = 0, CRC_War_Room_SIMs[[#This Row],[Miss]] = 1), 1, 0)</f>
        <v>0</v>
      </c>
      <c r="N67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74" s="49">
        <f>IF(AND(CRC_War_Room_SIMs[[#This Row],[Excluded]] = 0, OR(CRC_War_Room_SIMs[[#This Row],[False Resolution Miss]] &lt;&gt; "", ISNUMBER(SEARCH("False Resolution", CRC_War_Room_SIMs[[#This Row],[Labels]])))), 1, 0)</f>
        <v>0</v>
      </c>
      <c r="P674" s="50">
        <f>IF(AND(CRC_War_Room_SIMs[[#This Row],[Excluded]] = 0, OR(CRC_War_Room_SIMs[[#This Row],[SLA Miss]] &lt;&gt; "", ISNUMBER(SEARCH("SLA", CRC_War_Room_SIMs[[#This Row],[Labels]])))), 1, 0)</f>
        <v>0</v>
      </c>
    </row>
    <row r="675" spans="1:16" x14ac:dyDescent="0.25">
      <c r="A675" t="s">
        <v>3245</v>
      </c>
      <c r="B675" t="s">
        <v>3033</v>
      </c>
      <c r="C675" t="s">
        <v>3034</v>
      </c>
      <c r="H67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75" s="49">
        <f ca="1">IFERROR(WEEKNUM(CRC_War_Room_SIMs[[#This Row],[Ops Date]]), "N/A")</f>
        <v>30</v>
      </c>
      <c r="J67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7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7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75" s="50">
        <f>IF(AND(CRC_War_Room_SIMs[[#This Row],[CI]] = 0, CRC_War_Room_SIMs[[#This Row],[Miss]] = 1), 1, 0)</f>
        <v>0</v>
      </c>
      <c r="N67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75" s="49">
        <f>IF(AND(CRC_War_Room_SIMs[[#This Row],[Excluded]] = 0, OR(CRC_War_Room_SIMs[[#This Row],[False Resolution Miss]] &lt;&gt; "", ISNUMBER(SEARCH("False Resolution", CRC_War_Room_SIMs[[#This Row],[Labels]])))), 1, 0)</f>
        <v>0</v>
      </c>
      <c r="P675" s="50">
        <f>IF(AND(CRC_War_Room_SIMs[[#This Row],[Excluded]] = 0, OR(CRC_War_Room_SIMs[[#This Row],[SLA Miss]] &lt;&gt; "", ISNUMBER(SEARCH("SLA", CRC_War_Room_SIMs[[#This Row],[Labels]])))), 1, 0)</f>
        <v>0</v>
      </c>
    </row>
    <row r="676" spans="1:16" x14ac:dyDescent="0.25">
      <c r="A676" t="s">
        <v>3246</v>
      </c>
      <c r="B676" t="s">
        <v>3033</v>
      </c>
      <c r="C676" t="s">
        <v>3034</v>
      </c>
      <c r="H67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76" s="49">
        <f ca="1">IFERROR(WEEKNUM(CRC_War_Room_SIMs[[#This Row],[Ops Date]]), "N/A")</f>
        <v>30</v>
      </c>
      <c r="J67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7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7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76" s="50">
        <f>IF(AND(CRC_War_Room_SIMs[[#This Row],[CI]] = 0, CRC_War_Room_SIMs[[#This Row],[Miss]] = 1), 1, 0)</f>
        <v>0</v>
      </c>
      <c r="N67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76" s="49">
        <f>IF(AND(CRC_War_Room_SIMs[[#This Row],[Excluded]] = 0, OR(CRC_War_Room_SIMs[[#This Row],[False Resolution Miss]] &lt;&gt; "", ISNUMBER(SEARCH("False Resolution", CRC_War_Room_SIMs[[#This Row],[Labels]])))), 1, 0)</f>
        <v>0</v>
      </c>
      <c r="P676" s="50">
        <f>IF(AND(CRC_War_Room_SIMs[[#This Row],[Excluded]] = 0, OR(CRC_War_Room_SIMs[[#This Row],[SLA Miss]] &lt;&gt; "", ISNUMBER(SEARCH("SLA", CRC_War_Room_SIMs[[#This Row],[Labels]])))), 1, 0)</f>
        <v>0</v>
      </c>
    </row>
    <row r="677" spans="1:16" x14ac:dyDescent="0.25">
      <c r="A677" t="s">
        <v>3247</v>
      </c>
      <c r="B677" t="s">
        <v>3033</v>
      </c>
      <c r="C677" t="s">
        <v>3034</v>
      </c>
      <c r="H67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77" s="49">
        <f ca="1">IFERROR(WEEKNUM(CRC_War_Room_SIMs[[#This Row],[Ops Date]]), "N/A")</f>
        <v>30</v>
      </c>
      <c r="J67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7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7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77" s="50">
        <f>IF(AND(CRC_War_Room_SIMs[[#This Row],[CI]] = 0, CRC_War_Room_SIMs[[#This Row],[Miss]] = 1), 1, 0)</f>
        <v>0</v>
      </c>
      <c r="N67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77" s="49">
        <f>IF(AND(CRC_War_Room_SIMs[[#This Row],[Excluded]] = 0, OR(CRC_War_Room_SIMs[[#This Row],[False Resolution Miss]] &lt;&gt; "", ISNUMBER(SEARCH("False Resolution", CRC_War_Room_SIMs[[#This Row],[Labels]])))), 1, 0)</f>
        <v>0</v>
      </c>
      <c r="P677" s="50">
        <f>IF(AND(CRC_War_Room_SIMs[[#This Row],[Excluded]] = 0, OR(CRC_War_Room_SIMs[[#This Row],[SLA Miss]] &lt;&gt; "", ISNUMBER(SEARCH("SLA", CRC_War_Room_SIMs[[#This Row],[Labels]])))), 1, 0)</f>
        <v>0</v>
      </c>
    </row>
    <row r="678" spans="1:16" x14ac:dyDescent="0.25">
      <c r="A678" t="s">
        <v>3248</v>
      </c>
      <c r="B678" t="s">
        <v>3033</v>
      </c>
      <c r="C678" t="s">
        <v>3034</v>
      </c>
      <c r="H67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78" s="49">
        <f ca="1">IFERROR(WEEKNUM(CRC_War_Room_SIMs[[#This Row],[Ops Date]]), "N/A")</f>
        <v>30</v>
      </c>
      <c r="J67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7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7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78" s="50">
        <f>IF(AND(CRC_War_Room_SIMs[[#This Row],[CI]] = 0, CRC_War_Room_SIMs[[#This Row],[Miss]] = 1), 1, 0)</f>
        <v>0</v>
      </c>
      <c r="N67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78" s="49">
        <f>IF(AND(CRC_War_Room_SIMs[[#This Row],[Excluded]] = 0, OR(CRC_War_Room_SIMs[[#This Row],[False Resolution Miss]] &lt;&gt; "", ISNUMBER(SEARCH("False Resolution", CRC_War_Room_SIMs[[#This Row],[Labels]])))), 1, 0)</f>
        <v>0</v>
      </c>
      <c r="P678" s="50">
        <f>IF(AND(CRC_War_Room_SIMs[[#This Row],[Excluded]] = 0, OR(CRC_War_Room_SIMs[[#This Row],[SLA Miss]] &lt;&gt; "", ISNUMBER(SEARCH("SLA", CRC_War_Room_SIMs[[#This Row],[Labels]])))), 1, 0)</f>
        <v>0</v>
      </c>
    </row>
    <row r="679" spans="1:16" x14ac:dyDescent="0.25">
      <c r="A679" t="s">
        <v>3249</v>
      </c>
      <c r="B679" t="s">
        <v>3033</v>
      </c>
      <c r="C679" t="s">
        <v>3034</v>
      </c>
      <c r="H67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79" s="49">
        <f ca="1">IFERROR(WEEKNUM(CRC_War_Room_SIMs[[#This Row],[Ops Date]]), "N/A")</f>
        <v>30</v>
      </c>
      <c r="J67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7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7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79" s="50">
        <f>IF(AND(CRC_War_Room_SIMs[[#This Row],[CI]] = 0, CRC_War_Room_SIMs[[#This Row],[Miss]] = 1), 1, 0)</f>
        <v>0</v>
      </c>
      <c r="N67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79" s="49">
        <f>IF(AND(CRC_War_Room_SIMs[[#This Row],[Excluded]] = 0, OR(CRC_War_Room_SIMs[[#This Row],[False Resolution Miss]] &lt;&gt; "", ISNUMBER(SEARCH("False Resolution", CRC_War_Room_SIMs[[#This Row],[Labels]])))), 1, 0)</f>
        <v>0</v>
      </c>
      <c r="P679" s="50">
        <f>IF(AND(CRC_War_Room_SIMs[[#This Row],[Excluded]] = 0, OR(CRC_War_Room_SIMs[[#This Row],[SLA Miss]] &lt;&gt; "", ISNUMBER(SEARCH("SLA", CRC_War_Room_SIMs[[#This Row],[Labels]])))), 1, 0)</f>
        <v>0</v>
      </c>
    </row>
    <row r="680" spans="1:16" x14ac:dyDescent="0.25">
      <c r="A680" t="s">
        <v>3250</v>
      </c>
      <c r="B680" t="s">
        <v>3033</v>
      </c>
      <c r="C680" t="s">
        <v>3034</v>
      </c>
      <c r="H68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80" s="49">
        <f ca="1">IFERROR(WEEKNUM(CRC_War_Room_SIMs[[#This Row],[Ops Date]]), "N/A")</f>
        <v>30</v>
      </c>
      <c r="J68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8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8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80" s="50">
        <f>IF(AND(CRC_War_Room_SIMs[[#This Row],[CI]] = 0, CRC_War_Room_SIMs[[#This Row],[Miss]] = 1), 1, 0)</f>
        <v>0</v>
      </c>
      <c r="N68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80" s="49">
        <f>IF(AND(CRC_War_Room_SIMs[[#This Row],[Excluded]] = 0, OR(CRC_War_Room_SIMs[[#This Row],[False Resolution Miss]] &lt;&gt; "", ISNUMBER(SEARCH("False Resolution", CRC_War_Room_SIMs[[#This Row],[Labels]])))), 1, 0)</f>
        <v>0</v>
      </c>
      <c r="P680" s="50">
        <f>IF(AND(CRC_War_Room_SIMs[[#This Row],[Excluded]] = 0, OR(CRC_War_Room_SIMs[[#This Row],[SLA Miss]] &lt;&gt; "", ISNUMBER(SEARCH("SLA", CRC_War_Room_SIMs[[#This Row],[Labels]])))), 1, 0)</f>
        <v>0</v>
      </c>
    </row>
    <row r="681" spans="1:16" x14ac:dyDescent="0.25">
      <c r="A681" t="s">
        <v>3251</v>
      </c>
      <c r="B681" t="s">
        <v>3033</v>
      </c>
      <c r="C681" t="s">
        <v>3034</v>
      </c>
      <c r="H68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81" s="49">
        <f ca="1">IFERROR(WEEKNUM(CRC_War_Room_SIMs[[#This Row],[Ops Date]]), "N/A")</f>
        <v>30</v>
      </c>
      <c r="J68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8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8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81" s="50">
        <f>IF(AND(CRC_War_Room_SIMs[[#This Row],[CI]] = 0, CRC_War_Room_SIMs[[#This Row],[Miss]] = 1), 1, 0)</f>
        <v>0</v>
      </c>
      <c r="N68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81" s="49">
        <f>IF(AND(CRC_War_Room_SIMs[[#This Row],[Excluded]] = 0, OR(CRC_War_Room_SIMs[[#This Row],[False Resolution Miss]] &lt;&gt; "", ISNUMBER(SEARCH("False Resolution", CRC_War_Room_SIMs[[#This Row],[Labels]])))), 1, 0)</f>
        <v>0</v>
      </c>
      <c r="P681" s="50">
        <f>IF(AND(CRC_War_Room_SIMs[[#This Row],[Excluded]] = 0, OR(CRC_War_Room_SIMs[[#This Row],[SLA Miss]] &lt;&gt; "", ISNUMBER(SEARCH("SLA", CRC_War_Room_SIMs[[#This Row],[Labels]])))), 1, 0)</f>
        <v>0</v>
      </c>
    </row>
    <row r="682" spans="1:16" x14ac:dyDescent="0.25">
      <c r="A682" t="s">
        <v>3252</v>
      </c>
      <c r="B682" t="s">
        <v>3033</v>
      </c>
      <c r="C682" t="s">
        <v>3034</v>
      </c>
      <c r="H68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82" s="49">
        <f ca="1">IFERROR(WEEKNUM(CRC_War_Room_SIMs[[#This Row],[Ops Date]]), "N/A")</f>
        <v>30</v>
      </c>
      <c r="J68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8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8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82" s="50">
        <f>IF(AND(CRC_War_Room_SIMs[[#This Row],[CI]] = 0, CRC_War_Room_SIMs[[#This Row],[Miss]] = 1), 1, 0)</f>
        <v>0</v>
      </c>
      <c r="N68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82" s="49">
        <f>IF(AND(CRC_War_Room_SIMs[[#This Row],[Excluded]] = 0, OR(CRC_War_Room_SIMs[[#This Row],[False Resolution Miss]] &lt;&gt; "", ISNUMBER(SEARCH("False Resolution", CRC_War_Room_SIMs[[#This Row],[Labels]])))), 1, 0)</f>
        <v>0</v>
      </c>
      <c r="P682" s="50">
        <f>IF(AND(CRC_War_Room_SIMs[[#This Row],[Excluded]] = 0, OR(CRC_War_Room_SIMs[[#This Row],[SLA Miss]] &lt;&gt; "", ISNUMBER(SEARCH("SLA", CRC_War_Room_SIMs[[#This Row],[Labels]])))), 1, 0)</f>
        <v>0</v>
      </c>
    </row>
    <row r="683" spans="1:16" x14ac:dyDescent="0.25">
      <c r="A683" t="s">
        <v>3253</v>
      </c>
      <c r="B683" t="s">
        <v>3033</v>
      </c>
      <c r="C683" t="s">
        <v>3034</v>
      </c>
      <c r="H68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83" s="49">
        <f ca="1">IFERROR(WEEKNUM(CRC_War_Room_SIMs[[#This Row],[Ops Date]]), "N/A")</f>
        <v>30</v>
      </c>
      <c r="J68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8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8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83" s="50">
        <f>IF(AND(CRC_War_Room_SIMs[[#This Row],[CI]] = 0, CRC_War_Room_SIMs[[#This Row],[Miss]] = 1), 1, 0)</f>
        <v>0</v>
      </c>
      <c r="N68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83" s="49">
        <f>IF(AND(CRC_War_Room_SIMs[[#This Row],[Excluded]] = 0, OR(CRC_War_Room_SIMs[[#This Row],[False Resolution Miss]] &lt;&gt; "", ISNUMBER(SEARCH("False Resolution", CRC_War_Room_SIMs[[#This Row],[Labels]])))), 1, 0)</f>
        <v>0</v>
      </c>
      <c r="P683" s="50">
        <f>IF(AND(CRC_War_Room_SIMs[[#This Row],[Excluded]] = 0, OR(CRC_War_Room_SIMs[[#This Row],[SLA Miss]] &lt;&gt; "", ISNUMBER(SEARCH("SLA", CRC_War_Room_SIMs[[#This Row],[Labels]])))), 1, 0)</f>
        <v>0</v>
      </c>
    </row>
    <row r="684" spans="1:16" x14ac:dyDescent="0.25">
      <c r="A684" t="s">
        <v>3254</v>
      </c>
      <c r="B684" t="s">
        <v>3033</v>
      </c>
      <c r="C684" t="s">
        <v>3034</v>
      </c>
      <c r="H68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84" s="49">
        <f ca="1">IFERROR(WEEKNUM(CRC_War_Room_SIMs[[#This Row],[Ops Date]]), "N/A")</f>
        <v>30</v>
      </c>
      <c r="J68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8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8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84" s="50">
        <f>IF(AND(CRC_War_Room_SIMs[[#This Row],[CI]] = 0, CRC_War_Room_SIMs[[#This Row],[Miss]] = 1), 1, 0)</f>
        <v>0</v>
      </c>
      <c r="N68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84" s="49">
        <f>IF(AND(CRC_War_Room_SIMs[[#This Row],[Excluded]] = 0, OR(CRC_War_Room_SIMs[[#This Row],[False Resolution Miss]] &lt;&gt; "", ISNUMBER(SEARCH("False Resolution", CRC_War_Room_SIMs[[#This Row],[Labels]])))), 1, 0)</f>
        <v>0</v>
      </c>
      <c r="P684" s="50">
        <f>IF(AND(CRC_War_Room_SIMs[[#This Row],[Excluded]] = 0, OR(CRC_War_Room_SIMs[[#This Row],[SLA Miss]] &lt;&gt; "", ISNUMBER(SEARCH("SLA", CRC_War_Room_SIMs[[#This Row],[Labels]])))), 1, 0)</f>
        <v>0</v>
      </c>
    </row>
    <row r="685" spans="1:16" x14ac:dyDescent="0.25">
      <c r="A685" t="s">
        <v>3255</v>
      </c>
      <c r="B685" t="s">
        <v>3033</v>
      </c>
      <c r="C685" t="s">
        <v>3034</v>
      </c>
      <c r="H68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85" s="49">
        <f ca="1">IFERROR(WEEKNUM(CRC_War_Room_SIMs[[#This Row],[Ops Date]]), "N/A")</f>
        <v>30</v>
      </c>
      <c r="J68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8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8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85" s="50">
        <f>IF(AND(CRC_War_Room_SIMs[[#This Row],[CI]] = 0, CRC_War_Room_SIMs[[#This Row],[Miss]] = 1), 1, 0)</f>
        <v>0</v>
      </c>
      <c r="N68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85" s="49">
        <f>IF(AND(CRC_War_Room_SIMs[[#This Row],[Excluded]] = 0, OR(CRC_War_Room_SIMs[[#This Row],[False Resolution Miss]] &lt;&gt; "", ISNUMBER(SEARCH("False Resolution", CRC_War_Room_SIMs[[#This Row],[Labels]])))), 1, 0)</f>
        <v>0</v>
      </c>
      <c r="P685" s="50">
        <f>IF(AND(CRC_War_Room_SIMs[[#This Row],[Excluded]] = 0, OR(CRC_War_Room_SIMs[[#This Row],[SLA Miss]] &lt;&gt; "", ISNUMBER(SEARCH("SLA", CRC_War_Room_SIMs[[#This Row],[Labels]])))), 1, 0)</f>
        <v>0</v>
      </c>
    </row>
    <row r="686" spans="1:16" x14ac:dyDescent="0.25">
      <c r="A686" t="s">
        <v>3256</v>
      </c>
      <c r="B686" t="s">
        <v>3257</v>
      </c>
      <c r="C686" t="s">
        <v>3034</v>
      </c>
      <c r="H68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86" s="49">
        <f ca="1">IFERROR(WEEKNUM(CRC_War_Room_SIMs[[#This Row],[Ops Date]]), "N/A")</f>
        <v>30</v>
      </c>
      <c r="J68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8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8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86" s="50">
        <f>IF(AND(CRC_War_Room_SIMs[[#This Row],[CI]] = 0, CRC_War_Room_SIMs[[#This Row],[Miss]] = 1), 1, 0)</f>
        <v>0</v>
      </c>
      <c r="N68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86" s="49">
        <f>IF(AND(CRC_War_Room_SIMs[[#This Row],[Excluded]] = 0, OR(CRC_War_Room_SIMs[[#This Row],[False Resolution Miss]] &lt;&gt; "", ISNUMBER(SEARCH("False Resolution", CRC_War_Room_SIMs[[#This Row],[Labels]])))), 1, 0)</f>
        <v>0</v>
      </c>
      <c r="P686" s="50">
        <f>IF(AND(CRC_War_Room_SIMs[[#This Row],[Excluded]] = 0, OR(CRC_War_Room_SIMs[[#This Row],[SLA Miss]] &lt;&gt; "", ISNUMBER(SEARCH("SLA", CRC_War_Room_SIMs[[#This Row],[Labels]])))), 1, 0)</f>
        <v>0</v>
      </c>
    </row>
    <row r="687" spans="1:16" x14ac:dyDescent="0.25">
      <c r="A687" t="s">
        <v>3258</v>
      </c>
      <c r="B687" t="s">
        <v>3257</v>
      </c>
      <c r="C687" t="s">
        <v>3034</v>
      </c>
      <c r="H68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87" s="49">
        <f ca="1">IFERROR(WEEKNUM(CRC_War_Room_SIMs[[#This Row],[Ops Date]]), "N/A")</f>
        <v>30</v>
      </c>
      <c r="J68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8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8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87" s="50">
        <f>IF(AND(CRC_War_Room_SIMs[[#This Row],[CI]] = 0, CRC_War_Room_SIMs[[#This Row],[Miss]] = 1), 1, 0)</f>
        <v>0</v>
      </c>
      <c r="N68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87" s="49">
        <f>IF(AND(CRC_War_Room_SIMs[[#This Row],[Excluded]] = 0, OR(CRC_War_Room_SIMs[[#This Row],[False Resolution Miss]] &lt;&gt; "", ISNUMBER(SEARCH("False Resolution", CRC_War_Room_SIMs[[#This Row],[Labels]])))), 1, 0)</f>
        <v>0</v>
      </c>
      <c r="P687" s="50">
        <f>IF(AND(CRC_War_Room_SIMs[[#This Row],[Excluded]] = 0, OR(CRC_War_Room_SIMs[[#This Row],[SLA Miss]] &lt;&gt; "", ISNUMBER(SEARCH("SLA", CRC_War_Room_SIMs[[#This Row],[Labels]])))), 1, 0)</f>
        <v>0</v>
      </c>
    </row>
    <row r="688" spans="1:16" x14ac:dyDescent="0.25">
      <c r="A688" t="s">
        <v>3259</v>
      </c>
      <c r="B688" t="s">
        <v>3257</v>
      </c>
      <c r="C688" t="s">
        <v>3034</v>
      </c>
      <c r="H68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88" s="49">
        <f ca="1">IFERROR(WEEKNUM(CRC_War_Room_SIMs[[#This Row],[Ops Date]]), "N/A")</f>
        <v>30</v>
      </c>
      <c r="J68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8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8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88" s="50">
        <f>IF(AND(CRC_War_Room_SIMs[[#This Row],[CI]] = 0, CRC_War_Room_SIMs[[#This Row],[Miss]] = 1), 1, 0)</f>
        <v>0</v>
      </c>
      <c r="N68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88" s="49">
        <f>IF(AND(CRC_War_Room_SIMs[[#This Row],[Excluded]] = 0, OR(CRC_War_Room_SIMs[[#This Row],[False Resolution Miss]] &lt;&gt; "", ISNUMBER(SEARCH("False Resolution", CRC_War_Room_SIMs[[#This Row],[Labels]])))), 1, 0)</f>
        <v>0</v>
      </c>
      <c r="P688" s="50">
        <f>IF(AND(CRC_War_Room_SIMs[[#This Row],[Excluded]] = 0, OR(CRC_War_Room_SIMs[[#This Row],[SLA Miss]] &lt;&gt; "", ISNUMBER(SEARCH("SLA", CRC_War_Room_SIMs[[#This Row],[Labels]])))), 1, 0)</f>
        <v>0</v>
      </c>
    </row>
    <row r="689" spans="1:16" x14ac:dyDescent="0.25">
      <c r="A689" t="s">
        <v>3260</v>
      </c>
      <c r="B689" t="s">
        <v>3257</v>
      </c>
      <c r="C689" t="s">
        <v>3034</v>
      </c>
      <c r="H68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45495</v>
      </c>
      <c r="I689" s="49">
        <f ca="1">IFERROR(WEEKNUM(CRC_War_Room_SIMs[[#This Row],[Ops Date]]), "N/A")</f>
        <v>30</v>
      </c>
      <c r="J68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8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8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89" s="50">
        <f>IF(AND(CRC_War_Room_SIMs[[#This Row],[CI]] = 0, CRC_War_Room_SIMs[[#This Row],[Miss]] = 1), 1, 0)</f>
        <v>0</v>
      </c>
      <c r="N68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89" s="49">
        <f>IF(AND(CRC_War_Room_SIMs[[#This Row],[Excluded]] = 0, OR(CRC_War_Room_SIMs[[#This Row],[False Resolution Miss]] &lt;&gt; "", ISNUMBER(SEARCH("False Resolution", CRC_War_Room_SIMs[[#This Row],[Labels]])))), 1, 0)</f>
        <v>0</v>
      </c>
      <c r="P689" s="50">
        <f>IF(AND(CRC_War_Room_SIMs[[#This Row],[Excluded]] = 0, OR(CRC_War_Room_SIMs[[#This Row],[SLA Miss]] &lt;&gt; "", ISNUMBER(SEARCH("SLA", CRC_War_Room_SIMs[[#This Row],[Labels]])))), 1, 0)</f>
        <v>0</v>
      </c>
    </row>
    <row r="690" spans="1:16" x14ac:dyDescent="0.25">
      <c r="A690" t="s">
        <v>3261</v>
      </c>
      <c r="B690" t="s">
        <v>3262</v>
      </c>
      <c r="C690" t="s">
        <v>3263</v>
      </c>
      <c r="E690" t="s">
        <v>2490</v>
      </c>
      <c r="H69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690" s="49">
        <f ca="1">IFERROR(WEEKNUM(CRC_War_Room_SIMs[[#This Row],[Ops Date]]), "N/A")</f>
        <v>28</v>
      </c>
      <c r="J690" s="49">
        <f>IF(OR(ISNUMBER(SEARCH("Excluded", CRC_War_Room_SIMs[[#This Row],[Labels]])), ISNUMBER(SEARCH("Quality", CRC_War_Room_SIMs[[#This Row],[Data Status]])), ISNUMBER(SEARCH("Exception", CRC_War_Room_SIMs[[#This Row],[Data Status]]))), 1, 0)</f>
        <v>1</v>
      </c>
      <c r="K69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9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90" s="50">
        <f>IF(AND(CRC_War_Room_SIMs[[#This Row],[CI]] = 0, CRC_War_Room_SIMs[[#This Row],[Miss]] = 1), 1, 0)</f>
        <v>0</v>
      </c>
      <c r="N69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90" s="49">
        <f>IF(AND(CRC_War_Room_SIMs[[#This Row],[Excluded]] = 0, OR(CRC_War_Room_SIMs[[#This Row],[False Resolution Miss]] &lt;&gt; "", ISNUMBER(SEARCH("False Resolution", CRC_War_Room_SIMs[[#This Row],[Labels]])))), 1, 0)</f>
        <v>0</v>
      </c>
      <c r="P690" s="50">
        <f>IF(AND(CRC_War_Room_SIMs[[#This Row],[Excluded]] = 0, OR(CRC_War_Room_SIMs[[#This Row],[SLA Miss]] &lt;&gt; "", ISNUMBER(SEARCH("SLA", CRC_War_Room_SIMs[[#This Row],[Labels]])))), 1, 0)</f>
        <v>0</v>
      </c>
    </row>
    <row r="691" spans="1:16" x14ac:dyDescent="0.25">
      <c r="A691" t="s">
        <v>3264</v>
      </c>
      <c r="B691" t="s">
        <v>3265</v>
      </c>
      <c r="C691" t="s">
        <v>3266</v>
      </c>
      <c r="D691" t="s">
        <v>1453</v>
      </c>
      <c r="H69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691" s="49">
        <f ca="1">IFERROR(WEEKNUM(CRC_War_Room_SIMs[[#This Row],[Ops Date]]), "N/A")</f>
        <v>29</v>
      </c>
      <c r="J691" s="49">
        <f>IF(OR(ISNUMBER(SEARCH("Excluded", CRC_War_Room_SIMs[[#This Row],[Labels]])), ISNUMBER(SEARCH("Quality", CRC_War_Room_SIMs[[#This Row],[Data Status]])), ISNUMBER(SEARCH("Exception", CRC_War_Room_SIMs[[#This Row],[Data Status]]))), 1, 0)</f>
        <v>1</v>
      </c>
      <c r="K69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9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91" s="50">
        <f>IF(AND(CRC_War_Room_SIMs[[#This Row],[CI]] = 0, CRC_War_Room_SIMs[[#This Row],[Miss]] = 1), 1, 0)</f>
        <v>0</v>
      </c>
      <c r="N69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91" s="49">
        <f>IF(AND(CRC_War_Room_SIMs[[#This Row],[Excluded]] = 0, OR(CRC_War_Room_SIMs[[#This Row],[False Resolution Miss]] &lt;&gt; "", ISNUMBER(SEARCH("False Resolution", CRC_War_Room_SIMs[[#This Row],[Labels]])))), 1, 0)</f>
        <v>0</v>
      </c>
      <c r="P691" s="50">
        <f>IF(AND(CRC_War_Room_SIMs[[#This Row],[Excluded]] = 0, OR(CRC_War_Room_SIMs[[#This Row],[SLA Miss]] &lt;&gt; "", ISNUMBER(SEARCH("SLA", CRC_War_Room_SIMs[[#This Row],[Labels]])))), 1, 0)</f>
        <v>0</v>
      </c>
    </row>
    <row r="692" spans="1:16" x14ac:dyDescent="0.25">
      <c r="A692" t="s">
        <v>3267</v>
      </c>
      <c r="B692" t="s">
        <v>3268</v>
      </c>
      <c r="C692" t="s">
        <v>3269</v>
      </c>
      <c r="H69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692" s="49">
        <f ca="1">IFERROR(WEEKNUM(CRC_War_Room_SIMs[[#This Row],[Ops Date]]), "N/A")</f>
        <v>30</v>
      </c>
      <c r="J69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9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9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92" s="50">
        <f>IF(AND(CRC_War_Room_SIMs[[#This Row],[CI]] = 0, CRC_War_Room_SIMs[[#This Row],[Miss]] = 1), 1, 0)</f>
        <v>0</v>
      </c>
      <c r="N69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92" s="49">
        <f>IF(AND(CRC_War_Room_SIMs[[#This Row],[Excluded]] = 0, OR(CRC_War_Room_SIMs[[#This Row],[False Resolution Miss]] &lt;&gt; "", ISNUMBER(SEARCH("False Resolution", CRC_War_Room_SIMs[[#This Row],[Labels]])))), 1, 0)</f>
        <v>0</v>
      </c>
      <c r="P692" s="50">
        <f>IF(AND(CRC_War_Room_SIMs[[#This Row],[Excluded]] = 0, OR(CRC_War_Room_SIMs[[#This Row],[SLA Miss]] &lt;&gt; "", ISNUMBER(SEARCH("SLA", CRC_War_Room_SIMs[[#This Row],[Labels]])))), 1, 0)</f>
        <v>0</v>
      </c>
    </row>
    <row r="693" spans="1:16" x14ac:dyDescent="0.25">
      <c r="A693" t="s">
        <v>3270</v>
      </c>
      <c r="B693" t="s">
        <v>3271</v>
      </c>
      <c r="C693" t="s">
        <v>3269</v>
      </c>
      <c r="H69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693" s="49">
        <f ca="1">IFERROR(WEEKNUM(CRC_War_Room_SIMs[[#This Row],[Ops Date]]), "N/A")</f>
        <v>30</v>
      </c>
      <c r="J69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9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9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93" s="50">
        <f>IF(AND(CRC_War_Room_SIMs[[#This Row],[CI]] = 0, CRC_War_Room_SIMs[[#This Row],[Miss]] = 1), 1, 0)</f>
        <v>0</v>
      </c>
      <c r="N69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93" s="49">
        <f>IF(AND(CRC_War_Room_SIMs[[#This Row],[Excluded]] = 0, OR(CRC_War_Room_SIMs[[#This Row],[False Resolution Miss]] &lt;&gt; "", ISNUMBER(SEARCH("False Resolution", CRC_War_Room_SIMs[[#This Row],[Labels]])))), 1, 0)</f>
        <v>0</v>
      </c>
      <c r="P693" s="50">
        <f>IF(AND(CRC_War_Room_SIMs[[#This Row],[Excluded]] = 0, OR(CRC_War_Room_SIMs[[#This Row],[SLA Miss]] &lt;&gt; "", ISNUMBER(SEARCH("SLA", CRC_War_Room_SIMs[[#This Row],[Labels]])))), 1, 0)</f>
        <v>0</v>
      </c>
    </row>
    <row r="694" spans="1:16" x14ac:dyDescent="0.25">
      <c r="A694" t="s">
        <v>3272</v>
      </c>
      <c r="B694" t="s">
        <v>2578</v>
      </c>
      <c r="C694" t="s">
        <v>3269</v>
      </c>
      <c r="H69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694" s="49">
        <f ca="1">IFERROR(WEEKNUM(CRC_War_Room_SIMs[[#This Row],[Ops Date]]), "N/A")</f>
        <v>30</v>
      </c>
      <c r="J69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9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9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94" s="50">
        <f>IF(AND(CRC_War_Room_SIMs[[#This Row],[CI]] = 0, CRC_War_Room_SIMs[[#This Row],[Miss]] = 1), 1, 0)</f>
        <v>0</v>
      </c>
      <c r="N69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94" s="49">
        <f>IF(AND(CRC_War_Room_SIMs[[#This Row],[Excluded]] = 0, OR(CRC_War_Room_SIMs[[#This Row],[False Resolution Miss]] &lt;&gt; "", ISNUMBER(SEARCH("False Resolution", CRC_War_Room_SIMs[[#This Row],[Labels]])))), 1, 0)</f>
        <v>0</v>
      </c>
      <c r="P694" s="50">
        <f>IF(AND(CRC_War_Room_SIMs[[#This Row],[Excluded]] = 0, OR(CRC_War_Room_SIMs[[#This Row],[SLA Miss]] &lt;&gt; "", ISNUMBER(SEARCH("SLA", CRC_War_Room_SIMs[[#This Row],[Labels]])))), 1, 0)</f>
        <v>0</v>
      </c>
    </row>
    <row r="695" spans="1:16" x14ac:dyDescent="0.25">
      <c r="A695" t="s">
        <v>3273</v>
      </c>
      <c r="B695" t="s">
        <v>3268</v>
      </c>
      <c r="C695" t="s">
        <v>3269</v>
      </c>
      <c r="H69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695" s="49">
        <f ca="1">IFERROR(WEEKNUM(CRC_War_Room_SIMs[[#This Row],[Ops Date]]), "N/A")</f>
        <v>30</v>
      </c>
      <c r="J69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9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9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95" s="50">
        <f>IF(AND(CRC_War_Room_SIMs[[#This Row],[CI]] = 0, CRC_War_Room_SIMs[[#This Row],[Miss]] = 1), 1, 0)</f>
        <v>0</v>
      </c>
      <c r="N69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95" s="49">
        <f>IF(AND(CRC_War_Room_SIMs[[#This Row],[Excluded]] = 0, OR(CRC_War_Room_SIMs[[#This Row],[False Resolution Miss]] &lt;&gt; "", ISNUMBER(SEARCH("False Resolution", CRC_War_Room_SIMs[[#This Row],[Labels]])))), 1, 0)</f>
        <v>0</v>
      </c>
      <c r="P695" s="50">
        <f>IF(AND(CRC_War_Room_SIMs[[#This Row],[Excluded]] = 0, OR(CRC_War_Room_SIMs[[#This Row],[SLA Miss]] &lt;&gt; "", ISNUMBER(SEARCH("SLA", CRC_War_Room_SIMs[[#This Row],[Labels]])))), 1, 0)</f>
        <v>0</v>
      </c>
    </row>
    <row r="696" spans="1:16" x14ac:dyDescent="0.25">
      <c r="A696" t="s">
        <v>3274</v>
      </c>
      <c r="B696" t="s">
        <v>3275</v>
      </c>
      <c r="C696" t="s">
        <v>3269</v>
      </c>
      <c r="H69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696" s="49">
        <f ca="1">IFERROR(WEEKNUM(CRC_War_Room_SIMs[[#This Row],[Ops Date]]), "N/A")</f>
        <v>30</v>
      </c>
      <c r="J69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9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9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96" s="50">
        <f>IF(AND(CRC_War_Room_SIMs[[#This Row],[CI]] = 0, CRC_War_Room_SIMs[[#This Row],[Miss]] = 1), 1, 0)</f>
        <v>0</v>
      </c>
      <c r="N69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96" s="49">
        <f>IF(AND(CRC_War_Room_SIMs[[#This Row],[Excluded]] = 0, OR(CRC_War_Room_SIMs[[#This Row],[False Resolution Miss]] &lt;&gt; "", ISNUMBER(SEARCH("False Resolution", CRC_War_Room_SIMs[[#This Row],[Labels]])))), 1, 0)</f>
        <v>0</v>
      </c>
      <c r="P696" s="50">
        <f>IF(AND(CRC_War_Room_SIMs[[#This Row],[Excluded]] = 0, OR(CRC_War_Room_SIMs[[#This Row],[SLA Miss]] &lt;&gt; "", ISNUMBER(SEARCH("SLA", CRC_War_Room_SIMs[[#This Row],[Labels]])))), 1, 0)</f>
        <v>0</v>
      </c>
    </row>
    <row r="697" spans="1:16" x14ac:dyDescent="0.25">
      <c r="A697" t="s">
        <v>3276</v>
      </c>
      <c r="B697" t="s">
        <v>3275</v>
      </c>
      <c r="C697" t="s">
        <v>3269</v>
      </c>
      <c r="H69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697" s="49">
        <f ca="1">IFERROR(WEEKNUM(CRC_War_Room_SIMs[[#This Row],[Ops Date]]), "N/A")</f>
        <v>30</v>
      </c>
      <c r="J69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9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9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97" s="50">
        <f>IF(AND(CRC_War_Room_SIMs[[#This Row],[CI]] = 0, CRC_War_Room_SIMs[[#This Row],[Miss]] = 1), 1, 0)</f>
        <v>0</v>
      </c>
      <c r="N69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97" s="49">
        <f>IF(AND(CRC_War_Room_SIMs[[#This Row],[Excluded]] = 0, OR(CRC_War_Room_SIMs[[#This Row],[False Resolution Miss]] &lt;&gt; "", ISNUMBER(SEARCH("False Resolution", CRC_War_Room_SIMs[[#This Row],[Labels]])))), 1, 0)</f>
        <v>0</v>
      </c>
      <c r="P697" s="50">
        <f>IF(AND(CRC_War_Room_SIMs[[#This Row],[Excluded]] = 0, OR(CRC_War_Room_SIMs[[#This Row],[SLA Miss]] &lt;&gt; "", ISNUMBER(SEARCH("SLA", CRC_War_Room_SIMs[[#This Row],[Labels]])))), 1, 0)</f>
        <v>0</v>
      </c>
    </row>
    <row r="698" spans="1:16" x14ac:dyDescent="0.25">
      <c r="A698" t="s">
        <v>3277</v>
      </c>
      <c r="B698" t="s">
        <v>3275</v>
      </c>
      <c r="C698" t="s">
        <v>3269</v>
      </c>
      <c r="E698" t="s">
        <v>2473</v>
      </c>
      <c r="H69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698" s="49">
        <f ca="1">IFERROR(WEEKNUM(CRC_War_Room_SIMs[[#This Row],[Ops Date]]), "N/A")</f>
        <v>30</v>
      </c>
      <c r="J69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9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69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698" s="50">
        <f>IF(AND(CRC_War_Room_SIMs[[#This Row],[CI]] = 0, CRC_War_Room_SIMs[[#This Row],[Miss]] = 1), 1, 0)</f>
        <v>0</v>
      </c>
      <c r="N698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698" s="49">
        <f>IF(AND(CRC_War_Room_SIMs[[#This Row],[Excluded]] = 0, OR(CRC_War_Room_SIMs[[#This Row],[False Resolution Miss]] &lt;&gt; "", ISNUMBER(SEARCH("False Resolution", CRC_War_Room_SIMs[[#This Row],[Labels]])))), 1, 0)</f>
        <v>0</v>
      </c>
      <c r="P698" s="50">
        <f>IF(AND(CRC_War_Room_SIMs[[#This Row],[Excluded]] = 0, OR(CRC_War_Room_SIMs[[#This Row],[SLA Miss]] &lt;&gt; "", ISNUMBER(SEARCH("SLA", CRC_War_Room_SIMs[[#This Row],[Labels]])))), 1, 0)</f>
        <v>0</v>
      </c>
    </row>
    <row r="699" spans="1:16" x14ac:dyDescent="0.25">
      <c r="A699" t="s">
        <v>3278</v>
      </c>
      <c r="B699" t="s">
        <v>3275</v>
      </c>
      <c r="C699" t="s">
        <v>3269</v>
      </c>
      <c r="H69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699" s="49">
        <f ca="1">IFERROR(WEEKNUM(CRC_War_Room_SIMs[[#This Row],[Ops Date]]), "N/A")</f>
        <v>30</v>
      </c>
      <c r="J69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69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69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699" s="50">
        <f>IF(AND(CRC_War_Room_SIMs[[#This Row],[CI]] = 0, CRC_War_Room_SIMs[[#This Row],[Miss]] = 1), 1, 0)</f>
        <v>0</v>
      </c>
      <c r="N69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699" s="49">
        <f>IF(AND(CRC_War_Room_SIMs[[#This Row],[Excluded]] = 0, OR(CRC_War_Room_SIMs[[#This Row],[False Resolution Miss]] &lt;&gt; "", ISNUMBER(SEARCH("False Resolution", CRC_War_Room_SIMs[[#This Row],[Labels]])))), 1, 0)</f>
        <v>0</v>
      </c>
      <c r="P699" s="50">
        <f>IF(AND(CRC_War_Room_SIMs[[#This Row],[Excluded]] = 0, OR(CRC_War_Room_SIMs[[#This Row],[SLA Miss]] &lt;&gt; "", ISNUMBER(SEARCH("SLA", CRC_War_Room_SIMs[[#This Row],[Labels]])))), 1, 0)</f>
        <v>0</v>
      </c>
    </row>
    <row r="700" spans="1:16" x14ac:dyDescent="0.25">
      <c r="A700" t="s">
        <v>3279</v>
      </c>
      <c r="B700" t="s">
        <v>3275</v>
      </c>
      <c r="C700" t="s">
        <v>3269</v>
      </c>
      <c r="H70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00" s="49">
        <f ca="1">IFERROR(WEEKNUM(CRC_War_Room_SIMs[[#This Row],[Ops Date]]), "N/A")</f>
        <v>30</v>
      </c>
      <c r="J70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0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0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00" s="50">
        <f>IF(AND(CRC_War_Room_SIMs[[#This Row],[CI]] = 0, CRC_War_Room_SIMs[[#This Row],[Miss]] = 1), 1, 0)</f>
        <v>0</v>
      </c>
      <c r="N70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00" s="49">
        <f>IF(AND(CRC_War_Room_SIMs[[#This Row],[Excluded]] = 0, OR(CRC_War_Room_SIMs[[#This Row],[False Resolution Miss]] &lt;&gt; "", ISNUMBER(SEARCH("False Resolution", CRC_War_Room_SIMs[[#This Row],[Labels]])))), 1, 0)</f>
        <v>0</v>
      </c>
      <c r="P700" s="50">
        <f>IF(AND(CRC_War_Room_SIMs[[#This Row],[Excluded]] = 0, OR(CRC_War_Room_SIMs[[#This Row],[SLA Miss]] &lt;&gt; "", ISNUMBER(SEARCH("SLA", CRC_War_Room_SIMs[[#This Row],[Labels]])))), 1, 0)</f>
        <v>0</v>
      </c>
    </row>
    <row r="701" spans="1:16" x14ac:dyDescent="0.25">
      <c r="A701" t="s">
        <v>3280</v>
      </c>
      <c r="B701" t="s">
        <v>3275</v>
      </c>
      <c r="C701" t="s">
        <v>3269</v>
      </c>
      <c r="H70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01" s="49">
        <f ca="1">IFERROR(WEEKNUM(CRC_War_Room_SIMs[[#This Row],[Ops Date]]), "N/A")</f>
        <v>30</v>
      </c>
      <c r="J70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0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0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01" s="50">
        <f>IF(AND(CRC_War_Room_SIMs[[#This Row],[CI]] = 0, CRC_War_Room_SIMs[[#This Row],[Miss]] = 1), 1, 0)</f>
        <v>0</v>
      </c>
      <c r="N70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01" s="49">
        <f>IF(AND(CRC_War_Room_SIMs[[#This Row],[Excluded]] = 0, OR(CRC_War_Room_SIMs[[#This Row],[False Resolution Miss]] &lt;&gt; "", ISNUMBER(SEARCH("False Resolution", CRC_War_Room_SIMs[[#This Row],[Labels]])))), 1, 0)</f>
        <v>0</v>
      </c>
      <c r="P701" s="50">
        <f>IF(AND(CRC_War_Room_SIMs[[#This Row],[Excluded]] = 0, OR(CRC_War_Room_SIMs[[#This Row],[SLA Miss]] &lt;&gt; "", ISNUMBER(SEARCH("SLA", CRC_War_Room_SIMs[[#This Row],[Labels]])))), 1, 0)</f>
        <v>0</v>
      </c>
    </row>
    <row r="702" spans="1:16" x14ac:dyDescent="0.25">
      <c r="A702" t="s">
        <v>3281</v>
      </c>
      <c r="B702" t="s">
        <v>3275</v>
      </c>
      <c r="C702" t="s">
        <v>3269</v>
      </c>
      <c r="H70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02" s="49">
        <f ca="1">IFERROR(WEEKNUM(CRC_War_Room_SIMs[[#This Row],[Ops Date]]), "N/A")</f>
        <v>30</v>
      </c>
      <c r="J70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0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0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02" s="50">
        <f>IF(AND(CRC_War_Room_SIMs[[#This Row],[CI]] = 0, CRC_War_Room_SIMs[[#This Row],[Miss]] = 1), 1, 0)</f>
        <v>0</v>
      </c>
      <c r="N70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02" s="49">
        <f>IF(AND(CRC_War_Room_SIMs[[#This Row],[Excluded]] = 0, OR(CRC_War_Room_SIMs[[#This Row],[False Resolution Miss]] &lt;&gt; "", ISNUMBER(SEARCH("False Resolution", CRC_War_Room_SIMs[[#This Row],[Labels]])))), 1, 0)</f>
        <v>0</v>
      </c>
      <c r="P702" s="50">
        <f>IF(AND(CRC_War_Room_SIMs[[#This Row],[Excluded]] = 0, OR(CRC_War_Room_SIMs[[#This Row],[SLA Miss]] &lt;&gt; "", ISNUMBER(SEARCH("SLA", CRC_War_Room_SIMs[[#This Row],[Labels]])))), 1, 0)</f>
        <v>0</v>
      </c>
    </row>
    <row r="703" spans="1:16" x14ac:dyDescent="0.25">
      <c r="A703" t="s">
        <v>3282</v>
      </c>
      <c r="B703" t="s">
        <v>3275</v>
      </c>
      <c r="C703" t="s">
        <v>3269</v>
      </c>
      <c r="H70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03" s="49">
        <f ca="1">IFERROR(WEEKNUM(CRC_War_Room_SIMs[[#This Row],[Ops Date]]), "N/A")</f>
        <v>30</v>
      </c>
      <c r="J70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0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0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03" s="50">
        <f>IF(AND(CRC_War_Room_SIMs[[#This Row],[CI]] = 0, CRC_War_Room_SIMs[[#This Row],[Miss]] = 1), 1, 0)</f>
        <v>0</v>
      </c>
      <c r="N70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03" s="49">
        <f>IF(AND(CRC_War_Room_SIMs[[#This Row],[Excluded]] = 0, OR(CRC_War_Room_SIMs[[#This Row],[False Resolution Miss]] &lt;&gt; "", ISNUMBER(SEARCH("False Resolution", CRC_War_Room_SIMs[[#This Row],[Labels]])))), 1, 0)</f>
        <v>0</v>
      </c>
      <c r="P703" s="50">
        <f>IF(AND(CRC_War_Room_SIMs[[#This Row],[Excluded]] = 0, OR(CRC_War_Room_SIMs[[#This Row],[SLA Miss]] &lt;&gt; "", ISNUMBER(SEARCH("SLA", CRC_War_Room_SIMs[[#This Row],[Labels]])))), 1, 0)</f>
        <v>0</v>
      </c>
    </row>
    <row r="704" spans="1:16" x14ac:dyDescent="0.25">
      <c r="A704" t="s">
        <v>3283</v>
      </c>
      <c r="B704" t="s">
        <v>3275</v>
      </c>
      <c r="C704" t="s">
        <v>3269</v>
      </c>
      <c r="H70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04" s="49">
        <f ca="1">IFERROR(WEEKNUM(CRC_War_Room_SIMs[[#This Row],[Ops Date]]), "N/A")</f>
        <v>30</v>
      </c>
      <c r="J70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0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0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04" s="50">
        <f>IF(AND(CRC_War_Room_SIMs[[#This Row],[CI]] = 0, CRC_War_Room_SIMs[[#This Row],[Miss]] = 1), 1, 0)</f>
        <v>0</v>
      </c>
      <c r="N70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04" s="49">
        <f>IF(AND(CRC_War_Room_SIMs[[#This Row],[Excluded]] = 0, OR(CRC_War_Room_SIMs[[#This Row],[False Resolution Miss]] &lt;&gt; "", ISNUMBER(SEARCH("False Resolution", CRC_War_Room_SIMs[[#This Row],[Labels]])))), 1, 0)</f>
        <v>0</v>
      </c>
      <c r="P704" s="50">
        <f>IF(AND(CRC_War_Room_SIMs[[#This Row],[Excluded]] = 0, OR(CRC_War_Room_SIMs[[#This Row],[SLA Miss]] &lt;&gt; "", ISNUMBER(SEARCH("SLA", CRC_War_Room_SIMs[[#This Row],[Labels]])))), 1, 0)</f>
        <v>0</v>
      </c>
    </row>
    <row r="705" spans="1:16" x14ac:dyDescent="0.25">
      <c r="A705" t="s">
        <v>3284</v>
      </c>
      <c r="B705" t="s">
        <v>3285</v>
      </c>
      <c r="C705" t="s">
        <v>3286</v>
      </c>
      <c r="D705" t="s">
        <v>1453</v>
      </c>
      <c r="E705" t="s">
        <v>2490</v>
      </c>
      <c r="H70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705" s="49">
        <f ca="1">IFERROR(WEEKNUM(CRC_War_Room_SIMs[[#This Row],[Ops Date]]), "N/A")</f>
        <v>29</v>
      </c>
      <c r="J705" s="49">
        <f>IF(OR(ISNUMBER(SEARCH("Excluded", CRC_War_Room_SIMs[[#This Row],[Labels]])), ISNUMBER(SEARCH("Quality", CRC_War_Room_SIMs[[#This Row],[Data Status]])), ISNUMBER(SEARCH("Exception", CRC_War_Room_SIMs[[#This Row],[Data Status]]))), 1, 0)</f>
        <v>1</v>
      </c>
      <c r="K70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0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05" s="50">
        <f>IF(AND(CRC_War_Room_SIMs[[#This Row],[CI]] = 0, CRC_War_Room_SIMs[[#This Row],[Miss]] = 1), 1, 0)</f>
        <v>0</v>
      </c>
      <c r="N70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05" s="49">
        <f>IF(AND(CRC_War_Room_SIMs[[#This Row],[Excluded]] = 0, OR(CRC_War_Room_SIMs[[#This Row],[False Resolution Miss]] &lt;&gt; "", ISNUMBER(SEARCH("False Resolution", CRC_War_Room_SIMs[[#This Row],[Labels]])))), 1, 0)</f>
        <v>0</v>
      </c>
      <c r="P705" s="50">
        <f>IF(AND(CRC_War_Room_SIMs[[#This Row],[Excluded]] = 0, OR(CRC_War_Room_SIMs[[#This Row],[SLA Miss]] &lt;&gt; "", ISNUMBER(SEARCH("SLA", CRC_War_Room_SIMs[[#This Row],[Labels]])))), 1, 0)</f>
        <v>0</v>
      </c>
    </row>
    <row r="706" spans="1:16" x14ac:dyDescent="0.25">
      <c r="A706" t="s">
        <v>3287</v>
      </c>
      <c r="B706" t="s">
        <v>3275</v>
      </c>
      <c r="C706" t="s">
        <v>3269</v>
      </c>
      <c r="H70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06" s="49">
        <f ca="1">IFERROR(WEEKNUM(CRC_War_Room_SIMs[[#This Row],[Ops Date]]), "N/A")</f>
        <v>30</v>
      </c>
      <c r="J70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0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0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06" s="50">
        <f>IF(AND(CRC_War_Room_SIMs[[#This Row],[CI]] = 0, CRC_War_Room_SIMs[[#This Row],[Miss]] = 1), 1, 0)</f>
        <v>0</v>
      </c>
      <c r="N70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06" s="49">
        <f>IF(AND(CRC_War_Room_SIMs[[#This Row],[Excluded]] = 0, OR(CRC_War_Room_SIMs[[#This Row],[False Resolution Miss]] &lt;&gt; "", ISNUMBER(SEARCH("False Resolution", CRC_War_Room_SIMs[[#This Row],[Labels]])))), 1, 0)</f>
        <v>0</v>
      </c>
      <c r="P706" s="50">
        <f>IF(AND(CRC_War_Room_SIMs[[#This Row],[Excluded]] = 0, OR(CRC_War_Room_SIMs[[#This Row],[SLA Miss]] &lt;&gt; "", ISNUMBER(SEARCH("SLA", CRC_War_Room_SIMs[[#This Row],[Labels]])))), 1, 0)</f>
        <v>0</v>
      </c>
    </row>
    <row r="707" spans="1:16" x14ac:dyDescent="0.25">
      <c r="A707" t="s">
        <v>3288</v>
      </c>
      <c r="B707" t="s">
        <v>3275</v>
      </c>
      <c r="C707" t="s">
        <v>3269</v>
      </c>
      <c r="H70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07" s="49">
        <f ca="1">IFERROR(WEEKNUM(CRC_War_Room_SIMs[[#This Row],[Ops Date]]), "N/A")</f>
        <v>30</v>
      </c>
      <c r="J70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0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0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07" s="50">
        <f>IF(AND(CRC_War_Room_SIMs[[#This Row],[CI]] = 0, CRC_War_Room_SIMs[[#This Row],[Miss]] = 1), 1, 0)</f>
        <v>0</v>
      </c>
      <c r="N70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07" s="49">
        <f>IF(AND(CRC_War_Room_SIMs[[#This Row],[Excluded]] = 0, OR(CRC_War_Room_SIMs[[#This Row],[False Resolution Miss]] &lt;&gt; "", ISNUMBER(SEARCH("False Resolution", CRC_War_Room_SIMs[[#This Row],[Labels]])))), 1, 0)</f>
        <v>0</v>
      </c>
      <c r="P707" s="50">
        <f>IF(AND(CRC_War_Room_SIMs[[#This Row],[Excluded]] = 0, OR(CRC_War_Room_SIMs[[#This Row],[SLA Miss]] &lt;&gt; "", ISNUMBER(SEARCH("SLA", CRC_War_Room_SIMs[[#This Row],[Labels]])))), 1, 0)</f>
        <v>0</v>
      </c>
    </row>
    <row r="708" spans="1:16" x14ac:dyDescent="0.25">
      <c r="A708" t="s">
        <v>3289</v>
      </c>
      <c r="B708" t="s">
        <v>3275</v>
      </c>
      <c r="C708" t="s">
        <v>3269</v>
      </c>
      <c r="H70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08" s="49">
        <f ca="1">IFERROR(WEEKNUM(CRC_War_Room_SIMs[[#This Row],[Ops Date]]), "N/A")</f>
        <v>30</v>
      </c>
      <c r="J70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0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0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08" s="50">
        <f>IF(AND(CRC_War_Room_SIMs[[#This Row],[CI]] = 0, CRC_War_Room_SIMs[[#This Row],[Miss]] = 1), 1, 0)</f>
        <v>0</v>
      </c>
      <c r="N70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08" s="49">
        <f>IF(AND(CRC_War_Room_SIMs[[#This Row],[Excluded]] = 0, OR(CRC_War_Room_SIMs[[#This Row],[False Resolution Miss]] &lt;&gt; "", ISNUMBER(SEARCH("False Resolution", CRC_War_Room_SIMs[[#This Row],[Labels]])))), 1, 0)</f>
        <v>0</v>
      </c>
      <c r="P708" s="50">
        <f>IF(AND(CRC_War_Room_SIMs[[#This Row],[Excluded]] = 0, OR(CRC_War_Room_SIMs[[#This Row],[SLA Miss]] &lt;&gt; "", ISNUMBER(SEARCH("SLA", CRC_War_Room_SIMs[[#This Row],[Labels]])))), 1, 0)</f>
        <v>0</v>
      </c>
    </row>
    <row r="709" spans="1:16" x14ac:dyDescent="0.25">
      <c r="A709" t="s">
        <v>3290</v>
      </c>
      <c r="B709" t="s">
        <v>3275</v>
      </c>
      <c r="C709" t="s">
        <v>3269</v>
      </c>
      <c r="H70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09" s="49">
        <f ca="1">IFERROR(WEEKNUM(CRC_War_Room_SIMs[[#This Row],[Ops Date]]), "N/A")</f>
        <v>30</v>
      </c>
      <c r="J70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0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0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09" s="50">
        <f>IF(AND(CRC_War_Room_SIMs[[#This Row],[CI]] = 0, CRC_War_Room_SIMs[[#This Row],[Miss]] = 1), 1, 0)</f>
        <v>0</v>
      </c>
      <c r="N70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09" s="49">
        <f>IF(AND(CRC_War_Room_SIMs[[#This Row],[Excluded]] = 0, OR(CRC_War_Room_SIMs[[#This Row],[False Resolution Miss]] &lt;&gt; "", ISNUMBER(SEARCH("False Resolution", CRC_War_Room_SIMs[[#This Row],[Labels]])))), 1, 0)</f>
        <v>0</v>
      </c>
      <c r="P709" s="50">
        <f>IF(AND(CRC_War_Room_SIMs[[#This Row],[Excluded]] = 0, OR(CRC_War_Room_SIMs[[#This Row],[SLA Miss]] &lt;&gt; "", ISNUMBER(SEARCH("SLA", CRC_War_Room_SIMs[[#This Row],[Labels]])))), 1, 0)</f>
        <v>0</v>
      </c>
    </row>
    <row r="710" spans="1:16" x14ac:dyDescent="0.25">
      <c r="A710" t="s">
        <v>3291</v>
      </c>
      <c r="B710" t="s">
        <v>3275</v>
      </c>
      <c r="C710" t="s">
        <v>3269</v>
      </c>
      <c r="H71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10" s="49">
        <f ca="1">IFERROR(WEEKNUM(CRC_War_Room_SIMs[[#This Row],[Ops Date]]), "N/A")</f>
        <v>30</v>
      </c>
      <c r="J71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1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1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10" s="50">
        <f>IF(AND(CRC_War_Room_SIMs[[#This Row],[CI]] = 0, CRC_War_Room_SIMs[[#This Row],[Miss]] = 1), 1, 0)</f>
        <v>0</v>
      </c>
      <c r="N71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10" s="49">
        <f>IF(AND(CRC_War_Room_SIMs[[#This Row],[Excluded]] = 0, OR(CRC_War_Room_SIMs[[#This Row],[False Resolution Miss]] &lt;&gt; "", ISNUMBER(SEARCH("False Resolution", CRC_War_Room_SIMs[[#This Row],[Labels]])))), 1, 0)</f>
        <v>0</v>
      </c>
      <c r="P710" s="50">
        <f>IF(AND(CRC_War_Room_SIMs[[#This Row],[Excluded]] = 0, OR(CRC_War_Room_SIMs[[#This Row],[SLA Miss]] &lt;&gt; "", ISNUMBER(SEARCH("SLA", CRC_War_Room_SIMs[[#This Row],[Labels]])))), 1, 0)</f>
        <v>0</v>
      </c>
    </row>
    <row r="711" spans="1:16" x14ac:dyDescent="0.25">
      <c r="A711" t="s">
        <v>3292</v>
      </c>
      <c r="B711" t="s">
        <v>3275</v>
      </c>
      <c r="C711" t="s">
        <v>3269</v>
      </c>
      <c r="H71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11" s="49">
        <f ca="1">IFERROR(WEEKNUM(CRC_War_Room_SIMs[[#This Row],[Ops Date]]), "N/A")</f>
        <v>30</v>
      </c>
      <c r="J71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1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1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11" s="50">
        <f>IF(AND(CRC_War_Room_SIMs[[#This Row],[CI]] = 0, CRC_War_Room_SIMs[[#This Row],[Miss]] = 1), 1, 0)</f>
        <v>0</v>
      </c>
      <c r="N71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11" s="49">
        <f>IF(AND(CRC_War_Room_SIMs[[#This Row],[Excluded]] = 0, OR(CRC_War_Room_SIMs[[#This Row],[False Resolution Miss]] &lt;&gt; "", ISNUMBER(SEARCH("False Resolution", CRC_War_Room_SIMs[[#This Row],[Labels]])))), 1, 0)</f>
        <v>0</v>
      </c>
      <c r="P711" s="50">
        <f>IF(AND(CRC_War_Room_SIMs[[#This Row],[Excluded]] = 0, OR(CRC_War_Room_SIMs[[#This Row],[SLA Miss]] &lt;&gt; "", ISNUMBER(SEARCH("SLA", CRC_War_Room_SIMs[[#This Row],[Labels]])))), 1, 0)</f>
        <v>0</v>
      </c>
    </row>
    <row r="712" spans="1:16" x14ac:dyDescent="0.25">
      <c r="A712" t="s">
        <v>3293</v>
      </c>
      <c r="B712" t="s">
        <v>3271</v>
      </c>
      <c r="C712" t="s">
        <v>3269</v>
      </c>
      <c r="H71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12" s="49">
        <f ca="1">IFERROR(WEEKNUM(CRC_War_Room_SIMs[[#This Row],[Ops Date]]), "N/A")</f>
        <v>30</v>
      </c>
      <c r="J71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1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1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12" s="50">
        <f>IF(AND(CRC_War_Room_SIMs[[#This Row],[CI]] = 0, CRC_War_Room_SIMs[[#This Row],[Miss]] = 1), 1, 0)</f>
        <v>0</v>
      </c>
      <c r="N71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12" s="49">
        <f>IF(AND(CRC_War_Room_SIMs[[#This Row],[Excluded]] = 0, OR(CRC_War_Room_SIMs[[#This Row],[False Resolution Miss]] &lt;&gt; "", ISNUMBER(SEARCH("False Resolution", CRC_War_Room_SIMs[[#This Row],[Labels]])))), 1, 0)</f>
        <v>0</v>
      </c>
      <c r="P712" s="50">
        <f>IF(AND(CRC_War_Room_SIMs[[#This Row],[Excluded]] = 0, OR(CRC_War_Room_SIMs[[#This Row],[SLA Miss]] &lt;&gt; "", ISNUMBER(SEARCH("SLA", CRC_War_Room_SIMs[[#This Row],[Labels]])))), 1, 0)</f>
        <v>0</v>
      </c>
    </row>
    <row r="713" spans="1:16" x14ac:dyDescent="0.25">
      <c r="A713" t="s">
        <v>3294</v>
      </c>
      <c r="B713" t="s">
        <v>3275</v>
      </c>
      <c r="C713" t="s">
        <v>3269</v>
      </c>
      <c r="H71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13" s="49">
        <f ca="1">IFERROR(WEEKNUM(CRC_War_Room_SIMs[[#This Row],[Ops Date]]), "N/A")</f>
        <v>30</v>
      </c>
      <c r="J71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1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1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13" s="50">
        <f>IF(AND(CRC_War_Room_SIMs[[#This Row],[CI]] = 0, CRC_War_Room_SIMs[[#This Row],[Miss]] = 1), 1, 0)</f>
        <v>0</v>
      </c>
      <c r="N71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13" s="49">
        <f>IF(AND(CRC_War_Room_SIMs[[#This Row],[Excluded]] = 0, OR(CRC_War_Room_SIMs[[#This Row],[False Resolution Miss]] &lt;&gt; "", ISNUMBER(SEARCH("False Resolution", CRC_War_Room_SIMs[[#This Row],[Labels]])))), 1, 0)</f>
        <v>0</v>
      </c>
      <c r="P713" s="50">
        <f>IF(AND(CRC_War_Room_SIMs[[#This Row],[Excluded]] = 0, OR(CRC_War_Room_SIMs[[#This Row],[SLA Miss]] &lt;&gt; "", ISNUMBER(SEARCH("SLA", CRC_War_Room_SIMs[[#This Row],[Labels]])))), 1, 0)</f>
        <v>0</v>
      </c>
    </row>
    <row r="714" spans="1:16" x14ac:dyDescent="0.25">
      <c r="A714" t="s">
        <v>3295</v>
      </c>
      <c r="B714" t="s">
        <v>3275</v>
      </c>
      <c r="C714" t="s">
        <v>3269</v>
      </c>
      <c r="H71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14" s="49">
        <f ca="1">IFERROR(WEEKNUM(CRC_War_Room_SIMs[[#This Row],[Ops Date]]), "N/A")</f>
        <v>30</v>
      </c>
      <c r="J71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1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1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14" s="50">
        <f>IF(AND(CRC_War_Room_SIMs[[#This Row],[CI]] = 0, CRC_War_Room_SIMs[[#This Row],[Miss]] = 1), 1, 0)</f>
        <v>0</v>
      </c>
      <c r="N71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14" s="49">
        <f>IF(AND(CRC_War_Room_SIMs[[#This Row],[Excluded]] = 0, OR(CRC_War_Room_SIMs[[#This Row],[False Resolution Miss]] &lt;&gt; "", ISNUMBER(SEARCH("False Resolution", CRC_War_Room_SIMs[[#This Row],[Labels]])))), 1, 0)</f>
        <v>0</v>
      </c>
      <c r="P714" s="50">
        <f>IF(AND(CRC_War_Room_SIMs[[#This Row],[Excluded]] = 0, OR(CRC_War_Room_SIMs[[#This Row],[SLA Miss]] &lt;&gt; "", ISNUMBER(SEARCH("SLA", CRC_War_Room_SIMs[[#This Row],[Labels]])))), 1, 0)</f>
        <v>0</v>
      </c>
    </row>
    <row r="715" spans="1:16" x14ac:dyDescent="0.25">
      <c r="A715" t="s">
        <v>3296</v>
      </c>
      <c r="B715" t="s">
        <v>3297</v>
      </c>
      <c r="C715" t="s">
        <v>3269</v>
      </c>
      <c r="H71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15" s="49">
        <f ca="1">IFERROR(WEEKNUM(CRC_War_Room_SIMs[[#This Row],[Ops Date]]), "N/A")</f>
        <v>30</v>
      </c>
      <c r="J71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1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1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15" s="50">
        <f>IF(AND(CRC_War_Room_SIMs[[#This Row],[CI]] = 0, CRC_War_Room_SIMs[[#This Row],[Miss]] = 1), 1, 0)</f>
        <v>0</v>
      </c>
      <c r="N71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15" s="49">
        <f>IF(AND(CRC_War_Room_SIMs[[#This Row],[Excluded]] = 0, OR(CRC_War_Room_SIMs[[#This Row],[False Resolution Miss]] &lt;&gt; "", ISNUMBER(SEARCH("False Resolution", CRC_War_Room_SIMs[[#This Row],[Labels]])))), 1, 0)</f>
        <v>0</v>
      </c>
      <c r="P715" s="50">
        <f>IF(AND(CRC_War_Room_SIMs[[#This Row],[Excluded]] = 0, OR(CRC_War_Room_SIMs[[#This Row],[SLA Miss]] &lt;&gt; "", ISNUMBER(SEARCH("SLA", CRC_War_Room_SIMs[[#This Row],[Labels]])))), 1, 0)</f>
        <v>0</v>
      </c>
    </row>
    <row r="716" spans="1:16" x14ac:dyDescent="0.25">
      <c r="A716" t="s">
        <v>3298</v>
      </c>
      <c r="B716" t="s">
        <v>3271</v>
      </c>
      <c r="C716" t="s">
        <v>3269</v>
      </c>
      <c r="H71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16" s="49">
        <f ca="1">IFERROR(WEEKNUM(CRC_War_Room_SIMs[[#This Row],[Ops Date]]), "N/A")</f>
        <v>30</v>
      </c>
      <c r="J71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1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1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16" s="50">
        <f>IF(AND(CRC_War_Room_SIMs[[#This Row],[CI]] = 0, CRC_War_Room_SIMs[[#This Row],[Miss]] = 1), 1, 0)</f>
        <v>0</v>
      </c>
      <c r="N71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16" s="49">
        <f>IF(AND(CRC_War_Room_SIMs[[#This Row],[Excluded]] = 0, OR(CRC_War_Room_SIMs[[#This Row],[False Resolution Miss]] &lt;&gt; "", ISNUMBER(SEARCH("False Resolution", CRC_War_Room_SIMs[[#This Row],[Labels]])))), 1, 0)</f>
        <v>0</v>
      </c>
      <c r="P716" s="50">
        <f>IF(AND(CRC_War_Room_SIMs[[#This Row],[Excluded]] = 0, OR(CRC_War_Room_SIMs[[#This Row],[SLA Miss]] &lt;&gt; "", ISNUMBER(SEARCH("SLA", CRC_War_Room_SIMs[[#This Row],[Labels]])))), 1, 0)</f>
        <v>0</v>
      </c>
    </row>
    <row r="717" spans="1:16" x14ac:dyDescent="0.25">
      <c r="A717" t="s">
        <v>3299</v>
      </c>
      <c r="B717" t="s">
        <v>3271</v>
      </c>
      <c r="C717" t="s">
        <v>3269</v>
      </c>
      <c r="E717" t="s">
        <v>2490</v>
      </c>
      <c r="H71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17" s="49">
        <f ca="1">IFERROR(WEEKNUM(CRC_War_Room_SIMs[[#This Row],[Ops Date]]), "N/A")</f>
        <v>30</v>
      </c>
      <c r="J71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1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71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717" s="50">
        <f>IF(AND(CRC_War_Room_SIMs[[#This Row],[CI]] = 0, CRC_War_Room_SIMs[[#This Row],[Miss]] = 1), 1, 0)</f>
        <v>0</v>
      </c>
      <c r="N717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717" s="49">
        <f>IF(AND(CRC_War_Room_SIMs[[#This Row],[Excluded]] = 0, OR(CRC_War_Room_SIMs[[#This Row],[False Resolution Miss]] &lt;&gt; "", ISNUMBER(SEARCH("False Resolution", CRC_War_Room_SIMs[[#This Row],[Labels]])))), 1, 0)</f>
        <v>0</v>
      </c>
      <c r="P717" s="50">
        <f>IF(AND(CRC_War_Room_SIMs[[#This Row],[Excluded]] = 0, OR(CRC_War_Room_SIMs[[#This Row],[SLA Miss]] &lt;&gt; "", ISNUMBER(SEARCH("SLA", CRC_War_Room_SIMs[[#This Row],[Labels]])))), 1, 0)</f>
        <v>0</v>
      </c>
    </row>
    <row r="718" spans="1:16" x14ac:dyDescent="0.25">
      <c r="A718" t="s">
        <v>3300</v>
      </c>
      <c r="B718" t="s">
        <v>3271</v>
      </c>
      <c r="C718" t="s">
        <v>3269</v>
      </c>
      <c r="H71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18" s="49">
        <f ca="1">IFERROR(WEEKNUM(CRC_War_Room_SIMs[[#This Row],[Ops Date]]), "N/A")</f>
        <v>30</v>
      </c>
      <c r="J71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1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1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18" s="50">
        <f>IF(AND(CRC_War_Room_SIMs[[#This Row],[CI]] = 0, CRC_War_Room_SIMs[[#This Row],[Miss]] = 1), 1, 0)</f>
        <v>0</v>
      </c>
      <c r="N71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18" s="49">
        <f>IF(AND(CRC_War_Room_SIMs[[#This Row],[Excluded]] = 0, OR(CRC_War_Room_SIMs[[#This Row],[False Resolution Miss]] &lt;&gt; "", ISNUMBER(SEARCH("False Resolution", CRC_War_Room_SIMs[[#This Row],[Labels]])))), 1, 0)</f>
        <v>0</v>
      </c>
      <c r="P718" s="50">
        <f>IF(AND(CRC_War_Room_SIMs[[#This Row],[Excluded]] = 0, OR(CRC_War_Room_SIMs[[#This Row],[SLA Miss]] &lt;&gt; "", ISNUMBER(SEARCH("SLA", CRC_War_Room_SIMs[[#This Row],[Labels]])))), 1, 0)</f>
        <v>0</v>
      </c>
    </row>
    <row r="719" spans="1:16" x14ac:dyDescent="0.25">
      <c r="A719" t="s">
        <v>3301</v>
      </c>
      <c r="B719" t="s">
        <v>3271</v>
      </c>
      <c r="C719" t="s">
        <v>3269</v>
      </c>
      <c r="H71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19" s="49">
        <f ca="1">IFERROR(WEEKNUM(CRC_War_Room_SIMs[[#This Row],[Ops Date]]), "N/A")</f>
        <v>30</v>
      </c>
      <c r="J71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1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1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19" s="50">
        <f>IF(AND(CRC_War_Room_SIMs[[#This Row],[CI]] = 0, CRC_War_Room_SIMs[[#This Row],[Miss]] = 1), 1, 0)</f>
        <v>0</v>
      </c>
      <c r="N71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19" s="49">
        <f>IF(AND(CRC_War_Room_SIMs[[#This Row],[Excluded]] = 0, OR(CRC_War_Room_SIMs[[#This Row],[False Resolution Miss]] &lt;&gt; "", ISNUMBER(SEARCH("False Resolution", CRC_War_Room_SIMs[[#This Row],[Labels]])))), 1, 0)</f>
        <v>0</v>
      </c>
      <c r="P719" s="50">
        <f>IF(AND(CRC_War_Room_SIMs[[#This Row],[Excluded]] = 0, OR(CRC_War_Room_SIMs[[#This Row],[SLA Miss]] &lt;&gt; "", ISNUMBER(SEARCH("SLA", CRC_War_Room_SIMs[[#This Row],[Labels]])))), 1, 0)</f>
        <v>0</v>
      </c>
    </row>
    <row r="720" spans="1:16" x14ac:dyDescent="0.25">
      <c r="A720" t="s">
        <v>3302</v>
      </c>
      <c r="B720" t="s">
        <v>3303</v>
      </c>
      <c r="C720" t="s">
        <v>3304</v>
      </c>
      <c r="D720" t="s">
        <v>1453</v>
      </c>
      <c r="H72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720" s="49">
        <f ca="1">IFERROR(WEEKNUM(CRC_War_Room_SIMs[[#This Row],[Ops Date]]), "N/A")</f>
        <v>29</v>
      </c>
      <c r="J720" s="49">
        <f>IF(OR(ISNUMBER(SEARCH("Excluded", CRC_War_Room_SIMs[[#This Row],[Labels]])), ISNUMBER(SEARCH("Quality", CRC_War_Room_SIMs[[#This Row],[Data Status]])), ISNUMBER(SEARCH("Exception", CRC_War_Room_SIMs[[#This Row],[Data Status]]))), 1, 0)</f>
        <v>1</v>
      </c>
      <c r="K72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2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20" s="50">
        <f>IF(AND(CRC_War_Room_SIMs[[#This Row],[CI]] = 0, CRC_War_Room_SIMs[[#This Row],[Miss]] = 1), 1, 0)</f>
        <v>0</v>
      </c>
      <c r="N72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20" s="49">
        <f>IF(AND(CRC_War_Room_SIMs[[#This Row],[Excluded]] = 0, OR(CRC_War_Room_SIMs[[#This Row],[False Resolution Miss]] &lt;&gt; "", ISNUMBER(SEARCH("False Resolution", CRC_War_Room_SIMs[[#This Row],[Labels]])))), 1, 0)</f>
        <v>0</v>
      </c>
      <c r="P720" s="50">
        <f>IF(AND(CRC_War_Room_SIMs[[#This Row],[Excluded]] = 0, OR(CRC_War_Room_SIMs[[#This Row],[SLA Miss]] &lt;&gt; "", ISNUMBER(SEARCH("SLA", CRC_War_Room_SIMs[[#This Row],[Labels]])))), 1, 0)</f>
        <v>0</v>
      </c>
    </row>
    <row r="721" spans="1:16" x14ac:dyDescent="0.25">
      <c r="A721" t="s">
        <v>3305</v>
      </c>
      <c r="B721" t="s">
        <v>3271</v>
      </c>
      <c r="C721" t="s">
        <v>3269</v>
      </c>
      <c r="H72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21" s="49">
        <f ca="1">IFERROR(WEEKNUM(CRC_War_Room_SIMs[[#This Row],[Ops Date]]), "N/A")</f>
        <v>30</v>
      </c>
      <c r="J72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2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2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21" s="50">
        <f>IF(AND(CRC_War_Room_SIMs[[#This Row],[CI]] = 0, CRC_War_Room_SIMs[[#This Row],[Miss]] = 1), 1, 0)</f>
        <v>0</v>
      </c>
      <c r="N72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21" s="49">
        <f>IF(AND(CRC_War_Room_SIMs[[#This Row],[Excluded]] = 0, OR(CRC_War_Room_SIMs[[#This Row],[False Resolution Miss]] &lt;&gt; "", ISNUMBER(SEARCH("False Resolution", CRC_War_Room_SIMs[[#This Row],[Labels]])))), 1, 0)</f>
        <v>0</v>
      </c>
      <c r="P721" s="50">
        <f>IF(AND(CRC_War_Room_SIMs[[#This Row],[Excluded]] = 0, OR(CRC_War_Room_SIMs[[#This Row],[SLA Miss]] &lt;&gt; "", ISNUMBER(SEARCH("SLA", CRC_War_Room_SIMs[[#This Row],[Labels]])))), 1, 0)</f>
        <v>0</v>
      </c>
    </row>
    <row r="722" spans="1:16" x14ac:dyDescent="0.25">
      <c r="A722" t="s">
        <v>3306</v>
      </c>
      <c r="B722" t="s">
        <v>3271</v>
      </c>
      <c r="C722" t="s">
        <v>3269</v>
      </c>
      <c r="H72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22" s="49">
        <f ca="1">IFERROR(WEEKNUM(CRC_War_Room_SIMs[[#This Row],[Ops Date]]), "N/A")</f>
        <v>30</v>
      </c>
      <c r="J72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2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2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22" s="50">
        <f>IF(AND(CRC_War_Room_SIMs[[#This Row],[CI]] = 0, CRC_War_Room_SIMs[[#This Row],[Miss]] = 1), 1, 0)</f>
        <v>0</v>
      </c>
      <c r="N72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22" s="49">
        <f>IF(AND(CRC_War_Room_SIMs[[#This Row],[Excluded]] = 0, OR(CRC_War_Room_SIMs[[#This Row],[False Resolution Miss]] &lt;&gt; "", ISNUMBER(SEARCH("False Resolution", CRC_War_Room_SIMs[[#This Row],[Labels]])))), 1, 0)</f>
        <v>0</v>
      </c>
      <c r="P722" s="50">
        <f>IF(AND(CRC_War_Room_SIMs[[#This Row],[Excluded]] = 0, OR(CRC_War_Room_SIMs[[#This Row],[SLA Miss]] &lt;&gt; "", ISNUMBER(SEARCH("SLA", CRC_War_Room_SIMs[[#This Row],[Labels]])))), 1, 0)</f>
        <v>0</v>
      </c>
    </row>
    <row r="723" spans="1:16" x14ac:dyDescent="0.25">
      <c r="A723" t="s">
        <v>3307</v>
      </c>
      <c r="B723" t="s">
        <v>3271</v>
      </c>
      <c r="C723" t="s">
        <v>3269</v>
      </c>
      <c r="H72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23" s="49">
        <f ca="1">IFERROR(WEEKNUM(CRC_War_Room_SIMs[[#This Row],[Ops Date]]), "N/A")</f>
        <v>30</v>
      </c>
      <c r="J72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2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2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23" s="50">
        <f>IF(AND(CRC_War_Room_SIMs[[#This Row],[CI]] = 0, CRC_War_Room_SIMs[[#This Row],[Miss]] = 1), 1, 0)</f>
        <v>0</v>
      </c>
      <c r="N72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23" s="49">
        <f>IF(AND(CRC_War_Room_SIMs[[#This Row],[Excluded]] = 0, OR(CRC_War_Room_SIMs[[#This Row],[False Resolution Miss]] &lt;&gt; "", ISNUMBER(SEARCH("False Resolution", CRC_War_Room_SIMs[[#This Row],[Labels]])))), 1, 0)</f>
        <v>0</v>
      </c>
      <c r="P723" s="50">
        <f>IF(AND(CRC_War_Room_SIMs[[#This Row],[Excluded]] = 0, OR(CRC_War_Room_SIMs[[#This Row],[SLA Miss]] &lt;&gt; "", ISNUMBER(SEARCH("SLA", CRC_War_Room_SIMs[[#This Row],[Labels]])))), 1, 0)</f>
        <v>0</v>
      </c>
    </row>
    <row r="724" spans="1:16" x14ac:dyDescent="0.25">
      <c r="A724" t="s">
        <v>3308</v>
      </c>
      <c r="B724" t="s">
        <v>3271</v>
      </c>
      <c r="C724" t="s">
        <v>3269</v>
      </c>
      <c r="H72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24" s="49">
        <f ca="1">IFERROR(WEEKNUM(CRC_War_Room_SIMs[[#This Row],[Ops Date]]), "N/A")</f>
        <v>30</v>
      </c>
      <c r="J72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2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2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24" s="50">
        <f>IF(AND(CRC_War_Room_SIMs[[#This Row],[CI]] = 0, CRC_War_Room_SIMs[[#This Row],[Miss]] = 1), 1, 0)</f>
        <v>0</v>
      </c>
      <c r="N72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24" s="49">
        <f>IF(AND(CRC_War_Room_SIMs[[#This Row],[Excluded]] = 0, OR(CRC_War_Room_SIMs[[#This Row],[False Resolution Miss]] &lt;&gt; "", ISNUMBER(SEARCH("False Resolution", CRC_War_Room_SIMs[[#This Row],[Labels]])))), 1, 0)</f>
        <v>0</v>
      </c>
      <c r="P724" s="50">
        <f>IF(AND(CRC_War_Room_SIMs[[#This Row],[Excluded]] = 0, OR(CRC_War_Room_SIMs[[#This Row],[SLA Miss]] &lt;&gt; "", ISNUMBER(SEARCH("SLA", CRC_War_Room_SIMs[[#This Row],[Labels]])))), 1, 0)</f>
        <v>0</v>
      </c>
    </row>
    <row r="725" spans="1:16" x14ac:dyDescent="0.25">
      <c r="A725" t="s">
        <v>3309</v>
      </c>
      <c r="B725" t="s">
        <v>3271</v>
      </c>
      <c r="C725" t="s">
        <v>3269</v>
      </c>
      <c r="H72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25" s="49">
        <f ca="1">IFERROR(WEEKNUM(CRC_War_Room_SIMs[[#This Row],[Ops Date]]), "N/A")</f>
        <v>30</v>
      </c>
      <c r="J72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2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2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25" s="50">
        <f>IF(AND(CRC_War_Room_SIMs[[#This Row],[CI]] = 0, CRC_War_Room_SIMs[[#This Row],[Miss]] = 1), 1, 0)</f>
        <v>0</v>
      </c>
      <c r="N72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25" s="49">
        <f>IF(AND(CRC_War_Room_SIMs[[#This Row],[Excluded]] = 0, OR(CRC_War_Room_SIMs[[#This Row],[False Resolution Miss]] &lt;&gt; "", ISNUMBER(SEARCH("False Resolution", CRC_War_Room_SIMs[[#This Row],[Labels]])))), 1, 0)</f>
        <v>0</v>
      </c>
      <c r="P725" s="50">
        <f>IF(AND(CRC_War_Room_SIMs[[#This Row],[Excluded]] = 0, OR(CRC_War_Room_SIMs[[#This Row],[SLA Miss]] &lt;&gt; "", ISNUMBER(SEARCH("SLA", CRC_War_Room_SIMs[[#This Row],[Labels]])))), 1, 0)</f>
        <v>0</v>
      </c>
    </row>
    <row r="726" spans="1:16" x14ac:dyDescent="0.25">
      <c r="A726" t="s">
        <v>3310</v>
      </c>
      <c r="B726" t="s">
        <v>3271</v>
      </c>
      <c r="C726" t="s">
        <v>3311</v>
      </c>
      <c r="E726" t="s">
        <v>2490</v>
      </c>
      <c r="H72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26" s="49">
        <f ca="1">IFERROR(WEEKNUM(CRC_War_Room_SIMs[[#This Row],[Ops Date]]), "N/A")</f>
        <v>30</v>
      </c>
      <c r="J72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2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72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726" s="50">
        <f>IF(AND(CRC_War_Room_SIMs[[#This Row],[CI]] = 0, CRC_War_Room_SIMs[[#This Row],[Miss]] = 1), 1, 0)</f>
        <v>0</v>
      </c>
      <c r="N726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726" s="49">
        <f>IF(AND(CRC_War_Room_SIMs[[#This Row],[Excluded]] = 0, OR(CRC_War_Room_SIMs[[#This Row],[False Resolution Miss]] &lt;&gt; "", ISNUMBER(SEARCH("False Resolution", CRC_War_Room_SIMs[[#This Row],[Labels]])))), 1, 0)</f>
        <v>0</v>
      </c>
      <c r="P726" s="50">
        <f>IF(AND(CRC_War_Room_SIMs[[#This Row],[Excluded]] = 0, OR(CRC_War_Room_SIMs[[#This Row],[SLA Miss]] &lt;&gt; "", ISNUMBER(SEARCH("SLA", CRC_War_Room_SIMs[[#This Row],[Labels]])))), 1, 0)</f>
        <v>0</v>
      </c>
    </row>
    <row r="727" spans="1:16" x14ac:dyDescent="0.25">
      <c r="A727" t="s">
        <v>3312</v>
      </c>
      <c r="B727" t="s">
        <v>3271</v>
      </c>
      <c r="C727" t="s">
        <v>3269</v>
      </c>
      <c r="H72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27" s="49">
        <f ca="1">IFERROR(WEEKNUM(CRC_War_Room_SIMs[[#This Row],[Ops Date]]), "N/A")</f>
        <v>30</v>
      </c>
      <c r="J72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2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2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27" s="50">
        <f>IF(AND(CRC_War_Room_SIMs[[#This Row],[CI]] = 0, CRC_War_Room_SIMs[[#This Row],[Miss]] = 1), 1, 0)</f>
        <v>0</v>
      </c>
      <c r="N72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27" s="49">
        <f>IF(AND(CRC_War_Room_SIMs[[#This Row],[Excluded]] = 0, OR(CRC_War_Room_SIMs[[#This Row],[False Resolution Miss]] &lt;&gt; "", ISNUMBER(SEARCH("False Resolution", CRC_War_Room_SIMs[[#This Row],[Labels]])))), 1, 0)</f>
        <v>0</v>
      </c>
      <c r="P727" s="50">
        <f>IF(AND(CRC_War_Room_SIMs[[#This Row],[Excluded]] = 0, OR(CRC_War_Room_SIMs[[#This Row],[SLA Miss]] &lt;&gt; "", ISNUMBER(SEARCH("SLA", CRC_War_Room_SIMs[[#This Row],[Labels]])))), 1, 0)</f>
        <v>0</v>
      </c>
    </row>
    <row r="728" spans="1:16" x14ac:dyDescent="0.25">
      <c r="A728" t="s">
        <v>3313</v>
      </c>
      <c r="B728" t="s">
        <v>3271</v>
      </c>
      <c r="C728" t="s">
        <v>3269</v>
      </c>
      <c r="H72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28" s="49">
        <f ca="1">IFERROR(WEEKNUM(CRC_War_Room_SIMs[[#This Row],[Ops Date]]), "N/A")</f>
        <v>30</v>
      </c>
      <c r="J72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2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2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28" s="50">
        <f>IF(AND(CRC_War_Room_SIMs[[#This Row],[CI]] = 0, CRC_War_Room_SIMs[[#This Row],[Miss]] = 1), 1, 0)</f>
        <v>0</v>
      </c>
      <c r="N72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28" s="49">
        <f>IF(AND(CRC_War_Room_SIMs[[#This Row],[Excluded]] = 0, OR(CRC_War_Room_SIMs[[#This Row],[False Resolution Miss]] &lt;&gt; "", ISNUMBER(SEARCH("False Resolution", CRC_War_Room_SIMs[[#This Row],[Labels]])))), 1, 0)</f>
        <v>0</v>
      </c>
      <c r="P728" s="50">
        <f>IF(AND(CRC_War_Room_SIMs[[#This Row],[Excluded]] = 0, OR(CRC_War_Room_SIMs[[#This Row],[SLA Miss]] &lt;&gt; "", ISNUMBER(SEARCH("SLA", CRC_War_Room_SIMs[[#This Row],[Labels]])))), 1, 0)</f>
        <v>0</v>
      </c>
    </row>
    <row r="729" spans="1:16" x14ac:dyDescent="0.25">
      <c r="A729" t="s">
        <v>3314</v>
      </c>
      <c r="B729" t="s">
        <v>3271</v>
      </c>
      <c r="C729" t="s">
        <v>3269</v>
      </c>
      <c r="H72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29" s="49">
        <f ca="1">IFERROR(WEEKNUM(CRC_War_Room_SIMs[[#This Row],[Ops Date]]), "N/A")</f>
        <v>30</v>
      </c>
      <c r="J72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2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2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29" s="50">
        <f>IF(AND(CRC_War_Room_SIMs[[#This Row],[CI]] = 0, CRC_War_Room_SIMs[[#This Row],[Miss]] = 1), 1, 0)</f>
        <v>0</v>
      </c>
      <c r="N72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29" s="49">
        <f>IF(AND(CRC_War_Room_SIMs[[#This Row],[Excluded]] = 0, OR(CRC_War_Room_SIMs[[#This Row],[False Resolution Miss]] &lt;&gt; "", ISNUMBER(SEARCH("False Resolution", CRC_War_Room_SIMs[[#This Row],[Labels]])))), 1, 0)</f>
        <v>0</v>
      </c>
      <c r="P729" s="50">
        <f>IF(AND(CRC_War_Room_SIMs[[#This Row],[Excluded]] = 0, OR(CRC_War_Room_SIMs[[#This Row],[SLA Miss]] &lt;&gt; "", ISNUMBER(SEARCH("SLA", CRC_War_Room_SIMs[[#This Row],[Labels]])))), 1, 0)</f>
        <v>0</v>
      </c>
    </row>
    <row r="730" spans="1:16" x14ac:dyDescent="0.25">
      <c r="A730" t="s">
        <v>3315</v>
      </c>
      <c r="B730" t="s">
        <v>3271</v>
      </c>
      <c r="C730" t="s">
        <v>3269</v>
      </c>
      <c r="H73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30" s="49">
        <f ca="1">IFERROR(WEEKNUM(CRC_War_Room_SIMs[[#This Row],[Ops Date]]), "N/A")</f>
        <v>30</v>
      </c>
      <c r="J73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3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3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30" s="50">
        <f>IF(AND(CRC_War_Room_SIMs[[#This Row],[CI]] = 0, CRC_War_Room_SIMs[[#This Row],[Miss]] = 1), 1, 0)</f>
        <v>0</v>
      </c>
      <c r="N73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30" s="49">
        <f>IF(AND(CRC_War_Room_SIMs[[#This Row],[Excluded]] = 0, OR(CRC_War_Room_SIMs[[#This Row],[False Resolution Miss]] &lt;&gt; "", ISNUMBER(SEARCH("False Resolution", CRC_War_Room_SIMs[[#This Row],[Labels]])))), 1, 0)</f>
        <v>0</v>
      </c>
      <c r="P730" s="50">
        <f>IF(AND(CRC_War_Room_SIMs[[#This Row],[Excluded]] = 0, OR(CRC_War_Room_SIMs[[#This Row],[SLA Miss]] &lt;&gt; "", ISNUMBER(SEARCH("SLA", CRC_War_Room_SIMs[[#This Row],[Labels]])))), 1, 0)</f>
        <v>0</v>
      </c>
    </row>
    <row r="731" spans="1:16" x14ac:dyDescent="0.25">
      <c r="A731" t="s">
        <v>3316</v>
      </c>
      <c r="B731" t="s">
        <v>3271</v>
      </c>
      <c r="C731" t="s">
        <v>3269</v>
      </c>
      <c r="H73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31" s="49">
        <f ca="1">IFERROR(WEEKNUM(CRC_War_Room_SIMs[[#This Row],[Ops Date]]), "N/A")</f>
        <v>30</v>
      </c>
      <c r="J73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3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3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31" s="50">
        <f>IF(AND(CRC_War_Room_SIMs[[#This Row],[CI]] = 0, CRC_War_Room_SIMs[[#This Row],[Miss]] = 1), 1, 0)</f>
        <v>0</v>
      </c>
      <c r="N73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31" s="49">
        <f>IF(AND(CRC_War_Room_SIMs[[#This Row],[Excluded]] = 0, OR(CRC_War_Room_SIMs[[#This Row],[False Resolution Miss]] &lt;&gt; "", ISNUMBER(SEARCH("False Resolution", CRC_War_Room_SIMs[[#This Row],[Labels]])))), 1, 0)</f>
        <v>0</v>
      </c>
      <c r="P731" s="50">
        <f>IF(AND(CRC_War_Room_SIMs[[#This Row],[Excluded]] = 0, OR(CRC_War_Room_SIMs[[#This Row],[SLA Miss]] &lt;&gt; "", ISNUMBER(SEARCH("SLA", CRC_War_Room_SIMs[[#This Row],[Labels]])))), 1, 0)</f>
        <v>0</v>
      </c>
    </row>
    <row r="732" spans="1:16" x14ac:dyDescent="0.25">
      <c r="A732" t="s">
        <v>3317</v>
      </c>
      <c r="B732" t="s">
        <v>3271</v>
      </c>
      <c r="C732" t="s">
        <v>3269</v>
      </c>
      <c r="H73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32" s="49">
        <f ca="1">IFERROR(WEEKNUM(CRC_War_Room_SIMs[[#This Row],[Ops Date]]), "N/A")</f>
        <v>30</v>
      </c>
      <c r="J73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3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3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32" s="50">
        <f>IF(AND(CRC_War_Room_SIMs[[#This Row],[CI]] = 0, CRC_War_Room_SIMs[[#This Row],[Miss]] = 1), 1, 0)</f>
        <v>0</v>
      </c>
      <c r="N73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32" s="49">
        <f>IF(AND(CRC_War_Room_SIMs[[#This Row],[Excluded]] = 0, OR(CRC_War_Room_SIMs[[#This Row],[False Resolution Miss]] &lt;&gt; "", ISNUMBER(SEARCH("False Resolution", CRC_War_Room_SIMs[[#This Row],[Labels]])))), 1, 0)</f>
        <v>0</v>
      </c>
      <c r="P732" s="50">
        <f>IF(AND(CRC_War_Room_SIMs[[#This Row],[Excluded]] = 0, OR(CRC_War_Room_SIMs[[#This Row],[SLA Miss]] &lt;&gt; "", ISNUMBER(SEARCH("SLA", CRC_War_Room_SIMs[[#This Row],[Labels]])))), 1, 0)</f>
        <v>0</v>
      </c>
    </row>
    <row r="733" spans="1:16" x14ac:dyDescent="0.25">
      <c r="A733" t="s">
        <v>3318</v>
      </c>
      <c r="B733" t="s">
        <v>3271</v>
      </c>
      <c r="C733" t="s">
        <v>3269</v>
      </c>
      <c r="H73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33" s="49">
        <f ca="1">IFERROR(WEEKNUM(CRC_War_Room_SIMs[[#This Row],[Ops Date]]), "N/A")</f>
        <v>30</v>
      </c>
      <c r="J73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3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3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33" s="50">
        <f>IF(AND(CRC_War_Room_SIMs[[#This Row],[CI]] = 0, CRC_War_Room_SIMs[[#This Row],[Miss]] = 1), 1, 0)</f>
        <v>0</v>
      </c>
      <c r="N73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33" s="49">
        <f>IF(AND(CRC_War_Room_SIMs[[#This Row],[Excluded]] = 0, OR(CRC_War_Room_SIMs[[#This Row],[False Resolution Miss]] &lt;&gt; "", ISNUMBER(SEARCH("False Resolution", CRC_War_Room_SIMs[[#This Row],[Labels]])))), 1, 0)</f>
        <v>0</v>
      </c>
      <c r="P733" s="50">
        <f>IF(AND(CRC_War_Room_SIMs[[#This Row],[Excluded]] = 0, OR(CRC_War_Room_SIMs[[#This Row],[SLA Miss]] &lt;&gt; "", ISNUMBER(SEARCH("SLA", CRC_War_Room_SIMs[[#This Row],[Labels]])))), 1, 0)</f>
        <v>0</v>
      </c>
    </row>
    <row r="734" spans="1:16" x14ac:dyDescent="0.25">
      <c r="A734" t="s">
        <v>3319</v>
      </c>
      <c r="B734" t="s">
        <v>3271</v>
      </c>
      <c r="C734" t="s">
        <v>3269</v>
      </c>
      <c r="H73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34" s="49">
        <f ca="1">IFERROR(WEEKNUM(CRC_War_Room_SIMs[[#This Row],[Ops Date]]), "N/A")</f>
        <v>30</v>
      </c>
      <c r="J73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3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3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34" s="50">
        <f>IF(AND(CRC_War_Room_SIMs[[#This Row],[CI]] = 0, CRC_War_Room_SIMs[[#This Row],[Miss]] = 1), 1, 0)</f>
        <v>0</v>
      </c>
      <c r="N73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34" s="49">
        <f>IF(AND(CRC_War_Room_SIMs[[#This Row],[Excluded]] = 0, OR(CRC_War_Room_SIMs[[#This Row],[False Resolution Miss]] &lt;&gt; "", ISNUMBER(SEARCH("False Resolution", CRC_War_Room_SIMs[[#This Row],[Labels]])))), 1, 0)</f>
        <v>0</v>
      </c>
      <c r="P734" s="50">
        <f>IF(AND(CRC_War_Room_SIMs[[#This Row],[Excluded]] = 0, OR(CRC_War_Room_SIMs[[#This Row],[SLA Miss]] &lt;&gt; "", ISNUMBER(SEARCH("SLA", CRC_War_Room_SIMs[[#This Row],[Labels]])))), 1, 0)</f>
        <v>0</v>
      </c>
    </row>
    <row r="735" spans="1:16" x14ac:dyDescent="0.25">
      <c r="A735" t="s">
        <v>3320</v>
      </c>
      <c r="B735" t="s">
        <v>3271</v>
      </c>
      <c r="C735" t="s">
        <v>3269</v>
      </c>
      <c r="H73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35" s="49">
        <f ca="1">IFERROR(WEEKNUM(CRC_War_Room_SIMs[[#This Row],[Ops Date]]), "N/A")</f>
        <v>30</v>
      </c>
      <c r="J73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3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3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35" s="50">
        <f>IF(AND(CRC_War_Room_SIMs[[#This Row],[CI]] = 0, CRC_War_Room_SIMs[[#This Row],[Miss]] = 1), 1, 0)</f>
        <v>0</v>
      </c>
      <c r="N73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35" s="49">
        <f>IF(AND(CRC_War_Room_SIMs[[#This Row],[Excluded]] = 0, OR(CRC_War_Room_SIMs[[#This Row],[False Resolution Miss]] &lt;&gt; "", ISNUMBER(SEARCH("False Resolution", CRC_War_Room_SIMs[[#This Row],[Labels]])))), 1, 0)</f>
        <v>0</v>
      </c>
      <c r="P735" s="50">
        <f>IF(AND(CRC_War_Room_SIMs[[#This Row],[Excluded]] = 0, OR(CRC_War_Room_SIMs[[#This Row],[SLA Miss]] &lt;&gt; "", ISNUMBER(SEARCH("SLA", CRC_War_Room_SIMs[[#This Row],[Labels]])))), 1, 0)</f>
        <v>0</v>
      </c>
    </row>
    <row r="736" spans="1:16" x14ac:dyDescent="0.25">
      <c r="A736" t="s">
        <v>3321</v>
      </c>
      <c r="B736" t="s">
        <v>3271</v>
      </c>
      <c r="C736" t="s">
        <v>3269</v>
      </c>
      <c r="H73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36" s="49">
        <f ca="1">IFERROR(WEEKNUM(CRC_War_Room_SIMs[[#This Row],[Ops Date]]), "N/A")</f>
        <v>30</v>
      </c>
      <c r="J73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3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3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36" s="50">
        <f>IF(AND(CRC_War_Room_SIMs[[#This Row],[CI]] = 0, CRC_War_Room_SIMs[[#This Row],[Miss]] = 1), 1, 0)</f>
        <v>0</v>
      </c>
      <c r="N73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36" s="49">
        <f>IF(AND(CRC_War_Room_SIMs[[#This Row],[Excluded]] = 0, OR(CRC_War_Room_SIMs[[#This Row],[False Resolution Miss]] &lt;&gt; "", ISNUMBER(SEARCH("False Resolution", CRC_War_Room_SIMs[[#This Row],[Labels]])))), 1, 0)</f>
        <v>0</v>
      </c>
      <c r="P736" s="50">
        <f>IF(AND(CRC_War_Room_SIMs[[#This Row],[Excluded]] = 0, OR(CRC_War_Room_SIMs[[#This Row],[SLA Miss]] &lt;&gt; "", ISNUMBER(SEARCH("SLA", CRC_War_Room_SIMs[[#This Row],[Labels]])))), 1, 0)</f>
        <v>0</v>
      </c>
    </row>
    <row r="737" spans="1:16" x14ac:dyDescent="0.25">
      <c r="A737" t="s">
        <v>3322</v>
      </c>
      <c r="B737" t="s">
        <v>3323</v>
      </c>
      <c r="C737" t="s">
        <v>3269</v>
      </c>
      <c r="H73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37" s="49">
        <f ca="1">IFERROR(WEEKNUM(CRC_War_Room_SIMs[[#This Row],[Ops Date]]), "N/A")</f>
        <v>30</v>
      </c>
      <c r="J73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3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3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37" s="50">
        <f>IF(AND(CRC_War_Room_SIMs[[#This Row],[CI]] = 0, CRC_War_Room_SIMs[[#This Row],[Miss]] = 1), 1, 0)</f>
        <v>0</v>
      </c>
      <c r="N73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37" s="49">
        <f>IF(AND(CRC_War_Room_SIMs[[#This Row],[Excluded]] = 0, OR(CRC_War_Room_SIMs[[#This Row],[False Resolution Miss]] &lt;&gt; "", ISNUMBER(SEARCH("False Resolution", CRC_War_Room_SIMs[[#This Row],[Labels]])))), 1, 0)</f>
        <v>0</v>
      </c>
      <c r="P737" s="50">
        <f>IF(AND(CRC_War_Room_SIMs[[#This Row],[Excluded]] = 0, OR(CRC_War_Room_SIMs[[#This Row],[SLA Miss]] &lt;&gt; "", ISNUMBER(SEARCH("SLA", CRC_War_Room_SIMs[[#This Row],[Labels]])))), 1, 0)</f>
        <v>0</v>
      </c>
    </row>
    <row r="738" spans="1:16" x14ac:dyDescent="0.25">
      <c r="A738" t="s">
        <v>3324</v>
      </c>
      <c r="B738" t="s">
        <v>2578</v>
      </c>
      <c r="C738" t="s">
        <v>3311</v>
      </c>
      <c r="H73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38" s="49">
        <f ca="1">IFERROR(WEEKNUM(CRC_War_Room_SIMs[[#This Row],[Ops Date]]), "N/A")</f>
        <v>30</v>
      </c>
      <c r="J73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3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73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738" s="50">
        <f>IF(AND(CRC_War_Room_SIMs[[#This Row],[CI]] = 0, CRC_War_Room_SIMs[[#This Row],[Miss]] = 1), 1, 0)</f>
        <v>0</v>
      </c>
      <c r="N73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38" s="49">
        <f>IF(AND(CRC_War_Room_SIMs[[#This Row],[Excluded]] = 0, OR(CRC_War_Room_SIMs[[#This Row],[False Resolution Miss]] &lt;&gt; "", ISNUMBER(SEARCH("False Resolution", CRC_War_Room_SIMs[[#This Row],[Labels]])))), 1, 0)</f>
        <v>0</v>
      </c>
      <c r="P738" s="50">
        <f>IF(AND(CRC_War_Room_SIMs[[#This Row],[Excluded]] = 0, OR(CRC_War_Room_SIMs[[#This Row],[SLA Miss]] &lt;&gt; "", ISNUMBER(SEARCH("SLA", CRC_War_Room_SIMs[[#This Row],[Labels]])))), 1, 0)</f>
        <v>0</v>
      </c>
    </row>
    <row r="739" spans="1:16" x14ac:dyDescent="0.25">
      <c r="A739" t="s">
        <v>3325</v>
      </c>
      <c r="B739" t="s">
        <v>3323</v>
      </c>
      <c r="C739" t="s">
        <v>3269</v>
      </c>
      <c r="H73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39" s="49">
        <f ca="1">IFERROR(WEEKNUM(CRC_War_Room_SIMs[[#This Row],[Ops Date]]), "N/A")</f>
        <v>30</v>
      </c>
      <c r="J73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3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3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39" s="50">
        <f>IF(AND(CRC_War_Room_SIMs[[#This Row],[CI]] = 0, CRC_War_Room_SIMs[[#This Row],[Miss]] = 1), 1, 0)</f>
        <v>0</v>
      </c>
      <c r="N73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39" s="49">
        <f>IF(AND(CRC_War_Room_SIMs[[#This Row],[Excluded]] = 0, OR(CRC_War_Room_SIMs[[#This Row],[False Resolution Miss]] &lt;&gt; "", ISNUMBER(SEARCH("False Resolution", CRC_War_Room_SIMs[[#This Row],[Labels]])))), 1, 0)</f>
        <v>0</v>
      </c>
      <c r="P739" s="50">
        <f>IF(AND(CRC_War_Room_SIMs[[#This Row],[Excluded]] = 0, OR(CRC_War_Room_SIMs[[#This Row],[SLA Miss]] &lt;&gt; "", ISNUMBER(SEARCH("SLA", CRC_War_Room_SIMs[[#This Row],[Labels]])))), 1, 0)</f>
        <v>0</v>
      </c>
    </row>
    <row r="740" spans="1:16" x14ac:dyDescent="0.25">
      <c r="A740" t="s">
        <v>3326</v>
      </c>
      <c r="B740" t="s">
        <v>2578</v>
      </c>
      <c r="C740" t="s">
        <v>3269</v>
      </c>
      <c r="H74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40" s="49">
        <f ca="1">IFERROR(WEEKNUM(CRC_War_Room_SIMs[[#This Row],[Ops Date]]), "N/A")</f>
        <v>30</v>
      </c>
      <c r="J74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4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4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40" s="50">
        <f>IF(AND(CRC_War_Room_SIMs[[#This Row],[CI]] = 0, CRC_War_Room_SIMs[[#This Row],[Miss]] = 1), 1, 0)</f>
        <v>0</v>
      </c>
      <c r="N74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40" s="49">
        <f>IF(AND(CRC_War_Room_SIMs[[#This Row],[Excluded]] = 0, OR(CRC_War_Room_SIMs[[#This Row],[False Resolution Miss]] &lt;&gt; "", ISNUMBER(SEARCH("False Resolution", CRC_War_Room_SIMs[[#This Row],[Labels]])))), 1, 0)</f>
        <v>0</v>
      </c>
      <c r="P740" s="50">
        <f>IF(AND(CRC_War_Room_SIMs[[#This Row],[Excluded]] = 0, OR(CRC_War_Room_SIMs[[#This Row],[SLA Miss]] &lt;&gt; "", ISNUMBER(SEARCH("SLA", CRC_War_Room_SIMs[[#This Row],[Labels]])))), 1, 0)</f>
        <v>0</v>
      </c>
    </row>
    <row r="741" spans="1:16" x14ac:dyDescent="0.25">
      <c r="A741" t="s">
        <v>3327</v>
      </c>
      <c r="B741" t="s">
        <v>2578</v>
      </c>
      <c r="C741" t="s">
        <v>3269</v>
      </c>
      <c r="H74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41" s="49">
        <f ca="1">IFERROR(WEEKNUM(CRC_War_Room_SIMs[[#This Row],[Ops Date]]), "N/A")</f>
        <v>30</v>
      </c>
      <c r="J74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4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4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41" s="50">
        <f>IF(AND(CRC_War_Room_SIMs[[#This Row],[CI]] = 0, CRC_War_Room_SIMs[[#This Row],[Miss]] = 1), 1, 0)</f>
        <v>0</v>
      </c>
      <c r="N74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41" s="49">
        <f>IF(AND(CRC_War_Room_SIMs[[#This Row],[Excluded]] = 0, OR(CRC_War_Room_SIMs[[#This Row],[False Resolution Miss]] &lt;&gt; "", ISNUMBER(SEARCH("False Resolution", CRC_War_Room_SIMs[[#This Row],[Labels]])))), 1, 0)</f>
        <v>0</v>
      </c>
      <c r="P741" s="50">
        <f>IF(AND(CRC_War_Room_SIMs[[#This Row],[Excluded]] = 0, OR(CRC_War_Room_SIMs[[#This Row],[SLA Miss]] &lt;&gt; "", ISNUMBER(SEARCH("SLA", CRC_War_Room_SIMs[[#This Row],[Labels]])))), 1, 0)</f>
        <v>0</v>
      </c>
    </row>
    <row r="742" spans="1:16" x14ac:dyDescent="0.25">
      <c r="A742" t="s">
        <v>3328</v>
      </c>
      <c r="B742" t="s">
        <v>2578</v>
      </c>
      <c r="C742" t="s">
        <v>3269</v>
      </c>
      <c r="H74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42" s="49">
        <f ca="1">IFERROR(WEEKNUM(CRC_War_Room_SIMs[[#This Row],[Ops Date]]), "N/A")</f>
        <v>30</v>
      </c>
      <c r="J74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4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4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42" s="50">
        <f>IF(AND(CRC_War_Room_SIMs[[#This Row],[CI]] = 0, CRC_War_Room_SIMs[[#This Row],[Miss]] = 1), 1, 0)</f>
        <v>0</v>
      </c>
      <c r="N74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42" s="49">
        <f>IF(AND(CRC_War_Room_SIMs[[#This Row],[Excluded]] = 0, OR(CRC_War_Room_SIMs[[#This Row],[False Resolution Miss]] &lt;&gt; "", ISNUMBER(SEARCH("False Resolution", CRC_War_Room_SIMs[[#This Row],[Labels]])))), 1, 0)</f>
        <v>0</v>
      </c>
      <c r="P742" s="50">
        <f>IF(AND(CRC_War_Room_SIMs[[#This Row],[Excluded]] = 0, OR(CRC_War_Room_SIMs[[#This Row],[SLA Miss]] &lt;&gt; "", ISNUMBER(SEARCH("SLA", CRC_War_Room_SIMs[[#This Row],[Labels]])))), 1, 0)</f>
        <v>0</v>
      </c>
    </row>
    <row r="743" spans="1:16" x14ac:dyDescent="0.25">
      <c r="A743" t="s">
        <v>3329</v>
      </c>
      <c r="B743" t="s">
        <v>2578</v>
      </c>
      <c r="C743" t="s">
        <v>3311</v>
      </c>
      <c r="H74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43" s="49">
        <f ca="1">IFERROR(WEEKNUM(CRC_War_Room_SIMs[[#This Row],[Ops Date]]), "N/A")</f>
        <v>30</v>
      </c>
      <c r="J74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4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74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743" s="50">
        <f>IF(AND(CRC_War_Room_SIMs[[#This Row],[CI]] = 0, CRC_War_Room_SIMs[[#This Row],[Miss]] = 1), 1, 0)</f>
        <v>0</v>
      </c>
      <c r="N74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43" s="49">
        <f>IF(AND(CRC_War_Room_SIMs[[#This Row],[Excluded]] = 0, OR(CRC_War_Room_SIMs[[#This Row],[False Resolution Miss]] &lt;&gt; "", ISNUMBER(SEARCH("False Resolution", CRC_War_Room_SIMs[[#This Row],[Labels]])))), 1, 0)</f>
        <v>0</v>
      </c>
      <c r="P743" s="50">
        <f>IF(AND(CRC_War_Room_SIMs[[#This Row],[Excluded]] = 0, OR(CRC_War_Room_SIMs[[#This Row],[SLA Miss]] &lt;&gt; "", ISNUMBER(SEARCH("SLA", CRC_War_Room_SIMs[[#This Row],[Labels]])))), 1, 0)</f>
        <v>0</v>
      </c>
    </row>
    <row r="744" spans="1:16" x14ac:dyDescent="0.25">
      <c r="A744" t="s">
        <v>3330</v>
      </c>
      <c r="B744" t="s">
        <v>2578</v>
      </c>
      <c r="C744" t="s">
        <v>3269</v>
      </c>
      <c r="H74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44" s="49">
        <f ca="1">IFERROR(WEEKNUM(CRC_War_Room_SIMs[[#This Row],[Ops Date]]), "N/A")</f>
        <v>30</v>
      </c>
      <c r="J74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4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4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44" s="50">
        <f>IF(AND(CRC_War_Room_SIMs[[#This Row],[CI]] = 0, CRC_War_Room_SIMs[[#This Row],[Miss]] = 1), 1, 0)</f>
        <v>0</v>
      </c>
      <c r="N74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44" s="49">
        <f>IF(AND(CRC_War_Room_SIMs[[#This Row],[Excluded]] = 0, OR(CRC_War_Room_SIMs[[#This Row],[False Resolution Miss]] &lt;&gt; "", ISNUMBER(SEARCH("False Resolution", CRC_War_Room_SIMs[[#This Row],[Labels]])))), 1, 0)</f>
        <v>0</v>
      </c>
      <c r="P744" s="50">
        <f>IF(AND(CRC_War_Room_SIMs[[#This Row],[Excluded]] = 0, OR(CRC_War_Room_SIMs[[#This Row],[SLA Miss]] &lt;&gt; "", ISNUMBER(SEARCH("SLA", CRC_War_Room_SIMs[[#This Row],[Labels]])))), 1, 0)</f>
        <v>0</v>
      </c>
    </row>
    <row r="745" spans="1:16" x14ac:dyDescent="0.25">
      <c r="A745" t="s">
        <v>3331</v>
      </c>
      <c r="B745" t="s">
        <v>2578</v>
      </c>
      <c r="C745" t="s">
        <v>3269</v>
      </c>
      <c r="H74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45" s="49">
        <f ca="1">IFERROR(WEEKNUM(CRC_War_Room_SIMs[[#This Row],[Ops Date]]), "N/A")</f>
        <v>30</v>
      </c>
      <c r="J74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4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4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45" s="50">
        <f>IF(AND(CRC_War_Room_SIMs[[#This Row],[CI]] = 0, CRC_War_Room_SIMs[[#This Row],[Miss]] = 1), 1, 0)</f>
        <v>0</v>
      </c>
      <c r="N74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45" s="49">
        <f>IF(AND(CRC_War_Room_SIMs[[#This Row],[Excluded]] = 0, OR(CRC_War_Room_SIMs[[#This Row],[False Resolution Miss]] &lt;&gt; "", ISNUMBER(SEARCH("False Resolution", CRC_War_Room_SIMs[[#This Row],[Labels]])))), 1, 0)</f>
        <v>0</v>
      </c>
      <c r="P745" s="50">
        <f>IF(AND(CRC_War_Room_SIMs[[#This Row],[Excluded]] = 0, OR(CRC_War_Room_SIMs[[#This Row],[SLA Miss]] &lt;&gt; "", ISNUMBER(SEARCH("SLA", CRC_War_Room_SIMs[[#This Row],[Labels]])))), 1, 0)</f>
        <v>0</v>
      </c>
    </row>
    <row r="746" spans="1:16" x14ac:dyDescent="0.25">
      <c r="A746" t="s">
        <v>3332</v>
      </c>
      <c r="B746" t="s">
        <v>2578</v>
      </c>
      <c r="C746" t="s">
        <v>3311</v>
      </c>
      <c r="H74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46" s="49">
        <f ca="1">IFERROR(WEEKNUM(CRC_War_Room_SIMs[[#This Row],[Ops Date]]), "N/A")</f>
        <v>30</v>
      </c>
      <c r="J74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4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74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746" s="50">
        <f>IF(AND(CRC_War_Room_SIMs[[#This Row],[CI]] = 0, CRC_War_Room_SIMs[[#This Row],[Miss]] = 1), 1, 0)</f>
        <v>0</v>
      </c>
      <c r="N74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46" s="49">
        <f>IF(AND(CRC_War_Room_SIMs[[#This Row],[Excluded]] = 0, OR(CRC_War_Room_SIMs[[#This Row],[False Resolution Miss]] &lt;&gt; "", ISNUMBER(SEARCH("False Resolution", CRC_War_Room_SIMs[[#This Row],[Labels]])))), 1, 0)</f>
        <v>0</v>
      </c>
      <c r="P746" s="50">
        <f>IF(AND(CRC_War_Room_SIMs[[#This Row],[Excluded]] = 0, OR(CRC_War_Room_SIMs[[#This Row],[SLA Miss]] &lt;&gt; "", ISNUMBER(SEARCH("SLA", CRC_War_Room_SIMs[[#This Row],[Labels]])))), 1, 0)</f>
        <v>0</v>
      </c>
    </row>
    <row r="747" spans="1:16" x14ac:dyDescent="0.25">
      <c r="A747" t="s">
        <v>3333</v>
      </c>
      <c r="B747" t="s">
        <v>2578</v>
      </c>
      <c r="C747" t="s">
        <v>3269</v>
      </c>
      <c r="H74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47" s="49">
        <f ca="1">IFERROR(WEEKNUM(CRC_War_Room_SIMs[[#This Row],[Ops Date]]), "N/A")</f>
        <v>30</v>
      </c>
      <c r="J74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4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4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47" s="50">
        <f>IF(AND(CRC_War_Room_SIMs[[#This Row],[CI]] = 0, CRC_War_Room_SIMs[[#This Row],[Miss]] = 1), 1, 0)</f>
        <v>0</v>
      </c>
      <c r="N74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47" s="49">
        <f>IF(AND(CRC_War_Room_SIMs[[#This Row],[Excluded]] = 0, OR(CRC_War_Room_SIMs[[#This Row],[False Resolution Miss]] &lt;&gt; "", ISNUMBER(SEARCH("False Resolution", CRC_War_Room_SIMs[[#This Row],[Labels]])))), 1, 0)</f>
        <v>0</v>
      </c>
      <c r="P747" s="50">
        <f>IF(AND(CRC_War_Room_SIMs[[#This Row],[Excluded]] = 0, OR(CRC_War_Room_SIMs[[#This Row],[SLA Miss]] &lt;&gt; "", ISNUMBER(SEARCH("SLA", CRC_War_Room_SIMs[[#This Row],[Labels]])))), 1, 0)</f>
        <v>0</v>
      </c>
    </row>
    <row r="748" spans="1:16" x14ac:dyDescent="0.25">
      <c r="A748" t="s">
        <v>3334</v>
      </c>
      <c r="B748" t="s">
        <v>2578</v>
      </c>
      <c r="C748" t="s">
        <v>3269</v>
      </c>
      <c r="E748" t="s">
        <v>2548</v>
      </c>
      <c r="H74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48" s="49">
        <f ca="1">IFERROR(WEEKNUM(CRC_War_Room_SIMs[[#This Row],[Ops Date]]), "N/A")</f>
        <v>30</v>
      </c>
      <c r="J74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4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74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748" s="50">
        <f>IF(AND(CRC_War_Room_SIMs[[#This Row],[CI]] = 0, CRC_War_Room_SIMs[[#This Row],[Miss]] = 1), 1, 0)</f>
        <v>0</v>
      </c>
      <c r="N748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748" s="49">
        <f>IF(AND(CRC_War_Room_SIMs[[#This Row],[Excluded]] = 0, OR(CRC_War_Room_SIMs[[#This Row],[False Resolution Miss]] &lt;&gt; "", ISNUMBER(SEARCH("False Resolution", CRC_War_Room_SIMs[[#This Row],[Labels]])))), 1, 0)</f>
        <v>0</v>
      </c>
      <c r="P748" s="50">
        <f>IF(AND(CRC_War_Room_SIMs[[#This Row],[Excluded]] = 0, OR(CRC_War_Room_SIMs[[#This Row],[SLA Miss]] &lt;&gt; "", ISNUMBER(SEARCH("SLA", CRC_War_Room_SIMs[[#This Row],[Labels]])))), 1, 0)</f>
        <v>0</v>
      </c>
    </row>
    <row r="749" spans="1:16" x14ac:dyDescent="0.25">
      <c r="A749" t="s">
        <v>3335</v>
      </c>
      <c r="B749" t="s">
        <v>2578</v>
      </c>
      <c r="C749" t="s">
        <v>3269</v>
      </c>
      <c r="H74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49" s="49">
        <f ca="1">IFERROR(WEEKNUM(CRC_War_Room_SIMs[[#This Row],[Ops Date]]), "N/A")</f>
        <v>30</v>
      </c>
      <c r="J74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4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4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49" s="50">
        <f>IF(AND(CRC_War_Room_SIMs[[#This Row],[CI]] = 0, CRC_War_Room_SIMs[[#This Row],[Miss]] = 1), 1, 0)</f>
        <v>0</v>
      </c>
      <c r="N74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49" s="49">
        <f>IF(AND(CRC_War_Room_SIMs[[#This Row],[Excluded]] = 0, OR(CRC_War_Room_SIMs[[#This Row],[False Resolution Miss]] &lt;&gt; "", ISNUMBER(SEARCH("False Resolution", CRC_War_Room_SIMs[[#This Row],[Labels]])))), 1, 0)</f>
        <v>0</v>
      </c>
      <c r="P749" s="50">
        <f>IF(AND(CRC_War_Room_SIMs[[#This Row],[Excluded]] = 0, OR(CRC_War_Room_SIMs[[#This Row],[SLA Miss]] &lt;&gt; "", ISNUMBER(SEARCH("SLA", CRC_War_Room_SIMs[[#This Row],[Labels]])))), 1, 0)</f>
        <v>0</v>
      </c>
    </row>
    <row r="750" spans="1:16" x14ac:dyDescent="0.25">
      <c r="A750" t="s">
        <v>3336</v>
      </c>
      <c r="B750" t="s">
        <v>2578</v>
      </c>
      <c r="C750" t="s">
        <v>3269</v>
      </c>
      <c r="H75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50" s="49">
        <f ca="1">IFERROR(WEEKNUM(CRC_War_Room_SIMs[[#This Row],[Ops Date]]), "N/A")</f>
        <v>30</v>
      </c>
      <c r="J75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5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5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50" s="50">
        <f>IF(AND(CRC_War_Room_SIMs[[#This Row],[CI]] = 0, CRC_War_Room_SIMs[[#This Row],[Miss]] = 1), 1, 0)</f>
        <v>0</v>
      </c>
      <c r="N75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50" s="49">
        <f>IF(AND(CRC_War_Room_SIMs[[#This Row],[Excluded]] = 0, OR(CRC_War_Room_SIMs[[#This Row],[False Resolution Miss]] &lt;&gt; "", ISNUMBER(SEARCH("False Resolution", CRC_War_Room_SIMs[[#This Row],[Labels]])))), 1, 0)</f>
        <v>0</v>
      </c>
      <c r="P750" s="50">
        <f>IF(AND(CRC_War_Room_SIMs[[#This Row],[Excluded]] = 0, OR(CRC_War_Room_SIMs[[#This Row],[SLA Miss]] &lt;&gt; "", ISNUMBER(SEARCH("SLA", CRC_War_Room_SIMs[[#This Row],[Labels]])))), 1, 0)</f>
        <v>0</v>
      </c>
    </row>
    <row r="751" spans="1:16" x14ac:dyDescent="0.25">
      <c r="A751" t="s">
        <v>3337</v>
      </c>
      <c r="B751" t="s">
        <v>2578</v>
      </c>
      <c r="C751" t="s">
        <v>3269</v>
      </c>
      <c r="H75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51" s="49">
        <f ca="1">IFERROR(WEEKNUM(CRC_War_Room_SIMs[[#This Row],[Ops Date]]), "N/A")</f>
        <v>30</v>
      </c>
      <c r="J75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5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5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51" s="50">
        <f>IF(AND(CRC_War_Room_SIMs[[#This Row],[CI]] = 0, CRC_War_Room_SIMs[[#This Row],[Miss]] = 1), 1, 0)</f>
        <v>0</v>
      </c>
      <c r="N75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51" s="49">
        <f>IF(AND(CRC_War_Room_SIMs[[#This Row],[Excluded]] = 0, OR(CRC_War_Room_SIMs[[#This Row],[False Resolution Miss]] &lt;&gt; "", ISNUMBER(SEARCH("False Resolution", CRC_War_Room_SIMs[[#This Row],[Labels]])))), 1, 0)</f>
        <v>0</v>
      </c>
      <c r="P751" s="50">
        <f>IF(AND(CRC_War_Room_SIMs[[#This Row],[Excluded]] = 0, OR(CRC_War_Room_SIMs[[#This Row],[SLA Miss]] &lt;&gt; "", ISNUMBER(SEARCH("SLA", CRC_War_Room_SIMs[[#This Row],[Labels]])))), 1, 0)</f>
        <v>0</v>
      </c>
    </row>
    <row r="752" spans="1:16" x14ac:dyDescent="0.25">
      <c r="A752" t="s">
        <v>3338</v>
      </c>
      <c r="B752" t="s">
        <v>2578</v>
      </c>
      <c r="C752" t="s">
        <v>3269</v>
      </c>
      <c r="H75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52" s="49">
        <f ca="1">IFERROR(WEEKNUM(CRC_War_Room_SIMs[[#This Row],[Ops Date]]), "N/A")</f>
        <v>30</v>
      </c>
      <c r="J75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5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5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52" s="50">
        <f>IF(AND(CRC_War_Room_SIMs[[#This Row],[CI]] = 0, CRC_War_Room_SIMs[[#This Row],[Miss]] = 1), 1, 0)</f>
        <v>0</v>
      </c>
      <c r="N75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52" s="49">
        <f>IF(AND(CRC_War_Room_SIMs[[#This Row],[Excluded]] = 0, OR(CRC_War_Room_SIMs[[#This Row],[False Resolution Miss]] &lt;&gt; "", ISNUMBER(SEARCH("False Resolution", CRC_War_Room_SIMs[[#This Row],[Labels]])))), 1, 0)</f>
        <v>0</v>
      </c>
      <c r="P752" s="50">
        <f>IF(AND(CRC_War_Room_SIMs[[#This Row],[Excluded]] = 0, OR(CRC_War_Room_SIMs[[#This Row],[SLA Miss]] &lt;&gt; "", ISNUMBER(SEARCH("SLA", CRC_War_Room_SIMs[[#This Row],[Labels]])))), 1, 0)</f>
        <v>0</v>
      </c>
    </row>
    <row r="753" spans="1:16" x14ac:dyDescent="0.25">
      <c r="A753" t="s">
        <v>3339</v>
      </c>
      <c r="B753" t="s">
        <v>2578</v>
      </c>
      <c r="C753" t="s">
        <v>3269</v>
      </c>
      <c r="H75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53" s="49">
        <f ca="1">IFERROR(WEEKNUM(CRC_War_Room_SIMs[[#This Row],[Ops Date]]), "N/A")</f>
        <v>30</v>
      </c>
      <c r="J75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5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5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53" s="50">
        <f>IF(AND(CRC_War_Room_SIMs[[#This Row],[CI]] = 0, CRC_War_Room_SIMs[[#This Row],[Miss]] = 1), 1, 0)</f>
        <v>0</v>
      </c>
      <c r="N75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53" s="49">
        <f>IF(AND(CRC_War_Room_SIMs[[#This Row],[Excluded]] = 0, OR(CRC_War_Room_SIMs[[#This Row],[False Resolution Miss]] &lt;&gt; "", ISNUMBER(SEARCH("False Resolution", CRC_War_Room_SIMs[[#This Row],[Labels]])))), 1, 0)</f>
        <v>0</v>
      </c>
      <c r="P753" s="50">
        <f>IF(AND(CRC_War_Room_SIMs[[#This Row],[Excluded]] = 0, OR(CRC_War_Room_SIMs[[#This Row],[SLA Miss]] &lt;&gt; "", ISNUMBER(SEARCH("SLA", CRC_War_Room_SIMs[[#This Row],[Labels]])))), 1, 0)</f>
        <v>0</v>
      </c>
    </row>
    <row r="754" spans="1:16" x14ac:dyDescent="0.25">
      <c r="A754" t="s">
        <v>3340</v>
      </c>
      <c r="B754" t="s">
        <v>2578</v>
      </c>
      <c r="C754" t="s">
        <v>3269</v>
      </c>
      <c r="H75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54" s="49">
        <f ca="1">IFERROR(WEEKNUM(CRC_War_Room_SIMs[[#This Row],[Ops Date]]), "N/A")</f>
        <v>30</v>
      </c>
      <c r="J75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5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5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54" s="50">
        <f>IF(AND(CRC_War_Room_SIMs[[#This Row],[CI]] = 0, CRC_War_Room_SIMs[[#This Row],[Miss]] = 1), 1, 0)</f>
        <v>0</v>
      </c>
      <c r="N75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54" s="49">
        <f>IF(AND(CRC_War_Room_SIMs[[#This Row],[Excluded]] = 0, OR(CRC_War_Room_SIMs[[#This Row],[False Resolution Miss]] &lt;&gt; "", ISNUMBER(SEARCH("False Resolution", CRC_War_Room_SIMs[[#This Row],[Labels]])))), 1, 0)</f>
        <v>0</v>
      </c>
      <c r="P754" s="50">
        <f>IF(AND(CRC_War_Room_SIMs[[#This Row],[Excluded]] = 0, OR(CRC_War_Room_SIMs[[#This Row],[SLA Miss]] &lt;&gt; "", ISNUMBER(SEARCH("SLA", CRC_War_Room_SIMs[[#This Row],[Labels]])))), 1, 0)</f>
        <v>0</v>
      </c>
    </row>
    <row r="755" spans="1:16" x14ac:dyDescent="0.25">
      <c r="A755" t="s">
        <v>3341</v>
      </c>
      <c r="B755" t="s">
        <v>2578</v>
      </c>
      <c r="C755" t="s">
        <v>3269</v>
      </c>
      <c r="H75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55" s="49">
        <f ca="1">IFERROR(WEEKNUM(CRC_War_Room_SIMs[[#This Row],[Ops Date]]), "N/A")</f>
        <v>30</v>
      </c>
      <c r="J75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5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5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55" s="50">
        <f>IF(AND(CRC_War_Room_SIMs[[#This Row],[CI]] = 0, CRC_War_Room_SIMs[[#This Row],[Miss]] = 1), 1, 0)</f>
        <v>0</v>
      </c>
      <c r="N75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55" s="49">
        <f>IF(AND(CRC_War_Room_SIMs[[#This Row],[Excluded]] = 0, OR(CRC_War_Room_SIMs[[#This Row],[False Resolution Miss]] &lt;&gt; "", ISNUMBER(SEARCH("False Resolution", CRC_War_Room_SIMs[[#This Row],[Labels]])))), 1, 0)</f>
        <v>0</v>
      </c>
      <c r="P755" s="50">
        <f>IF(AND(CRC_War_Room_SIMs[[#This Row],[Excluded]] = 0, OR(CRC_War_Room_SIMs[[#This Row],[SLA Miss]] &lt;&gt; "", ISNUMBER(SEARCH("SLA", CRC_War_Room_SIMs[[#This Row],[Labels]])))), 1, 0)</f>
        <v>0</v>
      </c>
    </row>
    <row r="756" spans="1:16" x14ac:dyDescent="0.25">
      <c r="A756" t="s">
        <v>3342</v>
      </c>
      <c r="B756" t="s">
        <v>2578</v>
      </c>
      <c r="C756" t="s">
        <v>3269</v>
      </c>
      <c r="H75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56" s="49">
        <f ca="1">IFERROR(WEEKNUM(CRC_War_Room_SIMs[[#This Row],[Ops Date]]), "N/A")</f>
        <v>30</v>
      </c>
      <c r="J75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5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5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56" s="50">
        <f>IF(AND(CRC_War_Room_SIMs[[#This Row],[CI]] = 0, CRC_War_Room_SIMs[[#This Row],[Miss]] = 1), 1, 0)</f>
        <v>0</v>
      </c>
      <c r="N75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56" s="49">
        <f>IF(AND(CRC_War_Room_SIMs[[#This Row],[Excluded]] = 0, OR(CRC_War_Room_SIMs[[#This Row],[False Resolution Miss]] &lt;&gt; "", ISNUMBER(SEARCH("False Resolution", CRC_War_Room_SIMs[[#This Row],[Labels]])))), 1, 0)</f>
        <v>0</v>
      </c>
      <c r="P756" s="50">
        <f>IF(AND(CRC_War_Room_SIMs[[#This Row],[Excluded]] = 0, OR(CRC_War_Room_SIMs[[#This Row],[SLA Miss]] &lt;&gt; "", ISNUMBER(SEARCH("SLA", CRC_War_Room_SIMs[[#This Row],[Labels]])))), 1, 0)</f>
        <v>0</v>
      </c>
    </row>
    <row r="757" spans="1:16" x14ac:dyDescent="0.25">
      <c r="A757" t="s">
        <v>3343</v>
      </c>
      <c r="B757" t="s">
        <v>2578</v>
      </c>
      <c r="C757" t="s">
        <v>3269</v>
      </c>
      <c r="H75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57" s="49">
        <f ca="1">IFERROR(WEEKNUM(CRC_War_Room_SIMs[[#This Row],[Ops Date]]), "N/A")</f>
        <v>30</v>
      </c>
      <c r="J75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5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5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57" s="50">
        <f>IF(AND(CRC_War_Room_SIMs[[#This Row],[CI]] = 0, CRC_War_Room_SIMs[[#This Row],[Miss]] = 1), 1, 0)</f>
        <v>0</v>
      </c>
      <c r="N75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57" s="49">
        <f>IF(AND(CRC_War_Room_SIMs[[#This Row],[Excluded]] = 0, OR(CRC_War_Room_SIMs[[#This Row],[False Resolution Miss]] &lt;&gt; "", ISNUMBER(SEARCH("False Resolution", CRC_War_Room_SIMs[[#This Row],[Labels]])))), 1, 0)</f>
        <v>0</v>
      </c>
      <c r="P757" s="50">
        <f>IF(AND(CRC_War_Room_SIMs[[#This Row],[Excluded]] = 0, OR(CRC_War_Room_SIMs[[#This Row],[SLA Miss]] &lt;&gt; "", ISNUMBER(SEARCH("SLA", CRC_War_Room_SIMs[[#This Row],[Labels]])))), 1, 0)</f>
        <v>0</v>
      </c>
    </row>
    <row r="758" spans="1:16" x14ac:dyDescent="0.25">
      <c r="A758" t="s">
        <v>3344</v>
      </c>
      <c r="B758" t="s">
        <v>2578</v>
      </c>
      <c r="C758" t="s">
        <v>3269</v>
      </c>
      <c r="H75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58" s="49">
        <f ca="1">IFERROR(WEEKNUM(CRC_War_Room_SIMs[[#This Row],[Ops Date]]), "N/A")</f>
        <v>30</v>
      </c>
      <c r="J75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5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5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58" s="50">
        <f>IF(AND(CRC_War_Room_SIMs[[#This Row],[CI]] = 0, CRC_War_Room_SIMs[[#This Row],[Miss]] = 1), 1, 0)</f>
        <v>0</v>
      </c>
      <c r="N75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58" s="49">
        <f>IF(AND(CRC_War_Room_SIMs[[#This Row],[Excluded]] = 0, OR(CRC_War_Room_SIMs[[#This Row],[False Resolution Miss]] &lt;&gt; "", ISNUMBER(SEARCH("False Resolution", CRC_War_Room_SIMs[[#This Row],[Labels]])))), 1, 0)</f>
        <v>0</v>
      </c>
      <c r="P758" s="50">
        <f>IF(AND(CRC_War_Room_SIMs[[#This Row],[Excluded]] = 0, OR(CRC_War_Room_SIMs[[#This Row],[SLA Miss]] &lt;&gt; "", ISNUMBER(SEARCH("SLA", CRC_War_Room_SIMs[[#This Row],[Labels]])))), 1, 0)</f>
        <v>0</v>
      </c>
    </row>
    <row r="759" spans="1:16" x14ac:dyDescent="0.25">
      <c r="A759" t="s">
        <v>3345</v>
      </c>
      <c r="B759" t="s">
        <v>3346</v>
      </c>
      <c r="C759" t="s">
        <v>3269</v>
      </c>
      <c r="H75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59" s="49">
        <f ca="1">IFERROR(WEEKNUM(CRC_War_Room_SIMs[[#This Row],[Ops Date]]), "N/A")</f>
        <v>30</v>
      </c>
      <c r="J75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5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5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59" s="50">
        <f>IF(AND(CRC_War_Room_SIMs[[#This Row],[CI]] = 0, CRC_War_Room_SIMs[[#This Row],[Miss]] = 1), 1, 0)</f>
        <v>0</v>
      </c>
      <c r="N75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59" s="49">
        <f>IF(AND(CRC_War_Room_SIMs[[#This Row],[Excluded]] = 0, OR(CRC_War_Room_SIMs[[#This Row],[False Resolution Miss]] &lt;&gt; "", ISNUMBER(SEARCH("False Resolution", CRC_War_Room_SIMs[[#This Row],[Labels]])))), 1, 0)</f>
        <v>0</v>
      </c>
      <c r="P759" s="50">
        <f>IF(AND(CRC_War_Room_SIMs[[#This Row],[Excluded]] = 0, OR(CRC_War_Room_SIMs[[#This Row],[SLA Miss]] &lt;&gt; "", ISNUMBER(SEARCH("SLA", CRC_War_Room_SIMs[[#This Row],[Labels]])))), 1, 0)</f>
        <v>0</v>
      </c>
    </row>
    <row r="760" spans="1:16" x14ac:dyDescent="0.25">
      <c r="A760" t="s">
        <v>3347</v>
      </c>
      <c r="B760" t="s">
        <v>3268</v>
      </c>
      <c r="C760" t="s">
        <v>3269</v>
      </c>
      <c r="H76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60" s="49">
        <f ca="1">IFERROR(WEEKNUM(CRC_War_Room_SIMs[[#This Row],[Ops Date]]), "N/A")</f>
        <v>30</v>
      </c>
      <c r="J76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6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6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60" s="50">
        <f>IF(AND(CRC_War_Room_SIMs[[#This Row],[CI]] = 0, CRC_War_Room_SIMs[[#This Row],[Miss]] = 1), 1, 0)</f>
        <v>0</v>
      </c>
      <c r="N76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60" s="49">
        <f>IF(AND(CRC_War_Room_SIMs[[#This Row],[Excluded]] = 0, OR(CRC_War_Room_SIMs[[#This Row],[False Resolution Miss]] &lt;&gt; "", ISNUMBER(SEARCH("False Resolution", CRC_War_Room_SIMs[[#This Row],[Labels]])))), 1, 0)</f>
        <v>0</v>
      </c>
      <c r="P760" s="50">
        <f>IF(AND(CRC_War_Room_SIMs[[#This Row],[Excluded]] = 0, OR(CRC_War_Room_SIMs[[#This Row],[SLA Miss]] &lt;&gt; "", ISNUMBER(SEARCH("SLA", CRC_War_Room_SIMs[[#This Row],[Labels]])))), 1, 0)</f>
        <v>0</v>
      </c>
    </row>
    <row r="761" spans="1:16" x14ac:dyDescent="0.25">
      <c r="A761" t="s">
        <v>3348</v>
      </c>
      <c r="B761" t="s">
        <v>3346</v>
      </c>
      <c r="C761" t="s">
        <v>3269</v>
      </c>
      <c r="H76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61" s="49">
        <f ca="1">IFERROR(WEEKNUM(CRC_War_Room_SIMs[[#This Row],[Ops Date]]), "N/A")</f>
        <v>30</v>
      </c>
      <c r="J76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6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6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61" s="50">
        <f>IF(AND(CRC_War_Room_SIMs[[#This Row],[CI]] = 0, CRC_War_Room_SIMs[[#This Row],[Miss]] = 1), 1, 0)</f>
        <v>0</v>
      </c>
      <c r="N76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61" s="49">
        <f>IF(AND(CRC_War_Room_SIMs[[#This Row],[Excluded]] = 0, OR(CRC_War_Room_SIMs[[#This Row],[False Resolution Miss]] &lt;&gt; "", ISNUMBER(SEARCH("False Resolution", CRC_War_Room_SIMs[[#This Row],[Labels]])))), 1, 0)</f>
        <v>0</v>
      </c>
      <c r="P761" s="50">
        <f>IF(AND(CRC_War_Room_SIMs[[#This Row],[Excluded]] = 0, OR(CRC_War_Room_SIMs[[#This Row],[SLA Miss]] &lt;&gt; "", ISNUMBER(SEARCH("SLA", CRC_War_Room_SIMs[[#This Row],[Labels]])))), 1, 0)</f>
        <v>0</v>
      </c>
    </row>
    <row r="762" spans="1:16" x14ac:dyDescent="0.25">
      <c r="A762" t="s">
        <v>3349</v>
      </c>
      <c r="B762" t="s">
        <v>3268</v>
      </c>
      <c r="C762" t="s">
        <v>3269</v>
      </c>
      <c r="H76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62" s="49">
        <f ca="1">IFERROR(WEEKNUM(CRC_War_Room_SIMs[[#This Row],[Ops Date]]), "N/A")</f>
        <v>30</v>
      </c>
      <c r="J76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6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6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62" s="50">
        <f>IF(AND(CRC_War_Room_SIMs[[#This Row],[CI]] = 0, CRC_War_Room_SIMs[[#This Row],[Miss]] = 1), 1, 0)</f>
        <v>0</v>
      </c>
      <c r="N76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62" s="49">
        <f>IF(AND(CRC_War_Room_SIMs[[#This Row],[Excluded]] = 0, OR(CRC_War_Room_SIMs[[#This Row],[False Resolution Miss]] &lt;&gt; "", ISNUMBER(SEARCH("False Resolution", CRC_War_Room_SIMs[[#This Row],[Labels]])))), 1, 0)</f>
        <v>0</v>
      </c>
      <c r="P762" s="50">
        <f>IF(AND(CRC_War_Room_SIMs[[#This Row],[Excluded]] = 0, OR(CRC_War_Room_SIMs[[#This Row],[SLA Miss]] &lt;&gt; "", ISNUMBER(SEARCH("SLA", CRC_War_Room_SIMs[[#This Row],[Labels]])))), 1, 0)</f>
        <v>0</v>
      </c>
    </row>
    <row r="763" spans="1:16" x14ac:dyDescent="0.25">
      <c r="A763" t="s">
        <v>3350</v>
      </c>
      <c r="B763" t="s">
        <v>3268</v>
      </c>
      <c r="C763" t="s">
        <v>3269</v>
      </c>
      <c r="H76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63" s="49">
        <f ca="1">IFERROR(WEEKNUM(CRC_War_Room_SIMs[[#This Row],[Ops Date]]), "N/A")</f>
        <v>30</v>
      </c>
      <c r="J76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6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6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63" s="50">
        <f>IF(AND(CRC_War_Room_SIMs[[#This Row],[CI]] = 0, CRC_War_Room_SIMs[[#This Row],[Miss]] = 1), 1, 0)</f>
        <v>0</v>
      </c>
      <c r="N76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63" s="49">
        <f>IF(AND(CRC_War_Room_SIMs[[#This Row],[Excluded]] = 0, OR(CRC_War_Room_SIMs[[#This Row],[False Resolution Miss]] &lt;&gt; "", ISNUMBER(SEARCH("False Resolution", CRC_War_Room_SIMs[[#This Row],[Labels]])))), 1, 0)</f>
        <v>0</v>
      </c>
      <c r="P763" s="50">
        <f>IF(AND(CRC_War_Room_SIMs[[#This Row],[Excluded]] = 0, OR(CRC_War_Room_SIMs[[#This Row],[SLA Miss]] &lt;&gt; "", ISNUMBER(SEARCH("SLA", CRC_War_Room_SIMs[[#This Row],[Labels]])))), 1, 0)</f>
        <v>0</v>
      </c>
    </row>
    <row r="764" spans="1:16" x14ac:dyDescent="0.25">
      <c r="A764" t="s">
        <v>3351</v>
      </c>
      <c r="B764" t="s">
        <v>3268</v>
      </c>
      <c r="C764" t="s">
        <v>3269</v>
      </c>
      <c r="H76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64" s="49">
        <f ca="1">IFERROR(WEEKNUM(CRC_War_Room_SIMs[[#This Row],[Ops Date]]), "N/A")</f>
        <v>30</v>
      </c>
      <c r="J76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6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6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64" s="50">
        <f>IF(AND(CRC_War_Room_SIMs[[#This Row],[CI]] = 0, CRC_War_Room_SIMs[[#This Row],[Miss]] = 1), 1, 0)</f>
        <v>0</v>
      </c>
      <c r="N76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64" s="49">
        <f>IF(AND(CRC_War_Room_SIMs[[#This Row],[Excluded]] = 0, OR(CRC_War_Room_SIMs[[#This Row],[False Resolution Miss]] &lt;&gt; "", ISNUMBER(SEARCH("False Resolution", CRC_War_Room_SIMs[[#This Row],[Labels]])))), 1, 0)</f>
        <v>0</v>
      </c>
      <c r="P764" s="50">
        <f>IF(AND(CRC_War_Room_SIMs[[#This Row],[Excluded]] = 0, OR(CRC_War_Room_SIMs[[#This Row],[SLA Miss]] &lt;&gt; "", ISNUMBER(SEARCH("SLA", CRC_War_Room_SIMs[[#This Row],[Labels]])))), 1, 0)</f>
        <v>0</v>
      </c>
    </row>
    <row r="765" spans="1:16" x14ac:dyDescent="0.25">
      <c r="A765" t="s">
        <v>3352</v>
      </c>
      <c r="B765" t="s">
        <v>3268</v>
      </c>
      <c r="C765" t="s">
        <v>3269</v>
      </c>
      <c r="H76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65" s="49">
        <f ca="1">IFERROR(WEEKNUM(CRC_War_Room_SIMs[[#This Row],[Ops Date]]), "N/A")</f>
        <v>30</v>
      </c>
      <c r="J76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6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6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65" s="50">
        <f>IF(AND(CRC_War_Room_SIMs[[#This Row],[CI]] = 0, CRC_War_Room_SIMs[[#This Row],[Miss]] = 1), 1, 0)</f>
        <v>0</v>
      </c>
      <c r="N76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65" s="49">
        <f>IF(AND(CRC_War_Room_SIMs[[#This Row],[Excluded]] = 0, OR(CRC_War_Room_SIMs[[#This Row],[False Resolution Miss]] &lt;&gt; "", ISNUMBER(SEARCH("False Resolution", CRC_War_Room_SIMs[[#This Row],[Labels]])))), 1, 0)</f>
        <v>0</v>
      </c>
      <c r="P765" s="50">
        <f>IF(AND(CRC_War_Room_SIMs[[#This Row],[Excluded]] = 0, OR(CRC_War_Room_SIMs[[#This Row],[SLA Miss]] &lt;&gt; "", ISNUMBER(SEARCH("SLA", CRC_War_Room_SIMs[[#This Row],[Labels]])))), 1, 0)</f>
        <v>0</v>
      </c>
    </row>
    <row r="766" spans="1:16" x14ac:dyDescent="0.25">
      <c r="A766" t="s">
        <v>3353</v>
      </c>
      <c r="B766" t="s">
        <v>3268</v>
      </c>
      <c r="C766" t="s">
        <v>3311</v>
      </c>
      <c r="H76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66" s="49">
        <f ca="1">IFERROR(WEEKNUM(CRC_War_Room_SIMs[[#This Row],[Ops Date]]), "N/A")</f>
        <v>30</v>
      </c>
      <c r="J76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6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76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766" s="50">
        <f>IF(AND(CRC_War_Room_SIMs[[#This Row],[CI]] = 0, CRC_War_Room_SIMs[[#This Row],[Miss]] = 1), 1, 0)</f>
        <v>0</v>
      </c>
      <c r="N76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66" s="49">
        <f>IF(AND(CRC_War_Room_SIMs[[#This Row],[Excluded]] = 0, OR(CRC_War_Room_SIMs[[#This Row],[False Resolution Miss]] &lt;&gt; "", ISNUMBER(SEARCH("False Resolution", CRC_War_Room_SIMs[[#This Row],[Labels]])))), 1, 0)</f>
        <v>0</v>
      </c>
      <c r="P766" s="50">
        <f>IF(AND(CRC_War_Room_SIMs[[#This Row],[Excluded]] = 0, OR(CRC_War_Room_SIMs[[#This Row],[SLA Miss]] &lt;&gt; "", ISNUMBER(SEARCH("SLA", CRC_War_Room_SIMs[[#This Row],[Labels]])))), 1, 0)</f>
        <v>0</v>
      </c>
    </row>
    <row r="767" spans="1:16" x14ac:dyDescent="0.25">
      <c r="A767" t="s">
        <v>3354</v>
      </c>
      <c r="B767" t="s">
        <v>3268</v>
      </c>
      <c r="C767" t="s">
        <v>3269</v>
      </c>
      <c r="H76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67" s="49">
        <f ca="1">IFERROR(WEEKNUM(CRC_War_Room_SIMs[[#This Row],[Ops Date]]), "N/A")</f>
        <v>30</v>
      </c>
      <c r="J76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6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6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67" s="50">
        <f>IF(AND(CRC_War_Room_SIMs[[#This Row],[CI]] = 0, CRC_War_Room_SIMs[[#This Row],[Miss]] = 1), 1, 0)</f>
        <v>0</v>
      </c>
      <c r="N76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67" s="49">
        <f>IF(AND(CRC_War_Room_SIMs[[#This Row],[Excluded]] = 0, OR(CRC_War_Room_SIMs[[#This Row],[False Resolution Miss]] &lt;&gt; "", ISNUMBER(SEARCH("False Resolution", CRC_War_Room_SIMs[[#This Row],[Labels]])))), 1, 0)</f>
        <v>0</v>
      </c>
      <c r="P767" s="50">
        <f>IF(AND(CRC_War_Room_SIMs[[#This Row],[Excluded]] = 0, OR(CRC_War_Room_SIMs[[#This Row],[SLA Miss]] &lt;&gt; "", ISNUMBER(SEARCH("SLA", CRC_War_Room_SIMs[[#This Row],[Labels]])))), 1, 0)</f>
        <v>0</v>
      </c>
    </row>
    <row r="768" spans="1:16" x14ac:dyDescent="0.25">
      <c r="A768" t="s">
        <v>3355</v>
      </c>
      <c r="B768" t="s">
        <v>3268</v>
      </c>
      <c r="C768" t="s">
        <v>3269</v>
      </c>
      <c r="H76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68" s="49">
        <f ca="1">IFERROR(WEEKNUM(CRC_War_Room_SIMs[[#This Row],[Ops Date]]), "N/A")</f>
        <v>30</v>
      </c>
      <c r="J76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6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6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68" s="50">
        <f>IF(AND(CRC_War_Room_SIMs[[#This Row],[CI]] = 0, CRC_War_Room_SIMs[[#This Row],[Miss]] = 1), 1, 0)</f>
        <v>0</v>
      </c>
      <c r="N76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68" s="49">
        <f>IF(AND(CRC_War_Room_SIMs[[#This Row],[Excluded]] = 0, OR(CRC_War_Room_SIMs[[#This Row],[False Resolution Miss]] &lt;&gt; "", ISNUMBER(SEARCH("False Resolution", CRC_War_Room_SIMs[[#This Row],[Labels]])))), 1, 0)</f>
        <v>0</v>
      </c>
      <c r="P768" s="50">
        <f>IF(AND(CRC_War_Room_SIMs[[#This Row],[Excluded]] = 0, OR(CRC_War_Room_SIMs[[#This Row],[SLA Miss]] &lt;&gt; "", ISNUMBER(SEARCH("SLA", CRC_War_Room_SIMs[[#This Row],[Labels]])))), 1, 0)</f>
        <v>0</v>
      </c>
    </row>
    <row r="769" spans="1:16" x14ac:dyDescent="0.25">
      <c r="A769" t="s">
        <v>3356</v>
      </c>
      <c r="B769" t="s">
        <v>3268</v>
      </c>
      <c r="C769" t="s">
        <v>3269</v>
      </c>
      <c r="H76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69" s="49">
        <f ca="1">IFERROR(WEEKNUM(CRC_War_Room_SIMs[[#This Row],[Ops Date]]), "N/A")</f>
        <v>30</v>
      </c>
      <c r="J76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6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6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69" s="50">
        <f>IF(AND(CRC_War_Room_SIMs[[#This Row],[CI]] = 0, CRC_War_Room_SIMs[[#This Row],[Miss]] = 1), 1, 0)</f>
        <v>0</v>
      </c>
      <c r="N76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69" s="49">
        <f>IF(AND(CRC_War_Room_SIMs[[#This Row],[Excluded]] = 0, OR(CRC_War_Room_SIMs[[#This Row],[False Resolution Miss]] &lt;&gt; "", ISNUMBER(SEARCH("False Resolution", CRC_War_Room_SIMs[[#This Row],[Labels]])))), 1, 0)</f>
        <v>0</v>
      </c>
      <c r="P769" s="50">
        <f>IF(AND(CRC_War_Room_SIMs[[#This Row],[Excluded]] = 0, OR(CRC_War_Room_SIMs[[#This Row],[SLA Miss]] &lt;&gt; "", ISNUMBER(SEARCH("SLA", CRC_War_Room_SIMs[[#This Row],[Labels]])))), 1, 0)</f>
        <v>0</v>
      </c>
    </row>
    <row r="770" spans="1:16" x14ac:dyDescent="0.25">
      <c r="A770" t="s">
        <v>3357</v>
      </c>
      <c r="B770" t="s">
        <v>3268</v>
      </c>
      <c r="C770" t="s">
        <v>3311</v>
      </c>
      <c r="H77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70" s="49">
        <f ca="1">IFERROR(WEEKNUM(CRC_War_Room_SIMs[[#This Row],[Ops Date]]), "N/A")</f>
        <v>30</v>
      </c>
      <c r="J77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7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77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770" s="50">
        <f>IF(AND(CRC_War_Room_SIMs[[#This Row],[CI]] = 0, CRC_War_Room_SIMs[[#This Row],[Miss]] = 1), 1, 0)</f>
        <v>0</v>
      </c>
      <c r="N77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70" s="49">
        <f>IF(AND(CRC_War_Room_SIMs[[#This Row],[Excluded]] = 0, OR(CRC_War_Room_SIMs[[#This Row],[False Resolution Miss]] &lt;&gt; "", ISNUMBER(SEARCH("False Resolution", CRC_War_Room_SIMs[[#This Row],[Labels]])))), 1, 0)</f>
        <v>0</v>
      </c>
      <c r="P770" s="50">
        <f>IF(AND(CRC_War_Room_SIMs[[#This Row],[Excluded]] = 0, OR(CRC_War_Room_SIMs[[#This Row],[SLA Miss]] &lt;&gt; "", ISNUMBER(SEARCH("SLA", CRC_War_Room_SIMs[[#This Row],[Labels]])))), 1, 0)</f>
        <v>0</v>
      </c>
    </row>
    <row r="771" spans="1:16" x14ac:dyDescent="0.25">
      <c r="A771" t="s">
        <v>3358</v>
      </c>
      <c r="B771" t="s">
        <v>3268</v>
      </c>
      <c r="C771" t="s">
        <v>3269</v>
      </c>
      <c r="H77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71" s="49">
        <f ca="1">IFERROR(WEEKNUM(CRC_War_Room_SIMs[[#This Row],[Ops Date]]), "N/A")</f>
        <v>30</v>
      </c>
      <c r="J77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7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7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71" s="50">
        <f>IF(AND(CRC_War_Room_SIMs[[#This Row],[CI]] = 0, CRC_War_Room_SIMs[[#This Row],[Miss]] = 1), 1, 0)</f>
        <v>0</v>
      </c>
      <c r="N77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71" s="49">
        <f>IF(AND(CRC_War_Room_SIMs[[#This Row],[Excluded]] = 0, OR(CRC_War_Room_SIMs[[#This Row],[False Resolution Miss]] &lt;&gt; "", ISNUMBER(SEARCH("False Resolution", CRC_War_Room_SIMs[[#This Row],[Labels]])))), 1, 0)</f>
        <v>0</v>
      </c>
      <c r="P771" s="50">
        <f>IF(AND(CRC_War_Room_SIMs[[#This Row],[Excluded]] = 0, OR(CRC_War_Room_SIMs[[#This Row],[SLA Miss]] &lt;&gt; "", ISNUMBER(SEARCH("SLA", CRC_War_Room_SIMs[[#This Row],[Labels]])))), 1, 0)</f>
        <v>0</v>
      </c>
    </row>
    <row r="772" spans="1:16" x14ac:dyDescent="0.25">
      <c r="A772" t="s">
        <v>3359</v>
      </c>
      <c r="B772" t="s">
        <v>3268</v>
      </c>
      <c r="C772" t="s">
        <v>3269</v>
      </c>
      <c r="H77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72" s="49">
        <f ca="1">IFERROR(WEEKNUM(CRC_War_Room_SIMs[[#This Row],[Ops Date]]), "N/A")</f>
        <v>30</v>
      </c>
      <c r="J77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7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7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72" s="50">
        <f>IF(AND(CRC_War_Room_SIMs[[#This Row],[CI]] = 0, CRC_War_Room_SIMs[[#This Row],[Miss]] = 1), 1, 0)</f>
        <v>0</v>
      </c>
      <c r="N77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72" s="49">
        <f>IF(AND(CRC_War_Room_SIMs[[#This Row],[Excluded]] = 0, OR(CRC_War_Room_SIMs[[#This Row],[False Resolution Miss]] &lt;&gt; "", ISNUMBER(SEARCH("False Resolution", CRC_War_Room_SIMs[[#This Row],[Labels]])))), 1, 0)</f>
        <v>0</v>
      </c>
      <c r="P772" s="50">
        <f>IF(AND(CRC_War_Room_SIMs[[#This Row],[Excluded]] = 0, OR(CRC_War_Room_SIMs[[#This Row],[SLA Miss]] &lt;&gt; "", ISNUMBER(SEARCH("SLA", CRC_War_Room_SIMs[[#This Row],[Labels]])))), 1, 0)</f>
        <v>0</v>
      </c>
    </row>
    <row r="773" spans="1:16" x14ac:dyDescent="0.25">
      <c r="A773" t="s">
        <v>3360</v>
      </c>
      <c r="B773" t="s">
        <v>3268</v>
      </c>
      <c r="C773" t="s">
        <v>3269</v>
      </c>
      <c r="H77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73" s="49">
        <f ca="1">IFERROR(WEEKNUM(CRC_War_Room_SIMs[[#This Row],[Ops Date]]), "N/A")</f>
        <v>30</v>
      </c>
      <c r="J77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7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7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73" s="50">
        <f>IF(AND(CRC_War_Room_SIMs[[#This Row],[CI]] = 0, CRC_War_Room_SIMs[[#This Row],[Miss]] = 1), 1, 0)</f>
        <v>0</v>
      </c>
      <c r="N77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73" s="49">
        <f>IF(AND(CRC_War_Room_SIMs[[#This Row],[Excluded]] = 0, OR(CRC_War_Room_SIMs[[#This Row],[False Resolution Miss]] &lt;&gt; "", ISNUMBER(SEARCH("False Resolution", CRC_War_Room_SIMs[[#This Row],[Labels]])))), 1, 0)</f>
        <v>0</v>
      </c>
      <c r="P773" s="50">
        <f>IF(AND(CRC_War_Room_SIMs[[#This Row],[Excluded]] = 0, OR(CRC_War_Room_SIMs[[#This Row],[SLA Miss]] &lt;&gt; "", ISNUMBER(SEARCH("SLA", CRC_War_Room_SIMs[[#This Row],[Labels]])))), 1, 0)</f>
        <v>0</v>
      </c>
    </row>
    <row r="774" spans="1:16" x14ac:dyDescent="0.25">
      <c r="A774" t="s">
        <v>3361</v>
      </c>
      <c r="B774" t="s">
        <v>3268</v>
      </c>
      <c r="C774" t="s">
        <v>3269</v>
      </c>
      <c r="H77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74" s="49">
        <f ca="1">IFERROR(WEEKNUM(CRC_War_Room_SIMs[[#This Row],[Ops Date]]), "N/A")</f>
        <v>30</v>
      </c>
      <c r="J77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7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7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74" s="50">
        <f>IF(AND(CRC_War_Room_SIMs[[#This Row],[CI]] = 0, CRC_War_Room_SIMs[[#This Row],[Miss]] = 1), 1, 0)</f>
        <v>0</v>
      </c>
      <c r="N77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74" s="49">
        <f>IF(AND(CRC_War_Room_SIMs[[#This Row],[Excluded]] = 0, OR(CRC_War_Room_SIMs[[#This Row],[False Resolution Miss]] &lt;&gt; "", ISNUMBER(SEARCH("False Resolution", CRC_War_Room_SIMs[[#This Row],[Labels]])))), 1, 0)</f>
        <v>0</v>
      </c>
      <c r="P774" s="50">
        <f>IF(AND(CRC_War_Room_SIMs[[#This Row],[Excluded]] = 0, OR(CRC_War_Room_SIMs[[#This Row],[SLA Miss]] &lt;&gt; "", ISNUMBER(SEARCH("SLA", CRC_War_Room_SIMs[[#This Row],[Labels]])))), 1, 0)</f>
        <v>0</v>
      </c>
    </row>
    <row r="775" spans="1:16" x14ac:dyDescent="0.25">
      <c r="A775" t="s">
        <v>3362</v>
      </c>
      <c r="B775" t="s">
        <v>3268</v>
      </c>
      <c r="C775" t="s">
        <v>3269</v>
      </c>
      <c r="H77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75" s="49">
        <f ca="1">IFERROR(WEEKNUM(CRC_War_Room_SIMs[[#This Row],[Ops Date]]), "N/A")</f>
        <v>30</v>
      </c>
      <c r="J77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7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7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75" s="50">
        <f>IF(AND(CRC_War_Room_SIMs[[#This Row],[CI]] = 0, CRC_War_Room_SIMs[[#This Row],[Miss]] = 1), 1, 0)</f>
        <v>0</v>
      </c>
      <c r="N77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75" s="49">
        <f>IF(AND(CRC_War_Room_SIMs[[#This Row],[Excluded]] = 0, OR(CRC_War_Room_SIMs[[#This Row],[False Resolution Miss]] &lt;&gt; "", ISNUMBER(SEARCH("False Resolution", CRC_War_Room_SIMs[[#This Row],[Labels]])))), 1, 0)</f>
        <v>0</v>
      </c>
      <c r="P775" s="50">
        <f>IF(AND(CRC_War_Room_SIMs[[#This Row],[Excluded]] = 0, OR(CRC_War_Room_SIMs[[#This Row],[SLA Miss]] &lt;&gt; "", ISNUMBER(SEARCH("SLA", CRC_War_Room_SIMs[[#This Row],[Labels]])))), 1, 0)</f>
        <v>0</v>
      </c>
    </row>
    <row r="776" spans="1:16" x14ac:dyDescent="0.25">
      <c r="A776" t="s">
        <v>3363</v>
      </c>
      <c r="B776" t="s">
        <v>3268</v>
      </c>
      <c r="C776" t="s">
        <v>3269</v>
      </c>
      <c r="H77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76" s="49">
        <f ca="1">IFERROR(WEEKNUM(CRC_War_Room_SIMs[[#This Row],[Ops Date]]), "N/A")</f>
        <v>30</v>
      </c>
      <c r="J77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7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7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76" s="50">
        <f>IF(AND(CRC_War_Room_SIMs[[#This Row],[CI]] = 0, CRC_War_Room_SIMs[[#This Row],[Miss]] = 1), 1, 0)</f>
        <v>0</v>
      </c>
      <c r="N77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76" s="49">
        <f>IF(AND(CRC_War_Room_SIMs[[#This Row],[Excluded]] = 0, OR(CRC_War_Room_SIMs[[#This Row],[False Resolution Miss]] &lt;&gt; "", ISNUMBER(SEARCH("False Resolution", CRC_War_Room_SIMs[[#This Row],[Labels]])))), 1, 0)</f>
        <v>0</v>
      </c>
      <c r="P776" s="50">
        <f>IF(AND(CRC_War_Room_SIMs[[#This Row],[Excluded]] = 0, OR(CRC_War_Room_SIMs[[#This Row],[SLA Miss]] &lt;&gt; "", ISNUMBER(SEARCH("SLA", CRC_War_Room_SIMs[[#This Row],[Labels]])))), 1, 0)</f>
        <v>0</v>
      </c>
    </row>
    <row r="777" spans="1:16" x14ac:dyDescent="0.25">
      <c r="A777" t="s">
        <v>3364</v>
      </c>
      <c r="B777" t="s">
        <v>3268</v>
      </c>
      <c r="C777" t="s">
        <v>3311</v>
      </c>
      <c r="H77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77" s="49">
        <f ca="1">IFERROR(WEEKNUM(CRC_War_Room_SIMs[[#This Row],[Ops Date]]), "N/A")</f>
        <v>30</v>
      </c>
      <c r="J77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7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77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777" s="50">
        <f>IF(AND(CRC_War_Room_SIMs[[#This Row],[CI]] = 0, CRC_War_Room_SIMs[[#This Row],[Miss]] = 1), 1, 0)</f>
        <v>0</v>
      </c>
      <c r="N77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77" s="49">
        <f>IF(AND(CRC_War_Room_SIMs[[#This Row],[Excluded]] = 0, OR(CRC_War_Room_SIMs[[#This Row],[False Resolution Miss]] &lt;&gt; "", ISNUMBER(SEARCH("False Resolution", CRC_War_Room_SIMs[[#This Row],[Labels]])))), 1, 0)</f>
        <v>0</v>
      </c>
      <c r="P777" s="50">
        <f>IF(AND(CRC_War_Room_SIMs[[#This Row],[Excluded]] = 0, OR(CRC_War_Room_SIMs[[#This Row],[SLA Miss]] &lt;&gt; "", ISNUMBER(SEARCH("SLA", CRC_War_Room_SIMs[[#This Row],[Labels]])))), 1, 0)</f>
        <v>0</v>
      </c>
    </row>
    <row r="778" spans="1:16" x14ac:dyDescent="0.25">
      <c r="A778" t="s">
        <v>3365</v>
      </c>
      <c r="B778" t="s">
        <v>3268</v>
      </c>
      <c r="C778" t="s">
        <v>3269</v>
      </c>
      <c r="H77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78" s="49">
        <f ca="1">IFERROR(WEEKNUM(CRC_War_Room_SIMs[[#This Row],[Ops Date]]), "N/A")</f>
        <v>30</v>
      </c>
      <c r="J77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7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7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78" s="50">
        <f>IF(AND(CRC_War_Room_SIMs[[#This Row],[CI]] = 0, CRC_War_Room_SIMs[[#This Row],[Miss]] = 1), 1, 0)</f>
        <v>0</v>
      </c>
      <c r="N77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78" s="49">
        <f>IF(AND(CRC_War_Room_SIMs[[#This Row],[Excluded]] = 0, OR(CRC_War_Room_SIMs[[#This Row],[False Resolution Miss]] &lt;&gt; "", ISNUMBER(SEARCH("False Resolution", CRC_War_Room_SIMs[[#This Row],[Labels]])))), 1, 0)</f>
        <v>0</v>
      </c>
      <c r="P778" s="50">
        <f>IF(AND(CRC_War_Room_SIMs[[#This Row],[Excluded]] = 0, OR(CRC_War_Room_SIMs[[#This Row],[SLA Miss]] &lt;&gt; "", ISNUMBER(SEARCH("SLA", CRC_War_Room_SIMs[[#This Row],[Labels]])))), 1, 0)</f>
        <v>0</v>
      </c>
    </row>
    <row r="779" spans="1:16" x14ac:dyDescent="0.25">
      <c r="A779" t="s">
        <v>3366</v>
      </c>
      <c r="B779" t="s">
        <v>3268</v>
      </c>
      <c r="C779" t="s">
        <v>3269</v>
      </c>
      <c r="H77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79" s="49">
        <f ca="1">IFERROR(WEEKNUM(CRC_War_Room_SIMs[[#This Row],[Ops Date]]), "N/A")</f>
        <v>30</v>
      </c>
      <c r="J77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7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7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79" s="50">
        <f>IF(AND(CRC_War_Room_SIMs[[#This Row],[CI]] = 0, CRC_War_Room_SIMs[[#This Row],[Miss]] = 1), 1, 0)</f>
        <v>0</v>
      </c>
      <c r="N77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79" s="49">
        <f>IF(AND(CRC_War_Room_SIMs[[#This Row],[Excluded]] = 0, OR(CRC_War_Room_SIMs[[#This Row],[False Resolution Miss]] &lt;&gt; "", ISNUMBER(SEARCH("False Resolution", CRC_War_Room_SIMs[[#This Row],[Labels]])))), 1, 0)</f>
        <v>0</v>
      </c>
      <c r="P779" s="50">
        <f>IF(AND(CRC_War_Room_SIMs[[#This Row],[Excluded]] = 0, OR(CRC_War_Room_SIMs[[#This Row],[SLA Miss]] &lt;&gt; "", ISNUMBER(SEARCH("SLA", CRC_War_Room_SIMs[[#This Row],[Labels]])))), 1, 0)</f>
        <v>0</v>
      </c>
    </row>
    <row r="780" spans="1:16" x14ac:dyDescent="0.25">
      <c r="A780" t="s">
        <v>3367</v>
      </c>
      <c r="B780" t="s">
        <v>3268</v>
      </c>
      <c r="C780" t="s">
        <v>3269</v>
      </c>
      <c r="H78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80" s="49">
        <f ca="1">IFERROR(WEEKNUM(CRC_War_Room_SIMs[[#This Row],[Ops Date]]), "N/A")</f>
        <v>30</v>
      </c>
      <c r="J78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8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8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80" s="50">
        <f>IF(AND(CRC_War_Room_SIMs[[#This Row],[CI]] = 0, CRC_War_Room_SIMs[[#This Row],[Miss]] = 1), 1, 0)</f>
        <v>0</v>
      </c>
      <c r="N78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80" s="49">
        <f>IF(AND(CRC_War_Room_SIMs[[#This Row],[Excluded]] = 0, OR(CRC_War_Room_SIMs[[#This Row],[False Resolution Miss]] &lt;&gt; "", ISNUMBER(SEARCH("False Resolution", CRC_War_Room_SIMs[[#This Row],[Labels]])))), 1, 0)</f>
        <v>0</v>
      </c>
      <c r="P780" s="50">
        <f>IF(AND(CRC_War_Room_SIMs[[#This Row],[Excluded]] = 0, OR(CRC_War_Room_SIMs[[#This Row],[SLA Miss]] &lt;&gt; "", ISNUMBER(SEARCH("SLA", CRC_War_Room_SIMs[[#This Row],[Labels]])))), 1, 0)</f>
        <v>0</v>
      </c>
    </row>
    <row r="781" spans="1:16" x14ac:dyDescent="0.25">
      <c r="A781" t="s">
        <v>3368</v>
      </c>
      <c r="B781" t="s">
        <v>3369</v>
      </c>
      <c r="C781" t="s">
        <v>3269</v>
      </c>
      <c r="H78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81" s="49">
        <f ca="1">IFERROR(WEEKNUM(CRC_War_Room_SIMs[[#This Row],[Ops Date]]), "N/A")</f>
        <v>30</v>
      </c>
      <c r="J78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8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8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81" s="50">
        <f>IF(AND(CRC_War_Room_SIMs[[#This Row],[CI]] = 0, CRC_War_Room_SIMs[[#This Row],[Miss]] = 1), 1, 0)</f>
        <v>0</v>
      </c>
      <c r="N78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81" s="49">
        <f>IF(AND(CRC_War_Room_SIMs[[#This Row],[Excluded]] = 0, OR(CRC_War_Room_SIMs[[#This Row],[False Resolution Miss]] &lt;&gt; "", ISNUMBER(SEARCH("False Resolution", CRC_War_Room_SIMs[[#This Row],[Labels]])))), 1, 0)</f>
        <v>0</v>
      </c>
      <c r="P781" s="50">
        <f>IF(AND(CRC_War_Room_SIMs[[#This Row],[Excluded]] = 0, OR(CRC_War_Room_SIMs[[#This Row],[SLA Miss]] &lt;&gt; "", ISNUMBER(SEARCH("SLA", CRC_War_Room_SIMs[[#This Row],[Labels]])))), 1, 0)</f>
        <v>0</v>
      </c>
    </row>
    <row r="782" spans="1:16" x14ac:dyDescent="0.25">
      <c r="A782" t="s">
        <v>3370</v>
      </c>
      <c r="B782" t="s">
        <v>3369</v>
      </c>
      <c r="C782" t="s">
        <v>3269</v>
      </c>
      <c r="H78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45494</v>
      </c>
      <c r="I782" s="49">
        <f ca="1">IFERROR(WEEKNUM(CRC_War_Room_SIMs[[#This Row],[Ops Date]]), "N/A")</f>
        <v>30</v>
      </c>
      <c r="J78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8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8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82" s="50">
        <f>IF(AND(CRC_War_Room_SIMs[[#This Row],[CI]] = 0, CRC_War_Room_SIMs[[#This Row],[Miss]] = 1), 1, 0)</f>
        <v>0</v>
      </c>
      <c r="N78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82" s="49">
        <f>IF(AND(CRC_War_Room_SIMs[[#This Row],[Excluded]] = 0, OR(CRC_War_Room_SIMs[[#This Row],[False Resolution Miss]] &lt;&gt; "", ISNUMBER(SEARCH("False Resolution", CRC_War_Room_SIMs[[#This Row],[Labels]])))), 1, 0)</f>
        <v>0</v>
      </c>
      <c r="P782" s="50">
        <f>IF(AND(CRC_War_Room_SIMs[[#This Row],[Excluded]] = 0, OR(CRC_War_Room_SIMs[[#This Row],[SLA Miss]] &lt;&gt; "", ISNUMBER(SEARCH("SLA", CRC_War_Room_SIMs[[#This Row],[Labels]])))), 1, 0)</f>
        <v>0</v>
      </c>
    </row>
    <row r="783" spans="1:16" x14ac:dyDescent="0.25">
      <c r="A783" t="s">
        <v>3371</v>
      </c>
      <c r="B783" t="s">
        <v>3372</v>
      </c>
      <c r="C783" t="s">
        <v>3373</v>
      </c>
      <c r="E783" t="s">
        <v>2490</v>
      </c>
      <c r="H78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783" s="49">
        <f ca="1">IFERROR(WEEKNUM(CRC_War_Room_SIMs[[#This Row],[Ops Date]]), "N/A")</f>
        <v>29</v>
      </c>
      <c r="J78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8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78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783" s="50">
        <f>IF(AND(CRC_War_Room_SIMs[[#This Row],[CI]] = 0, CRC_War_Room_SIMs[[#This Row],[Miss]] = 1), 1, 0)</f>
        <v>0</v>
      </c>
      <c r="N783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783" s="49">
        <f>IF(AND(CRC_War_Room_SIMs[[#This Row],[Excluded]] = 0, OR(CRC_War_Room_SIMs[[#This Row],[False Resolution Miss]] &lt;&gt; "", ISNUMBER(SEARCH("False Resolution", CRC_War_Room_SIMs[[#This Row],[Labels]])))), 1, 0)</f>
        <v>0</v>
      </c>
      <c r="P783" s="50">
        <f>IF(AND(CRC_War_Room_SIMs[[#This Row],[Excluded]] = 0, OR(CRC_War_Room_SIMs[[#This Row],[SLA Miss]] &lt;&gt; "", ISNUMBER(SEARCH("SLA", CRC_War_Room_SIMs[[#This Row],[Labels]])))), 1, 0)</f>
        <v>0</v>
      </c>
    </row>
    <row r="784" spans="1:16" x14ac:dyDescent="0.25">
      <c r="A784" t="s">
        <v>3374</v>
      </c>
      <c r="B784" t="s">
        <v>3375</v>
      </c>
      <c r="C784" t="s">
        <v>3376</v>
      </c>
      <c r="H78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784" s="49">
        <f ca="1">IFERROR(WEEKNUM(CRC_War_Room_SIMs[[#This Row],[Ops Date]]), "N/A")</f>
        <v>29</v>
      </c>
      <c r="J78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8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78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784" s="50">
        <f>IF(AND(CRC_War_Room_SIMs[[#This Row],[CI]] = 0, CRC_War_Room_SIMs[[#This Row],[Miss]] = 1), 1, 0)</f>
        <v>0</v>
      </c>
      <c r="N78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84" s="49">
        <f>IF(AND(CRC_War_Room_SIMs[[#This Row],[Excluded]] = 0, OR(CRC_War_Room_SIMs[[#This Row],[False Resolution Miss]] &lt;&gt; "", ISNUMBER(SEARCH("False Resolution", CRC_War_Room_SIMs[[#This Row],[Labels]])))), 1, 0)</f>
        <v>0</v>
      </c>
      <c r="P784" s="50">
        <f>IF(AND(CRC_War_Room_SIMs[[#This Row],[Excluded]] = 0, OR(CRC_War_Room_SIMs[[#This Row],[SLA Miss]] &lt;&gt; "", ISNUMBER(SEARCH("SLA", CRC_War_Room_SIMs[[#This Row],[Labels]])))), 1, 0)</f>
        <v>0</v>
      </c>
    </row>
    <row r="785" spans="1:16" x14ac:dyDescent="0.25">
      <c r="A785" t="s">
        <v>3377</v>
      </c>
      <c r="B785" t="s">
        <v>3375</v>
      </c>
      <c r="C785" t="s">
        <v>3376</v>
      </c>
      <c r="H78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785" s="49">
        <f ca="1">IFERROR(WEEKNUM(CRC_War_Room_SIMs[[#This Row],[Ops Date]]), "N/A")</f>
        <v>29</v>
      </c>
      <c r="J78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8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78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785" s="50">
        <f>IF(AND(CRC_War_Room_SIMs[[#This Row],[CI]] = 0, CRC_War_Room_SIMs[[#This Row],[Miss]] = 1), 1, 0)</f>
        <v>0</v>
      </c>
      <c r="N78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85" s="49">
        <f>IF(AND(CRC_War_Room_SIMs[[#This Row],[Excluded]] = 0, OR(CRC_War_Room_SIMs[[#This Row],[False Resolution Miss]] &lt;&gt; "", ISNUMBER(SEARCH("False Resolution", CRC_War_Room_SIMs[[#This Row],[Labels]])))), 1, 0)</f>
        <v>0</v>
      </c>
      <c r="P785" s="50">
        <f>IF(AND(CRC_War_Room_SIMs[[#This Row],[Excluded]] = 0, OR(CRC_War_Room_SIMs[[#This Row],[SLA Miss]] &lt;&gt; "", ISNUMBER(SEARCH("SLA", CRC_War_Room_SIMs[[#This Row],[Labels]])))), 1, 0)</f>
        <v>0</v>
      </c>
    </row>
    <row r="786" spans="1:16" x14ac:dyDescent="0.25">
      <c r="A786" t="s">
        <v>3378</v>
      </c>
      <c r="B786" t="s">
        <v>3379</v>
      </c>
      <c r="C786" t="s">
        <v>3376</v>
      </c>
      <c r="E786" t="s">
        <v>2473</v>
      </c>
      <c r="H78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786" s="49">
        <f ca="1">IFERROR(WEEKNUM(CRC_War_Room_SIMs[[#This Row],[Ops Date]]), "N/A")</f>
        <v>29</v>
      </c>
      <c r="J78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8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78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786" s="50">
        <f>IF(AND(CRC_War_Room_SIMs[[#This Row],[CI]] = 0, CRC_War_Room_SIMs[[#This Row],[Miss]] = 1), 1, 0)</f>
        <v>0</v>
      </c>
      <c r="N786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786" s="49">
        <f>IF(AND(CRC_War_Room_SIMs[[#This Row],[Excluded]] = 0, OR(CRC_War_Room_SIMs[[#This Row],[False Resolution Miss]] &lt;&gt; "", ISNUMBER(SEARCH("False Resolution", CRC_War_Room_SIMs[[#This Row],[Labels]])))), 1, 0)</f>
        <v>0</v>
      </c>
      <c r="P786" s="50">
        <f>IF(AND(CRC_War_Room_SIMs[[#This Row],[Excluded]] = 0, OR(CRC_War_Room_SIMs[[#This Row],[SLA Miss]] &lt;&gt; "", ISNUMBER(SEARCH("SLA", CRC_War_Room_SIMs[[#This Row],[Labels]])))), 1, 0)</f>
        <v>0</v>
      </c>
    </row>
    <row r="787" spans="1:16" x14ac:dyDescent="0.25">
      <c r="A787" t="s">
        <v>3380</v>
      </c>
      <c r="B787" t="s">
        <v>3381</v>
      </c>
      <c r="C787" t="s">
        <v>3382</v>
      </c>
      <c r="H78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787" s="49">
        <f ca="1">IFERROR(WEEKNUM(CRC_War_Room_SIMs[[#This Row],[Ops Date]]), "N/A")</f>
        <v>29</v>
      </c>
      <c r="J78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8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8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87" s="50">
        <f>IF(AND(CRC_War_Room_SIMs[[#This Row],[CI]] = 0, CRC_War_Room_SIMs[[#This Row],[Miss]] = 1), 1, 0)</f>
        <v>0</v>
      </c>
      <c r="N78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87" s="49">
        <f>IF(AND(CRC_War_Room_SIMs[[#This Row],[Excluded]] = 0, OR(CRC_War_Room_SIMs[[#This Row],[False Resolution Miss]] &lt;&gt; "", ISNUMBER(SEARCH("False Resolution", CRC_War_Room_SIMs[[#This Row],[Labels]])))), 1, 0)</f>
        <v>0</v>
      </c>
      <c r="P787" s="50">
        <f>IF(AND(CRC_War_Room_SIMs[[#This Row],[Excluded]] = 0, OR(CRC_War_Room_SIMs[[#This Row],[SLA Miss]] &lt;&gt; "", ISNUMBER(SEARCH("SLA", CRC_War_Room_SIMs[[#This Row],[Labels]])))), 1, 0)</f>
        <v>0</v>
      </c>
    </row>
    <row r="788" spans="1:16" x14ac:dyDescent="0.25">
      <c r="A788" t="s">
        <v>3383</v>
      </c>
      <c r="B788" t="s">
        <v>3384</v>
      </c>
      <c r="C788" t="s">
        <v>3382</v>
      </c>
      <c r="H78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788" s="49">
        <f ca="1">IFERROR(WEEKNUM(CRC_War_Room_SIMs[[#This Row],[Ops Date]]), "N/A")</f>
        <v>29</v>
      </c>
      <c r="J78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8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8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88" s="50">
        <f>IF(AND(CRC_War_Room_SIMs[[#This Row],[CI]] = 0, CRC_War_Room_SIMs[[#This Row],[Miss]] = 1), 1, 0)</f>
        <v>0</v>
      </c>
      <c r="N78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88" s="49">
        <f>IF(AND(CRC_War_Room_SIMs[[#This Row],[Excluded]] = 0, OR(CRC_War_Room_SIMs[[#This Row],[False Resolution Miss]] &lt;&gt; "", ISNUMBER(SEARCH("False Resolution", CRC_War_Room_SIMs[[#This Row],[Labels]])))), 1, 0)</f>
        <v>0</v>
      </c>
      <c r="P788" s="50">
        <f>IF(AND(CRC_War_Room_SIMs[[#This Row],[Excluded]] = 0, OR(CRC_War_Room_SIMs[[#This Row],[SLA Miss]] &lt;&gt; "", ISNUMBER(SEARCH("SLA", CRC_War_Room_SIMs[[#This Row],[Labels]])))), 1, 0)</f>
        <v>0</v>
      </c>
    </row>
    <row r="789" spans="1:16" x14ac:dyDescent="0.25">
      <c r="A789" t="s">
        <v>3385</v>
      </c>
      <c r="B789" t="s">
        <v>3386</v>
      </c>
      <c r="C789" t="s">
        <v>3382</v>
      </c>
      <c r="H78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789" s="49">
        <f ca="1">IFERROR(WEEKNUM(CRC_War_Room_SIMs[[#This Row],[Ops Date]]), "N/A")</f>
        <v>29</v>
      </c>
      <c r="J78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8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8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89" s="50">
        <f>IF(AND(CRC_War_Room_SIMs[[#This Row],[CI]] = 0, CRC_War_Room_SIMs[[#This Row],[Miss]] = 1), 1, 0)</f>
        <v>0</v>
      </c>
      <c r="N78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89" s="49">
        <f>IF(AND(CRC_War_Room_SIMs[[#This Row],[Excluded]] = 0, OR(CRC_War_Room_SIMs[[#This Row],[False Resolution Miss]] &lt;&gt; "", ISNUMBER(SEARCH("False Resolution", CRC_War_Room_SIMs[[#This Row],[Labels]])))), 1, 0)</f>
        <v>0</v>
      </c>
      <c r="P789" s="50">
        <f>IF(AND(CRC_War_Room_SIMs[[#This Row],[Excluded]] = 0, OR(CRC_War_Room_SIMs[[#This Row],[SLA Miss]] &lt;&gt; "", ISNUMBER(SEARCH("SLA", CRC_War_Room_SIMs[[#This Row],[Labels]])))), 1, 0)</f>
        <v>0</v>
      </c>
    </row>
    <row r="790" spans="1:16" x14ac:dyDescent="0.25">
      <c r="A790" t="s">
        <v>3387</v>
      </c>
      <c r="B790" t="s">
        <v>3375</v>
      </c>
      <c r="C790" t="s">
        <v>3382</v>
      </c>
      <c r="H79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790" s="49">
        <f ca="1">IFERROR(WEEKNUM(CRC_War_Room_SIMs[[#This Row],[Ops Date]]), "N/A")</f>
        <v>29</v>
      </c>
      <c r="J79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9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9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90" s="50">
        <f>IF(AND(CRC_War_Room_SIMs[[#This Row],[CI]] = 0, CRC_War_Room_SIMs[[#This Row],[Miss]] = 1), 1, 0)</f>
        <v>0</v>
      </c>
      <c r="N79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90" s="49">
        <f>IF(AND(CRC_War_Room_SIMs[[#This Row],[Excluded]] = 0, OR(CRC_War_Room_SIMs[[#This Row],[False Resolution Miss]] &lt;&gt; "", ISNUMBER(SEARCH("False Resolution", CRC_War_Room_SIMs[[#This Row],[Labels]])))), 1, 0)</f>
        <v>0</v>
      </c>
      <c r="P790" s="50">
        <f>IF(AND(CRC_War_Room_SIMs[[#This Row],[Excluded]] = 0, OR(CRC_War_Room_SIMs[[#This Row],[SLA Miss]] &lt;&gt; "", ISNUMBER(SEARCH("SLA", CRC_War_Room_SIMs[[#This Row],[Labels]])))), 1, 0)</f>
        <v>0</v>
      </c>
    </row>
    <row r="791" spans="1:16" x14ac:dyDescent="0.25">
      <c r="A791" t="s">
        <v>3388</v>
      </c>
      <c r="B791" t="s">
        <v>3375</v>
      </c>
      <c r="C791" t="s">
        <v>3382</v>
      </c>
      <c r="H79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791" s="49">
        <f ca="1">IFERROR(WEEKNUM(CRC_War_Room_SIMs[[#This Row],[Ops Date]]), "N/A")</f>
        <v>29</v>
      </c>
      <c r="J79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9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9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91" s="50">
        <f>IF(AND(CRC_War_Room_SIMs[[#This Row],[CI]] = 0, CRC_War_Room_SIMs[[#This Row],[Miss]] = 1), 1, 0)</f>
        <v>0</v>
      </c>
      <c r="N79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91" s="49">
        <f>IF(AND(CRC_War_Room_SIMs[[#This Row],[Excluded]] = 0, OR(CRC_War_Room_SIMs[[#This Row],[False Resolution Miss]] &lt;&gt; "", ISNUMBER(SEARCH("False Resolution", CRC_War_Room_SIMs[[#This Row],[Labels]])))), 1, 0)</f>
        <v>0</v>
      </c>
      <c r="P791" s="50">
        <f>IF(AND(CRC_War_Room_SIMs[[#This Row],[Excluded]] = 0, OR(CRC_War_Room_SIMs[[#This Row],[SLA Miss]] &lt;&gt; "", ISNUMBER(SEARCH("SLA", CRC_War_Room_SIMs[[#This Row],[Labels]])))), 1, 0)</f>
        <v>0</v>
      </c>
    </row>
    <row r="792" spans="1:16" x14ac:dyDescent="0.25">
      <c r="A792" t="s">
        <v>3389</v>
      </c>
      <c r="B792" t="s">
        <v>3375</v>
      </c>
      <c r="C792" t="s">
        <v>3382</v>
      </c>
      <c r="H79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792" s="49">
        <f ca="1">IFERROR(WEEKNUM(CRC_War_Room_SIMs[[#This Row],[Ops Date]]), "N/A")</f>
        <v>29</v>
      </c>
      <c r="J79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9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9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92" s="50">
        <f>IF(AND(CRC_War_Room_SIMs[[#This Row],[CI]] = 0, CRC_War_Room_SIMs[[#This Row],[Miss]] = 1), 1, 0)</f>
        <v>0</v>
      </c>
      <c r="N79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92" s="49">
        <f>IF(AND(CRC_War_Room_SIMs[[#This Row],[Excluded]] = 0, OR(CRC_War_Room_SIMs[[#This Row],[False Resolution Miss]] &lt;&gt; "", ISNUMBER(SEARCH("False Resolution", CRC_War_Room_SIMs[[#This Row],[Labels]])))), 1, 0)</f>
        <v>0</v>
      </c>
      <c r="P792" s="50">
        <f>IF(AND(CRC_War_Room_SIMs[[#This Row],[Excluded]] = 0, OR(CRC_War_Room_SIMs[[#This Row],[SLA Miss]] &lt;&gt; "", ISNUMBER(SEARCH("SLA", CRC_War_Room_SIMs[[#This Row],[Labels]])))), 1, 0)</f>
        <v>0</v>
      </c>
    </row>
    <row r="793" spans="1:16" x14ac:dyDescent="0.25">
      <c r="A793" t="s">
        <v>3390</v>
      </c>
      <c r="B793" t="s">
        <v>3375</v>
      </c>
      <c r="C793" t="s">
        <v>3382</v>
      </c>
      <c r="H79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793" s="49">
        <f ca="1">IFERROR(WEEKNUM(CRC_War_Room_SIMs[[#This Row],[Ops Date]]), "N/A")</f>
        <v>29</v>
      </c>
      <c r="J79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9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9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93" s="50">
        <f>IF(AND(CRC_War_Room_SIMs[[#This Row],[CI]] = 0, CRC_War_Room_SIMs[[#This Row],[Miss]] = 1), 1, 0)</f>
        <v>0</v>
      </c>
      <c r="N79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93" s="49">
        <f>IF(AND(CRC_War_Room_SIMs[[#This Row],[Excluded]] = 0, OR(CRC_War_Room_SIMs[[#This Row],[False Resolution Miss]] &lt;&gt; "", ISNUMBER(SEARCH("False Resolution", CRC_War_Room_SIMs[[#This Row],[Labels]])))), 1, 0)</f>
        <v>0</v>
      </c>
      <c r="P793" s="50">
        <f>IF(AND(CRC_War_Room_SIMs[[#This Row],[Excluded]] = 0, OR(CRC_War_Room_SIMs[[#This Row],[SLA Miss]] &lt;&gt; "", ISNUMBER(SEARCH("SLA", CRC_War_Room_SIMs[[#This Row],[Labels]])))), 1, 0)</f>
        <v>0</v>
      </c>
    </row>
    <row r="794" spans="1:16" x14ac:dyDescent="0.25">
      <c r="A794" t="s">
        <v>3391</v>
      </c>
      <c r="B794" t="s">
        <v>3375</v>
      </c>
      <c r="C794" t="s">
        <v>3382</v>
      </c>
      <c r="H79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794" s="49">
        <f ca="1">IFERROR(WEEKNUM(CRC_War_Room_SIMs[[#This Row],[Ops Date]]), "N/A")</f>
        <v>29</v>
      </c>
      <c r="J79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9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9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94" s="50">
        <f>IF(AND(CRC_War_Room_SIMs[[#This Row],[CI]] = 0, CRC_War_Room_SIMs[[#This Row],[Miss]] = 1), 1, 0)</f>
        <v>0</v>
      </c>
      <c r="N79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94" s="49">
        <f>IF(AND(CRC_War_Room_SIMs[[#This Row],[Excluded]] = 0, OR(CRC_War_Room_SIMs[[#This Row],[False Resolution Miss]] &lt;&gt; "", ISNUMBER(SEARCH("False Resolution", CRC_War_Room_SIMs[[#This Row],[Labels]])))), 1, 0)</f>
        <v>0</v>
      </c>
      <c r="P794" s="50">
        <f>IF(AND(CRC_War_Room_SIMs[[#This Row],[Excluded]] = 0, OR(CRC_War_Room_SIMs[[#This Row],[SLA Miss]] &lt;&gt; "", ISNUMBER(SEARCH("SLA", CRC_War_Room_SIMs[[#This Row],[Labels]])))), 1, 0)</f>
        <v>0</v>
      </c>
    </row>
    <row r="795" spans="1:16" x14ac:dyDescent="0.25">
      <c r="A795" t="s">
        <v>3392</v>
      </c>
      <c r="B795" t="s">
        <v>3386</v>
      </c>
      <c r="C795" t="s">
        <v>3382</v>
      </c>
      <c r="H79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795" s="49">
        <f ca="1">IFERROR(WEEKNUM(CRC_War_Room_SIMs[[#This Row],[Ops Date]]), "N/A")</f>
        <v>29</v>
      </c>
      <c r="J79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9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9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95" s="50">
        <f>IF(AND(CRC_War_Room_SIMs[[#This Row],[CI]] = 0, CRC_War_Room_SIMs[[#This Row],[Miss]] = 1), 1, 0)</f>
        <v>0</v>
      </c>
      <c r="N79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95" s="49">
        <f>IF(AND(CRC_War_Room_SIMs[[#This Row],[Excluded]] = 0, OR(CRC_War_Room_SIMs[[#This Row],[False Resolution Miss]] &lt;&gt; "", ISNUMBER(SEARCH("False Resolution", CRC_War_Room_SIMs[[#This Row],[Labels]])))), 1, 0)</f>
        <v>0</v>
      </c>
      <c r="P795" s="50">
        <f>IF(AND(CRC_War_Room_SIMs[[#This Row],[Excluded]] = 0, OR(CRC_War_Room_SIMs[[#This Row],[SLA Miss]] &lt;&gt; "", ISNUMBER(SEARCH("SLA", CRC_War_Room_SIMs[[#This Row],[Labels]])))), 1, 0)</f>
        <v>0</v>
      </c>
    </row>
    <row r="796" spans="1:16" x14ac:dyDescent="0.25">
      <c r="A796" t="s">
        <v>3393</v>
      </c>
      <c r="B796" t="s">
        <v>3386</v>
      </c>
      <c r="C796" t="s">
        <v>3382</v>
      </c>
      <c r="H79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796" s="49">
        <f ca="1">IFERROR(WEEKNUM(CRC_War_Room_SIMs[[#This Row],[Ops Date]]), "N/A")</f>
        <v>29</v>
      </c>
      <c r="J79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9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9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96" s="50">
        <f>IF(AND(CRC_War_Room_SIMs[[#This Row],[CI]] = 0, CRC_War_Room_SIMs[[#This Row],[Miss]] = 1), 1, 0)</f>
        <v>0</v>
      </c>
      <c r="N79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96" s="49">
        <f>IF(AND(CRC_War_Room_SIMs[[#This Row],[Excluded]] = 0, OR(CRC_War_Room_SIMs[[#This Row],[False Resolution Miss]] &lt;&gt; "", ISNUMBER(SEARCH("False Resolution", CRC_War_Room_SIMs[[#This Row],[Labels]])))), 1, 0)</f>
        <v>0</v>
      </c>
      <c r="P796" s="50">
        <f>IF(AND(CRC_War_Room_SIMs[[#This Row],[Excluded]] = 0, OR(CRC_War_Room_SIMs[[#This Row],[SLA Miss]] &lt;&gt; "", ISNUMBER(SEARCH("SLA", CRC_War_Room_SIMs[[#This Row],[Labels]])))), 1, 0)</f>
        <v>0</v>
      </c>
    </row>
    <row r="797" spans="1:16" x14ac:dyDescent="0.25">
      <c r="A797" t="s">
        <v>3394</v>
      </c>
      <c r="B797" t="s">
        <v>3386</v>
      </c>
      <c r="C797" t="s">
        <v>3382</v>
      </c>
      <c r="H79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797" s="49">
        <f ca="1">IFERROR(WEEKNUM(CRC_War_Room_SIMs[[#This Row],[Ops Date]]), "N/A")</f>
        <v>29</v>
      </c>
      <c r="J79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9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9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97" s="50">
        <f>IF(AND(CRC_War_Room_SIMs[[#This Row],[CI]] = 0, CRC_War_Room_SIMs[[#This Row],[Miss]] = 1), 1, 0)</f>
        <v>0</v>
      </c>
      <c r="N79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97" s="49">
        <f>IF(AND(CRC_War_Room_SIMs[[#This Row],[Excluded]] = 0, OR(CRC_War_Room_SIMs[[#This Row],[False Resolution Miss]] &lt;&gt; "", ISNUMBER(SEARCH("False Resolution", CRC_War_Room_SIMs[[#This Row],[Labels]])))), 1, 0)</f>
        <v>0</v>
      </c>
      <c r="P797" s="50">
        <f>IF(AND(CRC_War_Room_SIMs[[#This Row],[Excluded]] = 0, OR(CRC_War_Room_SIMs[[#This Row],[SLA Miss]] &lt;&gt; "", ISNUMBER(SEARCH("SLA", CRC_War_Room_SIMs[[#This Row],[Labels]])))), 1, 0)</f>
        <v>0</v>
      </c>
    </row>
    <row r="798" spans="1:16" x14ac:dyDescent="0.25">
      <c r="A798" t="s">
        <v>3395</v>
      </c>
      <c r="B798" t="s">
        <v>3379</v>
      </c>
      <c r="C798" t="s">
        <v>3382</v>
      </c>
      <c r="H79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798" s="49">
        <f ca="1">IFERROR(WEEKNUM(CRC_War_Room_SIMs[[#This Row],[Ops Date]]), "N/A")</f>
        <v>29</v>
      </c>
      <c r="J79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9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9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98" s="50">
        <f>IF(AND(CRC_War_Room_SIMs[[#This Row],[CI]] = 0, CRC_War_Room_SIMs[[#This Row],[Miss]] = 1), 1, 0)</f>
        <v>0</v>
      </c>
      <c r="N79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98" s="49">
        <f>IF(AND(CRC_War_Room_SIMs[[#This Row],[Excluded]] = 0, OR(CRC_War_Room_SIMs[[#This Row],[False Resolution Miss]] &lt;&gt; "", ISNUMBER(SEARCH("False Resolution", CRC_War_Room_SIMs[[#This Row],[Labels]])))), 1, 0)</f>
        <v>0</v>
      </c>
      <c r="P798" s="50">
        <f>IF(AND(CRC_War_Room_SIMs[[#This Row],[Excluded]] = 0, OR(CRC_War_Room_SIMs[[#This Row],[SLA Miss]] &lt;&gt; "", ISNUMBER(SEARCH("SLA", CRC_War_Room_SIMs[[#This Row],[Labels]])))), 1, 0)</f>
        <v>0</v>
      </c>
    </row>
    <row r="799" spans="1:16" x14ac:dyDescent="0.25">
      <c r="A799" t="s">
        <v>3396</v>
      </c>
      <c r="B799" t="s">
        <v>3379</v>
      </c>
      <c r="C799" t="s">
        <v>3382</v>
      </c>
      <c r="H79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799" s="49">
        <f ca="1">IFERROR(WEEKNUM(CRC_War_Room_SIMs[[#This Row],[Ops Date]]), "N/A")</f>
        <v>29</v>
      </c>
      <c r="J79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79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79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799" s="50">
        <f>IF(AND(CRC_War_Room_SIMs[[#This Row],[CI]] = 0, CRC_War_Room_SIMs[[#This Row],[Miss]] = 1), 1, 0)</f>
        <v>0</v>
      </c>
      <c r="N79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799" s="49">
        <f>IF(AND(CRC_War_Room_SIMs[[#This Row],[Excluded]] = 0, OR(CRC_War_Room_SIMs[[#This Row],[False Resolution Miss]] &lt;&gt; "", ISNUMBER(SEARCH("False Resolution", CRC_War_Room_SIMs[[#This Row],[Labels]])))), 1, 0)</f>
        <v>0</v>
      </c>
      <c r="P799" s="50">
        <f>IF(AND(CRC_War_Room_SIMs[[#This Row],[Excluded]] = 0, OR(CRC_War_Room_SIMs[[#This Row],[SLA Miss]] &lt;&gt; "", ISNUMBER(SEARCH("SLA", CRC_War_Room_SIMs[[#This Row],[Labels]])))), 1, 0)</f>
        <v>0</v>
      </c>
    </row>
    <row r="800" spans="1:16" x14ac:dyDescent="0.25">
      <c r="A800" t="s">
        <v>3397</v>
      </c>
      <c r="B800" t="s">
        <v>3379</v>
      </c>
      <c r="C800" t="s">
        <v>3382</v>
      </c>
      <c r="H80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00" s="49">
        <f ca="1">IFERROR(WEEKNUM(CRC_War_Room_SIMs[[#This Row],[Ops Date]]), "N/A")</f>
        <v>29</v>
      </c>
      <c r="J80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0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0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00" s="50">
        <f>IF(AND(CRC_War_Room_SIMs[[#This Row],[CI]] = 0, CRC_War_Room_SIMs[[#This Row],[Miss]] = 1), 1, 0)</f>
        <v>0</v>
      </c>
      <c r="N80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00" s="49">
        <f>IF(AND(CRC_War_Room_SIMs[[#This Row],[Excluded]] = 0, OR(CRC_War_Room_SIMs[[#This Row],[False Resolution Miss]] &lt;&gt; "", ISNUMBER(SEARCH("False Resolution", CRC_War_Room_SIMs[[#This Row],[Labels]])))), 1, 0)</f>
        <v>0</v>
      </c>
      <c r="P800" s="50">
        <f>IF(AND(CRC_War_Room_SIMs[[#This Row],[Excluded]] = 0, OR(CRC_War_Room_SIMs[[#This Row],[SLA Miss]] &lt;&gt; "", ISNUMBER(SEARCH("SLA", CRC_War_Room_SIMs[[#This Row],[Labels]])))), 1, 0)</f>
        <v>0</v>
      </c>
    </row>
    <row r="801" spans="1:16" x14ac:dyDescent="0.25">
      <c r="A801" t="s">
        <v>3398</v>
      </c>
      <c r="B801" t="s">
        <v>3379</v>
      </c>
      <c r="C801" t="s">
        <v>3382</v>
      </c>
      <c r="H80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01" s="49">
        <f ca="1">IFERROR(WEEKNUM(CRC_War_Room_SIMs[[#This Row],[Ops Date]]), "N/A")</f>
        <v>29</v>
      </c>
      <c r="J80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0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0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01" s="50">
        <f>IF(AND(CRC_War_Room_SIMs[[#This Row],[CI]] = 0, CRC_War_Room_SIMs[[#This Row],[Miss]] = 1), 1, 0)</f>
        <v>0</v>
      </c>
      <c r="N80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01" s="49">
        <f>IF(AND(CRC_War_Room_SIMs[[#This Row],[Excluded]] = 0, OR(CRC_War_Room_SIMs[[#This Row],[False Resolution Miss]] &lt;&gt; "", ISNUMBER(SEARCH("False Resolution", CRC_War_Room_SIMs[[#This Row],[Labels]])))), 1, 0)</f>
        <v>0</v>
      </c>
      <c r="P801" s="50">
        <f>IF(AND(CRC_War_Room_SIMs[[#This Row],[Excluded]] = 0, OR(CRC_War_Room_SIMs[[#This Row],[SLA Miss]] &lt;&gt; "", ISNUMBER(SEARCH("SLA", CRC_War_Room_SIMs[[#This Row],[Labels]])))), 1, 0)</f>
        <v>0</v>
      </c>
    </row>
    <row r="802" spans="1:16" x14ac:dyDescent="0.25">
      <c r="A802" t="s">
        <v>3399</v>
      </c>
      <c r="B802" t="s">
        <v>3379</v>
      </c>
      <c r="C802" t="s">
        <v>3382</v>
      </c>
      <c r="H80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02" s="49">
        <f ca="1">IFERROR(WEEKNUM(CRC_War_Room_SIMs[[#This Row],[Ops Date]]), "N/A")</f>
        <v>29</v>
      </c>
      <c r="J80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0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0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02" s="50">
        <f>IF(AND(CRC_War_Room_SIMs[[#This Row],[CI]] = 0, CRC_War_Room_SIMs[[#This Row],[Miss]] = 1), 1, 0)</f>
        <v>0</v>
      </c>
      <c r="N80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02" s="49">
        <f>IF(AND(CRC_War_Room_SIMs[[#This Row],[Excluded]] = 0, OR(CRC_War_Room_SIMs[[#This Row],[False Resolution Miss]] &lt;&gt; "", ISNUMBER(SEARCH("False Resolution", CRC_War_Room_SIMs[[#This Row],[Labels]])))), 1, 0)</f>
        <v>0</v>
      </c>
      <c r="P802" s="50">
        <f>IF(AND(CRC_War_Room_SIMs[[#This Row],[Excluded]] = 0, OR(CRC_War_Room_SIMs[[#This Row],[SLA Miss]] &lt;&gt; "", ISNUMBER(SEARCH("SLA", CRC_War_Room_SIMs[[#This Row],[Labels]])))), 1, 0)</f>
        <v>0</v>
      </c>
    </row>
    <row r="803" spans="1:16" x14ac:dyDescent="0.25">
      <c r="A803" t="s">
        <v>3400</v>
      </c>
      <c r="B803" t="s">
        <v>3401</v>
      </c>
      <c r="C803" t="s">
        <v>3382</v>
      </c>
      <c r="H80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03" s="49">
        <f ca="1">IFERROR(WEEKNUM(CRC_War_Room_SIMs[[#This Row],[Ops Date]]), "N/A")</f>
        <v>29</v>
      </c>
      <c r="J80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0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0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03" s="50">
        <f>IF(AND(CRC_War_Room_SIMs[[#This Row],[CI]] = 0, CRC_War_Room_SIMs[[#This Row],[Miss]] = 1), 1, 0)</f>
        <v>0</v>
      </c>
      <c r="N80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03" s="49">
        <f>IF(AND(CRC_War_Room_SIMs[[#This Row],[Excluded]] = 0, OR(CRC_War_Room_SIMs[[#This Row],[False Resolution Miss]] &lt;&gt; "", ISNUMBER(SEARCH("False Resolution", CRC_War_Room_SIMs[[#This Row],[Labels]])))), 1, 0)</f>
        <v>0</v>
      </c>
      <c r="P803" s="50">
        <f>IF(AND(CRC_War_Room_SIMs[[#This Row],[Excluded]] = 0, OR(CRC_War_Room_SIMs[[#This Row],[SLA Miss]] &lt;&gt; "", ISNUMBER(SEARCH("SLA", CRC_War_Room_SIMs[[#This Row],[Labels]])))), 1, 0)</f>
        <v>0</v>
      </c>
    </row>
    <row r="804" spans="1:16" x14ac:dyDescent="0.25">
      <c r="A804" t="s">
        <v>3402</v>
      </c>
      <c r="B804" t="s">
        <v>3401</v>
      </c>
      <c r="C804" t="s">
        <v>3382</v>
      </c>
      <c r="H80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04" s="49">
        <f ca="1">IFERROR(WEEKNUM(CRC_War_Room_SIMs[[#This Row],[Ops Date]]), "N/A")</f>
        <v>29</v>
      </c>
      <c r="J80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0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0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04" s="50">
        <f>IF(AND(CRC_War_Room_SIMs[[#This Row],[CI]] = 0, CRC_War_Room_SIMs[[#This Row],[Miss]] = 1), 1, 0)</f>
        <v>0</v>
      </c>
      <c r="N80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04" s="49">
        <f>IF(AND(CRC_War_Room_SIMs[[#This Row],[Excluded]] = 0, OR(CRC_War_Room_SIMs[[#This Row],[False Resolution Miss]] &lt;&gt; "", ISNUMBER(SEARCH("False Resolution", CRC_War_Room_SIMs[[#This Row],[Labels]])))), 1, 0)</f>
        <v>0</v>
      </c>
      <c r="P804" s="50">
        <f>IF(AND(CRC_War_Room_SIMs[[#This Row],[Excluded]] = 0, OR(CRC_War_Room_SIMs[[#This Row],[SLA Miss]] &lt;&gt; "", ISNUMBER(SEARCH("SLA", CRC_War_Room_SIMs[[#This Row],[Labels]])))), 1, 0)</f>
        <v>0</v>
      </c>
    </row>
    <row r="805" spans="1:16" x14ac:dyDescent="0.25">
      <c r="A805" t="s">
        <v>3403</v>
      </c>
      <c r="B805" t="s">
        <v>3401</v>
      </c>
      <c r="C805" t="s">
        <v>3382</v>
      </c>
      <c r="H80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05" s="49">
        <f ca="1">IFERROR(WEEKNUM(CRC_War_Room_SIMs[[#This Row],[Ops Date]]), "N/A")</f>
        <v>29</v>
      </c>
      <c r="J80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0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0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05" s="50">
        <f>IF(AND(CRC_War_Room_SIMs[[#This Row],[CI]] = 0, CRC_War_Room_SIMs[[#This Row],[Miss]] = 1), 1, 0)</f>
        <v>0</v>
      </c>
      <c r="N80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05" s="49">
        <f>IF(AND(CRC_War_Room_SIMs[[#This Row],[Excluded]] = 0, OR(CRC_War_Room_SIMs[[#This Row],[False Resolution Miss]] &lt;&gt; "", ISNUMBER(SEARCH("False Resolution", CRC_War_Room_SIMs[[#This Row],[Labels]])))), 1, 0)</f>
        <v>0</v>
      </c>
      <c r="P805" s="50">
        <f>IF(AND(CRC_War_Room_SIMs[[#This Row],[Excluded]] = 0, OR(CRC_War_Room_SIMs[[#This Row],[SLA Miss]] &lt;&gt; "", ISNUMBER(SEARCH("SLA", CRC_War_Room_SIMs[[#This Row],[Labels]])))), 1, 0)</f>
        <v>0</v>
      </c>
    </row>
    <row r="806" spans="1:16" x14ac:dyDescent="0.25">
      <c r="A806" t="s">
        <v>3404</v>
      </c>
      <c r="B806" t="s">
        <v>3401</v>
      </c>
      <c r="C806" t="s">
        <v>3382</v>
      </c>
      <c r="H80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06" s="49">
        <f ca="1">IFERROR(WEEKNUM(CRC_War_Room_SIMs[[#This Row],[Ops Date]]), "N/A")</f>
        <v>29</v>
      </c>
      <c r="J80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0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0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06" s="50">
        <f>IF(AND(CRC_War_Room_SIMs[[#This Row],[CI]] = 0, CRC_War_Room_SIMs[[#This Row],[Miss]] = 1), 1, 0)</f>
        <v>0</v>
      </c>
      <c r="N80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06" s="49">
        <f>IF(AND(CRC_War_Room_SIMs[[#This Row],[Excluded]] = 0, OR(CRC_War_Room_SIMs[[#This Row],[False Resolution Miss]] &lt;&gt; "", ISNUMBER(SEARCH("False Resolution", CRC_War_Room_SIMs[[#This Row],[Labels]])))), 1, 0)</f>
        <v>0</v>
      </c>
      <c r="P806" s="50">
        <f>IF(AND(CRC_War_Room_SIMs[[#This Row],[Excluded]] = 0, OR(CRC_War_Room_SIMs[[#This Row],[SLA Miss]] &lt;&gt; "", ISNUMBER(SEARCH("SLA", CRC_War_Room_SIMs[[#This Row],[Labels]])))), 1, 0)</f>
        <v>0</v>
      </c>
    </row>
    <row r="807" spans="1:16" x14ac:dyDescent="0.25">
      <c r="A807" t="s">
        <v>3405</v>
      </c>
      <c r="B807" t="s">
        <v>3381</v>
      </c>
      <c r="C807" t="s">
        <v>3382</v>
      </c>
      <c r="H80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07" s="49">
        <f ca="1">IFERROR(WEEKNUM(CRC_War_Room_SIMs[[#This Row],[Ops Date]]), "N/A")</f>
        <v>29</v>
      </c>
      <c r="J80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0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0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07" s="50">
        <f>IF(AND(CRC_War_Room_SIMs[[#This Row],[CI]] = 0, CRC_War_Room_SIMs[[#This Row],[Miss]] = 1), 1, 0)</f>
        <v>0</v>
      </c>
      <c r="N80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07" s="49">
        <f>IF(AND(CRC_War_Room_SIMs[[#This Row],[Excluded]] = 0, OR(CRC_War_Room_SIMs[[#This Row],[False Resolution Miss]] &lt;&gt; "", ISNUMBER(SEARCH("False Resolution", CRC_War_Room_SIMs[[#This Row],[Labels]])))), 1, 0)</f>
        <v>0</v>
      </c>
      <c r="P807" s="50">
        <f>IF(AND(CRC_War_Room_SIMs[[#This Row],[Excluded]] = 0, OR(CRC_War_Room_SIMs[[#This Row],[SLA Miss]] &lt;&gt; "", ISNUMBER(SEARCH("SLA", CRC_War_Room_SIMs[[#This Row],[Labels]])))), 1, 0)</f>
        <v>0</v>
      </c>
    </row>
    <row r="808" spans="1:16" x14ac:dyDescent="0.25">
      <c r="A808" t="s">
        <v>3406</v>
      </c>
      <c r="B808" t="s">
        <v>3381</v>
      </c>
      <c r="C808" t="s">
        <v>3382</v>
      </c>
      <c r="H80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08" s="49">
        <f ca="1">IFERROR(WEEKNUM(CRC_War_Room_SIMs[[#This Row],[Ops Date]]), "N/A")</f>
        <v>29</v>
      </c>
      <c r="J80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0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0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08" s="50">
        <f>IF(AND(CRC_War_Room_SIMs[[#This Row],[CI]] = 0, CRC_War_Room_SIMs[[#This Row],[Miss]] = 1), 1, 0)</f>
        <v>0</v>
      </c>
      <c r="N80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08" s="49">
        <f>IF(AND(CRC_War_Room_SIMs[[#This Row],[Excluded]] = 0, OR(CRC_War_Room_SIMs[[#This Row],[False Resolution Miss]] &lt;&gt; "", ISNUMBER(SEARCH("False Resolution", CRC_War_Room_SIMs[[#This Row],[Labels]])))), 1, 0)</f>
        <v>0</v>
      </c>
      <c r="P808" s="50">
        <f>IF(AND(CRC_War_Room_SIMs[[#This Row],[Excluded]] = 0, OR(CRC_War_Room_SIMs[[#This Row],[SLA Miss]] &lt;&gt; "", ISNUMBER(SEARCH("SLA", CRC_War_Room_SIMs[[#This Row],[Labels]])))), 1, 0)</f>
        <v>0</v>
      </c>
    </row>
    <row r="809" spans="1:16" x14ac:dyDescent="0.25">
      <c r="A809" t="s">
        <v>3407</v>
      </c>
      <c r="B809" t="s">
        <v>3381</v>
      </c>
      <c r="C809" t="s">
        <v>3382</v>
      </c>
      <c r="H80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09" s="49">
        <f ca="1">IFERROR(WEEKNUM(CRC_War_Room_SIMs[[#This Row],[Ops Date]]), "N/A")</f>
        <v>29</v>
      </c>
      <c r="J80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0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0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09" s="50">
        <f>IF(AND(CRC_War_Room_SIMs[[#This Row],[CI]] = 0, CRC_War_Room_SIMs[[#This Row],[Miss]] = 1), 1, 0)</f>
        <v>0</v>
      </c>
      <c r="N80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09" s="49">
        <f>IF(AND(CRC_War_Room_SIMs[[#This Row],[Excluded]] = 0, OR(CRC_War_Room_SIMs[[#This Row],[False Resolution Miss]] &lt;&gt; "", ISNUMBER(SEARCH("False Resolution", CRC_War_Room_SIMs[[#This Row],[Labels]])))), 1, 0)</f>
        <v>0</v>
      </c>
      <c r="P809" s="50">
        <f>IF(AND(CRC_War_Room_SIMs[[#This Row],[Excluded]] = 0, OR(CRC_War_Room_SIMs[[#This Row],[SLA Miss]] &lt;&gt; "", ISNUMBER(SEARCH("SLA", CRC_War_Room_SIMs[[#This Row],[Labels]])))), 1, 0)</f>
        <v>0</v>
      </c>
    </row>
    <row r="810" spans="1:16" x14ac:dyDescent="0.25">
      <c r="A810" t="s">
        <v>3408</v>
      </c>
      <c r="B810" t="s">
        <v>3381</v>
      </c>
      <c r="C810" t="s">
        <v>3382</v>
      </c>
      <c r="H81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10" s="49">
        <f ca="1">IFERROR(WEEKNUM(CRC_War_Room_SIMs[[#This Row],[Ops Date]]), "N/A")</f>
        <v>29</v>
      </c>
      <c r="J81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1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1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10" s="50">
        <f>IF(AND(CRC_War_Room_SIMs[[#This Row],[CI]] = 0, CRC_War_Room_SIMs[[#This Row],[Miss]] = 1), 1, 0)</f>
        <v>0</v>
      </c>
      <c r="N81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10" s="49">
        <f>IF(AND(CRC_War_Room_SIMs[[#This Row],[Excluded]] = 0, OR(CRC_War_Room_SIMs[[#This Row],[False Resolution Miss]] &lt;&gt; "", ISNUMBER(SEARCH("False Resolution", CRC_War_Room_SIMs[[#This Row],[Labels]])))), 1, 0)</f>
        <v>0</v>
      </c>
      <c r="P810" s="50">
        <f>IF(AND(CRC_War_Room_SIMs[[#This Row],[Excluded]] = 0, OR(CRC_War_Room_SIMs[[#This Row],[SLA Miss]] &lt;&gt; "", ISNUMBER(SEARCH("SLA", CRC_War_Room_SIMs[[#This Row],[Labels]])))), 1, 0)</f>
        <v>0</v>
      </c>
    </row>
    <row r="811" spans="1:16" x14ac:dyDescent="0.25">
      <c r="A811" t="s">
        <v>3409</v>
      </c>
      <c r="B811" t="s">
        <v>3381</v>
      </c>
      <c r="C811" t="s">
        <v>3382</v>
      </c>
      <c r="H81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11" s="49">
        <f ca="1">IFERROR(WEEKNUM(CRC_War_Room_SIMs[[#This Row],[Ops Date]]), "N/A")</f>
        <v>29</v>
      </c>
      <c r="J81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1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1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11" s="50">
        <f>IF(AND(CRC_War_Room_SIMs[[#This Row],[CI]] = 0, CRC_War_Room_SIMs[[#This Row],[Miss]] = 1), 1, 0)</f>
        <v>0</v>
      </c>
      <c r="N81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11" s="49">
        <f>IF(AND(CRC_War_Room_SIMs[[#This Row],[Excluded]] = 0, OR(CRC_War_Room_SIMs[[#This Row],[False Resolution Miss]] &lt;&gt; "", ISNUMBER(SEARCH("False Resolution", CRC_War_Room_SIMs[[#This Row],[Labels]])))), 1, 0)</f>
        <v>0</v>
      </c>
      <c r="P811" s="50">
        <f>IF(AND(CRC_War_Room_SIMs[[#This Row],[Excluded]] = 0, OR(CRC_War_Room_SIMs[[#This Row],[SLA Miss]] &lt;&gt; "", ISNUMBER(SEARCH("SLA", CRC_War_Room_SIMs[[#This Row],[Labels]])))), 1, 0)</f>
        <v>0</v>
      </c>
    </row>
    <row r="812" spans="1:16" x14ac:dyDescent="0.25">
      <c r="A812" t="s">
        <v>3410</v>
      </c>
      <c r="B812" t="s">
        <v>3381</v>
      </c>
      <c r="C812" t="s">
        <v>3382</v>
      </c>
      <c r="H81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12" s="49">
        <f ca="1">IFERROR(WEEKNUM(CRC_War_Room_SIMs[[#This Row],[Ops Date]]), "N/A")</f>
        <v>29</v>
      </c>
      <c r="J81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1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1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12" s="50">
        <f>IF(AND(CRC_War_Room_SIMs[[#This Row],[CI]] = 0, CRC_War_Room_SIMs[[#This Row],[Miss]] = 1), 1, 0)</f>
        <v>0</v>
      </c>
      <c r="N81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12" s="49">
        <f>IF(AND(CRC_War_Room_SIMs[[#This Row],[Excluded]] = 0, OR(CRC_War_Room_SIMs[[#This Row],[False Resolution Miss]] &lt;&gt; "", ISNUMBER(SEARCH("False Resolution", CRC_War_Room_SIMs[[#This Row],[Labels]])))), 1, 0)</f>
        <v>0</v>
      </c>
      <c r="P812" s="50">
        <f>IF(AND(CRC_War_Room_SIMs[[#This Row],[Excluded]] = 0, OR(CRC_War_Room_SIMs[[#This Row],[SLA Miss]] &lt;&gt; "", ISNUMBER(SEARCH("SLA", CRC_War_Room_SIMs[[#This Row],[Labels]])))), 1, 0)</f>
        <v>0</v>
      </c>
    </row>
    <row r="813" spans="1:16" x14ac:dyDescent="0.25">
      <c r="A813" t="s">
        <v>3411</v>
      </c>
      <c r="B813" t="s">
        <v>3412</v>
      </c>
      <c r="C813" t="s">
        <v>3382</v>
      </c>
      <c r="H81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13" s="49">
        <f ca="1">IFERROR(WEEKNUM(CRC_War_Room_SIMs[[#This Row],[Ops Date]]), "N/A")</f>
        <v>29</v>
      </c>
      <c r="J81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1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1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13" s="50">
        <f>IF(AND(CRC_War_Room_SIMs[[#This Row],[CI]] = 0, CRC_War_Room_SIMs[[#This Row],[Miss]] = 1), 1, 0)</f>
        <v>0</v>
      </c>
      <c r="N81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13" s="49">
        <f>IF(AND(CRC_War_Room_SIMs[[#This Row],[Excluded]] = 0, OR(CRC_War_Room_SIMs[[#This Row],[False Resolution Miss]] &lt;&gt; "", ISNUMBER(SEARCH("False Resolution", CRC_War_Room_SIMs[[#This Row],[Labels]])))), 1, 0)</f>
        <v>0</v>
      </c>
      <c r="P813" s="50">
        <f>IF(AND(CRC_War_Room_SIMs[[#This Row],[Excluded]] = 0, OR(CRC_War_Room_SIMs[[#This Row],[SLA Miss]] &lt;&gt; "", ISNUMBER(SEARCH("SLA", CRC_War_Room_SIMs[[#This Row],[Labels]])))), 1, 0)</f>
        <v>0</v>
      </c>
    </row>
    <row r="814" spans="1:16" x14ac:dyDescent="0.25">
      <c r="A814" t="s">
        <v>3413</v>
      </c>
      <c r="B814" t="s">
        <v>3412</v>
      </c>
      <c r="C814" t="s">
        <v>3382</v>
      </c>
      <c r="H81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14" s="49">
        <f ca="1">IFERROR(WEEKNUM(CRC_War_Room_SIMs[[#This Row],[Ops Date]]), "N/A")</f>
        <v>29</v>
      </c>
      <c r="J81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1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1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14" s="50">
        <f>IF(AND(CRC_War_Room_SIMs[[#This Row],[CI]] = 0, CRC_War_Room_SIMs[[#This Row],[Miss]] = 1), 1, 0)</f>
        <v>0</v>
      </c>
      <c r="N81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14" s="49">
        <f>IF(AND(CRC_War_Room_SIMs[[#This Row],[Excluded]] = 0, OR(CRC_War_Room_SIMs[[#This Row],[False Resolution Miss]] &lt;&gt; "", ISNUMBER(SEARCH("False Resolution", CRC_War_Room_SIMs[[#This Row],[Labels]])))), 1, 0)</f>
        <v>0</v>
      </c>
      <c r="P814" s="50">
        <f>IF(AND(CRC_War_Room_SIMs[[#This Row],[Excluded]] = 0, OR(CRC_War_Room_SIMs[[#This Row],[SLA Miss]] &lt;&gt; "", ISNUMBER(SEARCH("SLA", CRC_War_Room_SIMs[[#This Row],[Labels]])))), 1, 0)</f>
        <v>0</v>
      </c>
    </row>
    <row r="815" spans="1:16" x14ac:dyDescent="0.25">
      <c r="A815" t="s">
        <v>3414</v>
      </c>
      <c r="B815" t="s">
        <v>3412</v>
      </c>
      <c r="C815" t="s">
        <v>3382</v>
      </c>
      <c r="H81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15" s="49">
        <f ca="1">IFERROR(WEEKNUM(CRC_War_Room_SIMs[[#This Row],[Ops Date]]), "N/A")</f>
        <v>29</v>
      </c>
      <c r="J81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1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1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15" s="50">
        <f>IF(AND(CRC_War_Room_SIMs[[#This Row],[CI]] = 0, CRC_War_Room_SIMs[[#This Row],[Miss]] = 1), 1, 0)</f>
        <v>0</v>
      </c>
      <c r="N81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15" s="49">
        <f>IF(AND(CRC_War_Room_SIMs[[#This Row],[Excluded]] = 0, OR(CRC_War_Room_SIMs[[#This Row],[False Resolution Miss]] &lt;&gt; "", ISNUMBER(SEARCH("False Resolution", CRC_War_Room_SIMs[[#This Row],[Labels]])))), 1, 0)</f>
        <v>0</v>
      </c>
      <c r="P815" s="50">
        <f>IF(AND(CRC_War_Room_SIMs[[#This Row],[Excluded]] = 0, OR(CRC_War_Room_SIMs[[#This Row],[SLA Miss]] &lt;&gt; "", ISNUMBER(SEARCH("SLA", CRC_War_Room_SIMs[[#This Row],[Labels]])))), 1, 0)</f>
        <v>0</v>
      </c>
    </row>
    <row r="816" spans="1:16" x14ac:dyDescent="0.25">
      <c r="A816" t="s">
        <v>3415</v>
      </c>
      <c r="B816" t="s">
        <v>3412</v>
      </c>
      <c r="C816" t="s">
        <v>3382</v>
      </c>
      <c r="H81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16" s="49">
        <f ca="1">IFERROR(WEEKNUM(CRC_War_Room_SIMs[[#This Row],[Ops Date]]), "N/A")</f>
        <v>29</v>
      </c>
      <c r="J81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1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1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16" s="50">
        <f>IF(AND(CRC_War_Room_SIMs[[#This Row],[CI]] = 0, CRC_War_Room_SIMs[[#This Row],[Miss]] = 1), 1, 0)</f>
        <v>0</v>
      </c>
      <c r="N81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16" s="49">
        <f>IF(AND(CRC_War_Room_SIMs[[#This Row],[Excluded]] = 0, OR(CRC_War_Room_SIMs[[#This Row],[False Resolution Miss]] &lt;&gt; "", ISNUMBER(SEARCH("False Resolution", CRC_War_Room_SIMs[[#This Row],[Labels]])))), 1, 0)</f>
        <v>0</v>
      </c>
      <c r="P816" s="50">
        <f>IF(AND(CRC_War_Room_SIMs[[#This Row],[Excluded]] = 0, OR(CRC_War_Room_SIMs[[#This Row],[SLA Miss]] &lt;&gt; "", ISNUMBER(SEARCH("SLA", CRC_War_Room_SIMs[[#This Row],[Labels]])))), 1, 0)</f>
        <v>0</v>
      </c>
    </row>
    <row r="817" spans="1:16" x14ac:dyDescent="0.25">
      <c r="A817" t="s">
        <v>3416</v>
      </c>
      <c r="B817" t="s">
        <v>3412</v>
      </c>
      <c r="C817" t="s">
        <v>3382</v>
      </c>
      <c r="H81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17" s="49">
        <f ca="1">IFERROR(WEEKNUM(CRC_War_Room_SIMs[[#This Row],[Ops Date]]), "N/A")</f>
        <v>29</v>
      </c>
      <c r="J81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1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1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17" s="50">
        <f>IF(AND(CRC_War_Room_SIMs[[#This Row],[CI]] = 0, CRC_War_Room_SIMs[[#This Row],[Miss]] = 1), 1, 0)</f>
        <v>0</v>
      </c>
      <c r="N81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17" s="49">
        <f>IF(AND(CRC_War_Room_SIMs[[#This Row],[Excluded]] = 0, OR(CRC_War_Room_SIMs[[#This Row],[False Resolution Miss]] &lt;&gt; "", ISNUMBER(SEARCH("False Resolution", CRC_War_Room_SIMs[[#This Row],[Labels]])))), 1, 0)</f>
        <v>0</v>
      </c>
      <c r="P817" s="50">
        <f>IF(AND(CRC_War_Room_SIMs[[#This Row],[Excluded]] = 0, OR(CRC_War_Room_SIMs[[#This Row],[SLA Miss]] &lt;&gt; "", ISNUMBER(SEARCH("SLA", CRC_War_Room_SIMs[[#This Row],[Labels]])))), 1, 0)</f>
        <v>0</v>
      </c>
    </row>
    <row r="818" spans="1:16" x14ac:dyDescent="0.25">
      <c r="A818" t="s">
        <v>3417</v>
      </c>
      <c r="B818" t="s">
        <v>3384</v>
      </c>
      <c r="C818" t="s">
        <v>3382</v>
      </c>
      <c r="H81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18" s="49">
        <f ca="1">IFERROR(WEEKNUM(CRC_War_Room_SIMs[[#This Row],[Ops Date]]), "N/A")</f>
        <v>29</v>
      </c>
      <c r="J81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1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1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18" s="50">
        <f>IF(AND(CRC_War_Room_SIMs[[#This Row],[CI]] = 0, CRC_War_Room_SIMs[[#This Row],[Miss]] = 1), 1, 0)</f>
        <v>0</v>
      </c>
      <c r="N81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18" s="49">
        <f>IF(AND(CRC_War_Room_SIMs[[#This Row],[Excluded]] = 0, OR(CRC_War_Room_SIMs[[#This Row],[False Resolution Miss]] &lt;&gt; "", ISNUMBER(SEARCH("False Resolution", CRC_War_Room_SIMs[[#This Row],[Labels]])))), 1, 0)</f>
        <v>0</v>
      </c>
      <c r="P818" s="50">
        <f>IF(AND(CRC_War_Room_SIMs[[#This Row],[Excluded]] = 0, OR(CRC_War_Room_SIMs[[#This Row],[SLA Miss]] &lt;&gt; "", ISNUMBER(SEARCH("SLA", CRC_War_Room_SIMs[[#This Row],[Labels]])))), 1, 0)</f>
        <v>0</v>
      </c>
    </row>
    <row r="819" spans="1:16" x14ac:dyDescent="0.25">
      <c r="A819" t="s">
        <v>3418</v>
      </c>
      <c r="B819" t="s">
        <v>3384</v>
      </c>
      <c r="C819" t="s">
        <v>3382</v>
      </c>
      <c r="H81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19" s="49">
        <f ca="1">IFERROR(WEEKNUM(CRC_War_Room_SIMs[[#This Row],[Ops Date]]), "N/A")</f>
        <v>29</v>
      </c>
      <c r="J81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1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1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19" s="50">
        <f>IF(AND(CRC_War_Room_SIMs[[#This Row],[CI]] = 0, CRC_War_Room_SIMs[[#This Row],[Miss]] = 1), 1, 0)</f>
        <v>0</v>
      </c>
      <c r="N81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19" s="49">
        <f>IF(AND(CRC_War_Room_SIMs[[#This Row],[Excluded]] = 0, OR(CRC_War_Room_SIMs[[#This Row],[False Resolution Miss]] &lt;&gt; "", ISNUMBER(SEARCH("False Resolution", CRC_War_Room_SIMs[[#This Row],[Labels]])))), 1, 0)</f>
        <v>0</v>
      </c>
      <c r="P819" s="50">
        <f>IF(AND(CRC_War_Room_SIMs[[#This Row],[Excluded]] = 0, OR(CRC_War_Room_SIMs[[#This Row],[SLA Miss]] &lt;&gt; "", ISNUMBER(SEARCH("SLA", CRC_War_Room_SIMs[[#This Row],[Labels]])))), 1, 0)</f>
        <v>0</v>
      </c>
    </row>
    <row r="820" spans="1:16" x14ac:dyDescent="0.25">
      <c r="A820" t="s">
        <v>3419</v>
      </c>
      <c r="B820" t="s">
        <v>3384</v>
      </c>
      <c r="C820" t="s">
        <v>3382</v>
      </c>
      <c r="H82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20" s="49">
        <f ca="1">IFERROR(WEEKNUM(CRC_War_Room_SIMs[[#This Row],[Ops Date]]), "N/A")</f>
        <v>29</v>
      </c>
      <c r="J82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2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2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20" s="50">
        <f>IF(AND(CRC_War_Room_SIMs[[#This Row],[CI]] = 0, CRC_War_Room_SIMs[[#This Row],[Miss]] = 1), 1, 0)</f>
        <v>0</v>
      </c>
      <c r="N82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20" s="49">
        <f>IF(AND(CRC_War_Room_SIMs[[#This Row],[Excluded]] = 0, OR(CRC_War_Room_SIMs[[#This Row],[False Resolution Miss]] &lt;&gt; "", ISNUMBER(SEARCH("False Resolution", CRC_War_Room_SIMs[[#This Row],[Labels]])))), 1, 0)</f>
        <v>0</v>
      </c>
      <c r="P820" s="50">
        <f>IF(AND(CRC_War_Room_SIMs[[#This Row],[Excluded]] = 0, OR(CRC_War_Room_SIMs[[#This Row],[SLA Miss]] &lt;&gt; "", ISNUMBER(SEARCH("SLA", CRC_War_Room_SIMs[[#This Row],[Labels]])))), 1, 0)</f>
        <v>0</v>
      </c>
    </row>
    <row r="821" spans="1:16" x14ac:dyDescent="0.25">
      <c r="A821" t="s">
        <v>3420</v>
      </c>
      <c r="B821" t="s">
        <v>3384</v>
      </c>
      <c r="C821" t="s">
        <v>3382</v>
      </c>
      <c r="H82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21" s="49">
        <f ca="1">IFERROR(WEEKNUM(CRC_War_Room_SIMs[[#This Row],[Ops Date]]), "N/A")</f>
        <v>29</v>
      </c>
      <c r="J82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2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2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21" s="50">
        <f>IF(AND(CRC_War_Room_SIMs[[#This Row],[CI]] = 0, CRC_War_Room_SIMs[[#This Row],[Miss]] = 1), 1, 0)</f>
        <v>0</v>
      </c>
      <c r="N82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21" s="49">
        <f>IF(AND(CRC_War_Room_SIMs[[#This Row],[Excluded]] = 0, OR(CRC_War_Room_SIMs[[#This Row],[False Resolution Miss]] &lt;&gt; "", ISNUMBER(SEARCH("False Resolution", CRC_War_Room_SIMs[[#This Row],[Labels]])))), 1, 0)</f>
        <v>0</v>
      </c>
      <c r="P821" s="50">
        <f>IF(AND(CRC_War_Room_SIMs[[#This Row],[Excluded]] = 0, OR(CRC_War_Room_SIMs[[#This Row],[SLA Miss]] &lt;&gt; "", ISNUMBER(SEARCH("SLA", CRC_War_Room_SIMs[[#This Row],[Labels]])))), 1, 0)</f>
        <v>0</v>
      </c>
    </row>
    <row r="822" spans="1:16" x14ac:dyDescent="0.25">
      <c r="A822" t="s">
        <v>3421</v>
      </c>
      <c r="B822" t="s">
        <v>3384</v>
      </c>
      <c r="C822" t="s">
        <v>3382</v>
      </c>
      <c r="H82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22" s="49">
        <f ca="1">IFERROR(WEEKNUM(CRC_War_Room_SIMs[[#This Row],[Ops Date]]), "N/A")</f>
        <v>29</v>
      </c>
      <c r="J82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2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2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22" s="50">
        <f>IF(AND(CRC_War_Room_SIMs[[#This Row],[CI]] = 0, CRC_War_Room_SIMs[[#This Row],[Miss]] = 1), 1, 0)</f>
        <v>0</v>
      </c>
      <c r="N82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22" s="49">
        <f>IF(AND(CRC_War_Room_SIMs[[#This Row],[Excluded]] = 0, OR(CRC_War_Room_SIMs[[#This Row],[False Resolution Miss]] &lt;&gt; "", ISNUMBER(SEARCH("False Resolution", CRC_War_Room_SIMs[[#This Row],[Labels]])))), 1, 0)</f>
        <v>0</v>
      </c>
      <c r="P822" s="50">
        <f>IF(AND(CRC_War_Room_SIMs[[#This Row],[Excluded]] = 0, OR(CRC_War_Room_SIMs[[#This Row],[SLA Miss]] &lt;&gt; "", ISNUMBER(SEARCH("SLA", CRC_War_Room_SIMs[[#This Row],[Labels]])))), 1, 0)</f>
        <v>0</v>
      </c>
    </row>
    <row r="823" spans="1:16" x14ac:dyDescent="0.25">
      <c r="A823" t="s">
        <v>3422</v>
      </c>
      <c r="B823" t="s">
        <v>3384</v>
      </c>
      <c r="C823" t="s">
        <v>3382</v>
      </c>
      <c r="H82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23" s="49">
        <f ca="1">IFERROR(WEEKNUM(CRC_War_Room_SIMs[[#This Row],[Ops Date]]), "N/A")</f>
        <v>29</v>
      </c>
      <c r="J82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2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2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23" s="50">
        <f>IF(AND(CRC_War_Room_SIMs[[#This Row],[CI]] = 0, CRC_War_Room_SIMs[[#This Row],[Miss]] = 1), 1, 0)</f>
        <v>0</v>
      </c>
      <c r="N82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23" s="49">
        <f>IF(AND(CRC_War_Room_SIMs[[#This Row],[Excluded]] = 0, OR(CRC_War_Room_SIMs[[#This Row],[False Resolution Miss]] &lt;&gt; "", ISNUMBER(SEARCH("False Resolution", CRC_War_Room_SIMs[[#This Row],[Labels]])))), 1, 0)</f>
        <v>0</v>
      </c>
      <c r="P823" s="50">
        <f>IF(AND(CRC_War_Room_SIMs[[#This Row],[Excluded]] = 0, OR(CRC_War_Room_SIMs[[#This Row],[SLA Miss]] &lt;&gt; "", ISNUMBER(SEARCH("SLA", CRC_War_Room_SIMs[[#This Row],[Labels]])))), 1, 0)</f>
        <v>0</v>
      </c>
    </row>
    <row r="824" spans="1:16" x14ac:dyDescent="0.25">
      <c r="A824" t="s">
        <v>3423</v>
      </c>
      <c r="B824" t="s">
        <v>3424</v>
      </c>
      <c r="C824" t="s">
        <v>3382</v>
      </c>
      <c r="H82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24" s="49">
        <f ca="1">IFERROR(WEEKNUM(CRC_War_Room_SIMs[[#This Row],[Ops Date]]), "N/A")</f>
        <v>29</v>
      </c>
      <c r="J82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2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2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24" s="50">
        <f>IF(AND(CRC_War_Room_SIMs[[#This Row],[CI]] = 0, CRC_War_Room_SIMs[[#This Row],[Miss]] = 1), 1, 0)</f>
        <v>0</v>
      </c>
      <c r="N82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24" s="49">
        <f>IF(AND(CRC_War_Room_SIMs[[#This Row],[Excluded]] = 0, OR(CRC_War_Room_SIMs[[#This Row],[False Resolution Miss]] &lt;&gt; "", ISNUMBER(SEARCH("False Resolution", CRC_War_Room_SIMs[[#This Row],[Labels]])))), 1, 0)</f>
        <v>0</v>
      </c>
      <c r="P824" s="50">
        <f>IF(AND(CRC_War_Room_SIMs[[#This Row],[Excluded]] = 0, OR(CRC_War_Room_SIMs[[#This Row],[SLA Miss]] &lt;&gt; "", ISNUMBER(SEARCH("SLA", CRC_War_Room_SIMs[[#This Row],[Labels]])))), 1, 0)</f>
        <v>0</v>
      </c>
    </row>
    <row r="825" spans="1:16" x14ac:dyDescent="0.25">
      <c r="A825" t="s">
        <v>3425</v>
      </c>
      <c r="B825" t="s">
        <v>3424</v>
      </c>
      <c r="C825" t="s">
        <v>3382</v>
      </c>
      <c r="H82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25" s="49">
        <f ca="1">IFERROR(WEEKNUM(CRC_War_Room_SIMs[[#This Row],[Ops Date]]), "N/A")</f>
        <v>29</v>
      </c>
      <c r="J82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2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2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25" s="50">
        <f>IF(AND(CRC_War_Room_SIMs[[#This Row],[CI]] = 0, CRC_War_Room_SIMs[[#This Row],[Miss]] = 1), 1, 0)</f>
        <v>0</v>
      </c>
      <c r="N82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25" s="49">
        <f>IF(AND(CRC_War_Room_SIMs[[#This Row],[Excluded]] = 0, OR(CRC_War_Room_SIMs[[#This Row],[False Resolution Miss]] &lt;&gt; "", ISNUMBER(SEARCH("False Resolution", CRC_War_Room_SIMs[[#This Row],[Labels]])))), 1, 0)</f>
        <v>0</v>
      </c>
      <c r="P825" s="50">
        <f>IF(AND(CRC_War_Room_SIMs[[#This Row],[Excluded]] = 0, OR(CRC_War_Room_SIMs[[#This Row],[SLA Miss]] &lt;&gt; "", ISNUMBER(SEARCH("SLA", CRC_War_Room_SIMs[[#This Row],[Labels]])))), 1, 0)</f>
        <v>0</v>
      </c>
    </row>
    <row r="826" spans="1:16" x14ac:dyDescent="0.25">
      <c r="A826" t="s">
        <v>3426</v>
      </c>
      <c r="B826" t="s">
        <v>3424</v>
      </c>
      <c r="C826" t="s">
        <v>3382</v>
      </c>
      <c r="H82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26" s="49">
        <f ca="1">IFERROR(WEEKNUM(CRC_War_Room_SIMs[[#This Row],[Ops Date]]), "N/A")</f>
        <v>29</v>
      </c>
      <c r="J82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2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2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26" s="50">
        <f>IF(AND(CRC_War_Room_SIMs[[#This Row],[CI]] = 0, CRC_War_Room_SIMs[[#This Row],[Miss]] = 1), 1, 0)</f>
        <v>0</v>
      </c>
      <c r="N82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26" s="49">
        <f>IF(AND(CRC_War_Room_SIMs[[#This Row],[Excluded]] = 0, OR(CRC_War_Room_SIMs[[#This Row],[False Resolution Miss]] &lt;&gt; "", ISNUMBER(SEARCH("False Resolution", CRC_War_Room_SIMs[[#This Row],[Labels]])))), 1, 0)</f>
        <v>0</v>
      </c>
      <c r="P826" s="50">
        <f>IF(AND(CRC_War_Room_SIMs[[#This Row],[Excluded]] = 0, OR(CRC_War_Room_SIMs[[#This Row],[SLA Miss]] &lt;&gt; "", ISNUMBER(SEARCH("SLA", CRC_War_Room_SIMs[[#This Row],[Labels]])))), 1, 0)</f>
        <v>0</v>
      </c>
    </row>
    <row r="827" spans="1:16" x14ac:dyDescent="0.25">
      <c r="A827" t="s">
        <v>3427</v>
      </c>
      <c r="B827" t="s">
        <v>3424</v>
      </c>
      <c r="C827" t="s">
        <v>3382</v>
      </c>
      <c r="H82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27" s="49">
        <f ca="1">IFERROR(WEEKNUM(CRC_War_Room_SIMs[[#This Row],[Ops Date]]), "N/A")</f>
        <v>29</v>
      </c>
      <c r="J82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2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2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27" s="50">
        <f>IF(AND(CRC_War_Room_SIMs[[#This Row],[CI]] = 0, CRC_War_Room_SIMs[[#This Row],[Miss]] = 1), 1, 0)</f>
        <v>0</v>
      </c>
      <c r="N82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27" s="49">
        <f>IF(AND(CRC_War_Room_SIMs[[#This Row],[Excluded]] = 0, OR(CRC_War_Room_SIMs[[#This Row],[False Resolution Miss]] &lt;&gt; "", ISNUMBER(SEARCH("False Resolution", CRC_War_Room_SIMs[[#This Row],[Labels]])))), 1, 0)</f>
        <v>0</v>
      </c>
      <c r="P827" s="50">
        <f>IF(AND(CRC_War_Room_SIMs[[#This Row],[Excluded]] = 0, OR(CRC_War_Room_SIMs[[#This Row],[SLA Miss]] &lt;&gt; "", ISNUMBER(SEARCH("SLA", CRC_War_Room_SIMs[[#This Row],[Labels]])))), 1, 0)</f>
        <v>0</v>
      </c>
    </row>
    <row r="828" spans="1:16" x14ac:dyDescent="0.25">
      <c r="A828" t="s">
        <v>3428</v>
      </c>
      <c r="B828" t="s">
        <v>3424</v>
      </c>
      <c r="C828" t="s">
        <v>3382</v>
      </c>
      <c r="H82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45493</v>
      </c>
      <c r="I828" s="49">
        <f ca="1">IFERROR(WEEKNUM(CRC_War_Room_SIMs[[#This Row],[Ops Date]]), "N/A")</f>
        <v>29</v>
      </c>
      <c r="J82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2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2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28" s="50">
        <f>IF(AND(CRC_War_Room_SIMs[[#This Row],[CI]] = 0, CRC_War_Room_SIMs[[#This Row],[Miss]] = 1), 1, 0)</f>
        <v>0</v>
      </c>
      <c r="N82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28" s="49">
        <f>IF(AND(CRC_War_Room_SIMs[[#This Row],[Excluded]] = 0, OR(CRC_War_Room_SIMs[[#This Row],[False Resolution Miss]] &lt;&gt; "", ISNUMBER(SEARCH("False Resolution", CRC_War_Room_SIMs[[#This Row],[Labels]])))), 1, 0)</f>
        <v>0</v>
      </c>
      <c r="P828" s="50">
        <f>IF(AND(CRC_War_Room_SIMs[[#This Row],[Excluded]] = 0, OR(CRC_War_Room_SIMs[[#This Row],[SLA Miss]] &lt;&gt; "", ISNUMBER(SEARCH("SLA", CRC_War_Room_SIMs[[#This Row],[Labels]])))), 1, 0)</f>
        <v>0</v>
      </c>
    </row>
    <row r="829" spans="1:16" x14ac:dyDescent="0.25">
      <c r="A829" t="s">
        <v>3429</v>
      </c>
      <c r="B829" t="s">
        <v>3430</v>
      </c>
      <c r="C829" t="s">
        <v>3431</v>
      </c>
      <c r="E829" t="s">
        <v>3432</v>
      </c>
      <c r="H82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45485</v>
      </c>
      <c r="I829" s="49">
        <f ca="1">IFERROR(WEEKNUM(CRC_War_Room_SIMs[[#This Row],[Ops Date]]), "N/A")</f>
        <v>28</v>
      </c>
      <c r="J82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2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82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829" s="50">
        <f>IF(AND(CRC_War_Room_SIMs[[#This Row],[CI]] = 0, CRC_War_Room_SIMs[[#This Row],[Miss]] = 1), 1, 0)</f>
        <v>0</v>
      </c>
      <c r="N829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829" s="49">
        <f>IF(AND(CRC_War_Room_SIMs[[#This Row],[Excluded]] = 0, OR(CRC_War_Room_SIMs[[#This Row],[False Resolution Miss]] &lt;&gt; "", ISNUMBER(SEARCH("False Resolution", CRC_War_Room_SIMs[[#This Row],[Labels]])))), 1, 0)</f>
        <v>0</v>
      </c>
      <c r="P829" s="50">
        <f>IF(AND(CRC_War_Room_SIMs[[#This Row],[Excluded]] = 0, OR(CRC_War_Room_SIMs[[#This Row],[SLA Miss]] &lt;&gt; "", ISNUMBER(SEARCH("SLA", CRC_War_Room_SIMs[[#This Row],[Labels]])))), 1, 0)</f>
        <v>0</v>
      </c>
    </row>
    <row r="830" spans="1:16" x14ac:dyDescent="0.25">
      <c r="A830" t="s">
        <v>3433</v>
      </c>
      <c r="B830" t="s">
        <v>3434</v>
      </c>
      <c r="C830" t="s">
        <v>3435</v>
      </c>
      <c r="H83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45492</v>
      </c>
      <c r="I830" s="49">
        <f ca="1">IFERROR(WEEKNUM(CRC_War_Room_SIMs[[#This Row],[Ops Date]]), "N/A")</f>
        <v>29</v>
      </c>
      <c r="J83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3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3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30" s="50">
        <f>IF(AND(CRC_War_Room_SIMs[[#This Row],[CI]] = 0, CRC_War_Room_SIMs[[#This Row],[Miss]] = 1), 1, 0)</f>
        <v>0</v>
      </c>
      <c r="N83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30" s="49">
        <f>IF(AND(CRC_War_Room_SIMs[[#This Row],[Excluded]] = 0, OR(CRC_War_Room_SIMs[[#This Row],[False Resolution Miss]] &lt;&gt; "", ISNUMBER(SEARCH("False Resolution", CRC_War_Room_SIMs[[#This Row],[Labels]])))), 1, 0)</f>
        <v>0</v>
      </c>
      <c r="P830" s="50">
        <f>IF(AND(CRC_War_Room_SIMs[[#This Row],[Excluded]] = 0, OR(CRC_War_Room_SIMs[[#This Row],[SLA Miss]] &lt;&gt; "", ISNUMBER(SEARCH("SLA", CRC_War_Room_SIMs[[#This Row],[Labels]])))), 1, 0)</f>
        <v>0</v>
      </c>
    </row>
    <row r="831" spans="1:16" x14ac:dyDescent="0.25">
      <c r="A831" t="s">
        <v>3436</v>
      </c>
      <c r="B831" t="s">
        <v>3437</v>
      </c>
      <c r="C831" t="s">
        <v>3435</v>
      </c>
      <c r="H83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45492</v>
      </c>
      <c r="I831" s="49">
        <f ca="1">IFERROR(WEEKNUM(CRC_War_Room_SIMs[[#This Row],[Ops Date]]), "N/A")</f>
        <v>29</v>
      </c>
      <c r="J83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3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3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31" s="50">
        <f>IF(AND(CRC_War_Room_SIMs[[#This Row],[CI]] = 0, CRC_War_Room_SIMs[[#This Row],[Miss]] = 1), 1, 0)</f>
        <v>0</v>
      </c>
      <c r="N83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31" s="49">
        <f>IF(AND(CRC_War_Room_SIMs[[#This Row],[Excluded]] = 0, OR(CRC_War_Room_SIMs[[#This Row],[False Resolution Miss]] &lt;&gt; "", ISNUMBER(SEARCH("False Resolution", CRC_War_Room_SIMs[[#This Row],[Labels]])))), 1, 0)</f>
        <v>0</v>
      </c>
      <c r="P831" s="50">
        <f>IF(AND(CRC_War_Room_SIMs[[#This Row],[Excluded]] = 0, OR(CRC_War_Room_SIMs[[#This Row],[SLA Miss]] &lt;&gt; "", ISNUMBER(SEARCH("SLA", CRC_War_Room_SIMs[[#This Row],[Labels]])))), 1, 0)</f>
        <v>0</v>
      </c>
    </row>
    <row r="832" spans="1:16" x14ac:dyDescent="0.25">
      <c r="A832" t="s">
        <v>3438</v>
      </c>
      <c r="B832" t="s">
        <v>3439</v>
      </c>
      <c r="C832" t="s">
        <v>3435</v>
      </c>
      <c r="H83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45492</v>
      </c>
      <c r="I832" s="49">
        <f ca="1">IFERROR(WEEKNUM(CRC_War_Room_SIMs[[#This Row],[Ops Date]]), "N/A")</f>
        <v>29</v>
      </c>
      <c r="J83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3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3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32" s="50">
        <f>IF(AND(CRC_War_Room_SIMs[[#This Row],[CI]] = 0, CRC_War_Room_SIMs[[#This Row],[Miss]] = 1), 1, 0)</f>
        <v>0</v>
      </c>
      <c r="N83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32" s="49">
        <f>IF(AND(CRC_War_Room_SIMs[[#This Row],[Excluded]] = 0, OR(CRC_War_Room_SIMs[[#This Row],[False Resolution Miss]] &lt;&gt; "", ISNUMBER(SEARCH("False Resolution", CRC_War_Room_SIMs[[#This Row],[Labels]])))), 1, 0)</f>
        <v>0</v>
      </c>
      <c r="P832" s="50">
        <f>IF(AND(CRC_War_Room_SIMs[[#This Row],[Excluded]] = 0, OR(CRC_War_Room_SIMs[[#This Row],[SLA Miss]] &lt;&gt; "", ISNUMBER(SEARCH("SLA", CRC_War_Room_SIMs[[#This Row],[Labels]])))), 1, 0)</f>
        <v>0</v>
      </c>
    </row>
    <row r="833" spans="1:16" x14ac:dyDescent="0.25">
      <c r="A833" t="s">
        <v>3440</v>
      </c>
      <c r="B833" t="s">
        <v>3439</v>
      </c>
      <c r="C833" t="s">
        <v>3435</v>
      </c>
      <c r="H83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45492</v>
      </c>
      <c r="I833" s="49">
        <f ca="1">IFERROR(WEEKNUM(CRC_War_Room_SIMs[[#This Row],[Ops Date]]), "N/A")</f>
        <v>29</v>
      </c>
      <c r="J83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3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3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33" s="50">
        <f>IF(AND(CRC_War_Room_SIMs[[#This Row],[CI]] = 0, CRC_War_Room_SIMs[[#This Row],[Miss]] = 1), 1, 0)</f>
        <v>0</v>
      </c>
      <c r="N83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33" s="49">
        <f>IF(AND(CRC_War_Room_SIMs[[#This Row],[Excluded]] = 0, OR(CRC_War_Room_SIMs[[#This Row],[False Resolution Miss]] &lt;&gt; "", ISNUMBER(SEARCH("False Resolution", CRC_War_Room_SIMs[[#This Row],[Labels]])))), 1, 0)</f>
        <v>0</v>
      </c>
      <c r="P833" s="50">
        <f>IF(AND(CRC_War_Room_SIMs[[#This Row],[Excluded]] = 0, OR(CRC_War_Room_SIMs[[#This Row],[SLA Miss]] &lt;&gt; "", ISNUMBER(SEARCH("SLA", CRC_War_Room_SIMs[[#This Row],[Labels]])))), 1, 0)</f>
        <v>0</v>
      </c>
    </row>
    <row r="834" spans="1:16" x14ac:dyDescent="0.25">
      <c r="A834" t="s">
        <v>3441</v>
      </c>
      <c r="B834" t="s">
        <v>3439</v>
      </c>
      <c r="C834" t="s">
        <v>3435</v>
      </c>
      <c r="H83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45492</v>
      </c>
      <c r="I834" s="49">
        <f ca="1">IFERROR(WEEKNUM(CRC_War_Room_SIMs[[#This Row],[Ops Date]]), "N/A")</f>
        <v>29</v>
      </c>
      <c r="J83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3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3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34" s="50">
        <f>IF(AND(CRC_War_Room_SIMs[[#This Row],[CI]] = 0, CRC_War_Room_SIMs[[#This Row],[Miss]] = 1), 1, 0)</f>
        <v>0</v>
      </c>
      <c r="N83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34" s="49">
        <f>IF(AND(CRC_War_Room_SIMs[[#This Row],[Excluded]] = 0, OR(CRC_War_Room_SIMs[[#This Row],[False Resolution Miss]] &lt;&gt; "", ISNUMBER(SEARCH("False Resolution", CRC_War_Room_SIMs[[#This Row],[Labels]])))), 1, 0)</f>
        <v>0</v>
      </c>
      <c r="P834" s="50">
        <f>IF(AND(CRC_War_Room_SIMs[[#This Row],[Excluded]] = 0, OR(CRC_War_Room_SIMs[[#This Row],[SLA Miss]] &lt;&gt; "", ISNUMBER(SEARCH("SLA", CRC_War_Room_SIMs[[#This Row],[Labels]])))), 1, 0)</f>
        <v>0</v>
      </c>
    </row>
    <row r="835" spans="1:16" x14ac:dyDescent="0.25">
      <c r="A835" t="s">
        <v>3442</v>
      </c>
      <c r="B835" t="s">
        <v>3443</v>
      </c>
      <c r="C835" t="s">
        <v>3435</v>
      </c>
      <c r="H83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45492</v>
      </c>
      <c r="I835" s="49">
        <f ca="1">IFERROR(WEEKNUM(CRC_War_Room_SIMs[[#This Row],[Ops Date]]), "N/A")</f>
        <v>29</v>
      </c>
      <c r="J83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3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3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35" s="50">
        <f>IF(AND(CRC_War_Room_SIMs[[#This Row],[CI]] = 0, CRC_War_Room_SIMs[[#This Row],[Miss]] = 1), 1, 0)</f>
        <v>0</v>
      </c>
      <c r="N83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35" s="49">
        <f>IF(AND(CRC_War_Room_SIMs[[#This Row],[Excluded]] = 0, OR(CRC_War_Room_SIMs[[#This Row],[False Resolution Miss]] &lt;&gt; "", ISNUMBER(SEARCH("False Resolution", CRC_War_Room_SIMs[[#This Row],[Labels]])))), 1, 0)</f>
        <v>0</v>
      </c>
      <c r="P835" s="50">
        <f>IF(AND(CRC_War_Room_SIMs[[#This Row],[Excluded]] = 0, OR(CRC_War_Room_SIMs[[#This Row],[SLA Miss]] &lt;&gt; "", ISNUMBER(SEARCH("SLA", CRC_War_Room_SIMs[[#This Row],[Labels]])))), 1, 0)</f>
        <v>0</v>
      </c>
    </row>
    <row r="836" spans="1:16" x14ac:dyDescent="0.25">
      <c r="A836" t="s">
        <v>3444</v>
      </c>
      <c r="B836" t="s">
        <v>3439</v>
      </c>
      <c r="C836" t="s">
        <v>3435</v>
      </c>
      <c r="H83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45492</v>
      </c>
      <c r="I836" s="49">
        <f ca="1">IFERROR(WEEKNUM(CRC_War_Room_SIMs[[#This Row],[Ops Date]]), "N/A")</f>
        <v>29</v>
      </c>
      <c r="J83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3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3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36" s="50">
        <f>IF(AND(CRC_War_Room_SIMs[[#This Row],[CI]] = 0, CRC_War_Room_SIMs[[#This Row],[Miss]] = 1), 1, 0)</f>
        <v>0</v>
      </c>
      <c r="N83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36" s="49">
        <f>IF(AND(CRC_War_Room_SIMs[[#This Row],[Excluded]] = 0, OR(CRC_War_Room_SIMs[[#This Row],[False Resolution Miss]] &lt;&gt; "", ISNUMBER(SEARCH("False Resolution", CRC_War_Room_SIMs[[#This Row],[Labels]])))), 1, 0)</f>
        <v>0</v>
      </c>
      <c r="P836" s="50">
        <f>IF(AND(CRC_War_Room_SIMs[[#This Row],[Excluded]] = 0, OR(CRC_War_Room_SIMs[[#This Row],[SLA Miss]] &lt;&gt; "", ISNUMBER(SEARCH("SLA", CRC_War_Room_SIMs[[#This Row],[Labels]])))), 1, 0)</f>
        <v>0</v>
      </c>
    </row>
    <row r="837" spans="1:16" x14ac:dyDescent="0.25">
      <c r="A837" t="s">
        <v>3445</v>
      </c>
      <c r="B837" t="s">
        <v>3446</v>
      </c>
      <c r="C837" t="s">
        <v>3435</v>
      </c>
      <c r="H83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45492</v>
      </c>
      <c r="I837" s="49">
        <f ca="1">IFERROR(WEEKNUM(CRC_War_Room_SIMs[[#This Row],[Ops Date]]), "N/A")</f>
        <v>29</v>
      </c>
      <c r="J83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3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3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37" s="50">
        <f>IF(AND(CRC_War_Room_SIMs[[#This Row],[CI]] = 0, CRC_War_Room_SIMs[[#This Row],[Miss]] = 1), 1, 0)</f>
        <v>0</v>
      </c>
      <c r="N83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37" s="49">
        <f>IF(AND(CRC_War_Room_SIMs[[#This Row],[Excluded]] = 0, OR(CRC_War_Room_SIMs[[#This Row],[False Resolution Miss]] &lt;&gt; "", ISNUMBER(SEARCH("False Resolution", CRC_War_Room_SIMs[[#This Row],[Labels]])))), 1, 0)</f>
        <v>0</v>
      </c>
      <c r="P837" s="50">
        <f>IF(AND(CRC_War_Room_SIMs[[#This Row],[Excluded]] = 0, OR(CRC_War_Room_SIMs[[#This Row],[SLA Miss]] &lt;&gt; "", ISNUMBER(SEARCH("SLA", CRC_War_Room_SIMs[[#This Row],[Labels]])))), 1, 0)</f>
        <v>0</v>
      </c>
    </row>
    <row r="838" spans="1:16" x14ac:dyDescent="0.25">
      <c r="A838" t="s">
        <v>3447</v>
      </c>
      <c r="B838" t="s">
        <v>3446</v>
      </c>
      <c r="C838" t="s">
        <v>3435</v>
      </c>
      <c r="H83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45492</v>
      </c>
      <c r="I838" s="49">
        <f ca="1">IFERROR(WEEKNUM(CRC_War_Room_SIMs[[#This Row],[Ops Date]]), "N/A")</f>
        <v>29</v>
      </c>
      <c r="J83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3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3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38" s="50">
        <f>IF(AND(CRC_War_Room_SIMs[[#This Row],[CI]] = 0, CRC_War_Room_SIMs[[#This Row],[Miss]] = 1), 1, 0)</f>
        <v>0</v>
      </c>
      <c r="N83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38" s="49">
        <f>IF(AND(CRC_War_Room_SIMs[[#This Row],[Excluded]] = 0, OR(CRC_War_Room_SIMs[[#This Row],[False Resolution Miss]] &lt;&gt; "", ISNUMBER(SEARCH("False Resolution", CRC_War_Room_SIMs[[#This Row],[Labels]])))), 1, 0)</f>
        <v>0</v>
      </c>
      <c r="P838" s="50">
        <f>IF(AND(CRC_War_Room_SIMs[[#This Row],[Excluded]] = 0, OR(CRC_War_Room_SIMs[[#This Row],[SLA Miss]] &lt;&gt; "", ISNUMBER(SEARCH("SLA", CRC_War_Room_SIMs[[#This Row],[Labels]])))), 1, 0)</f>
        <v>0</v>
      </c>
    </row>
    <row r="839" spans="1:16" x14ac:dyDescent="0.25">
      <c r="A839" t="s">
        <v>3448</v>
      </c>
      <c r="B839" t="s">
        <v>3446</v>
      </c>
      <c r="C839" t="s">
        <v>3435</v>
      </c>
      <c r="H83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45492</v>
      </c>
      <c r="I839" s="49">
        <f ca="1">IFERROR(WEEKNUM(CRC_War_Room_SIMs[[#This Row],[Ops Date]]), "N/A")</f>
        <v>29</v>
      </c>
      <c r="J83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3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3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39" s="50">
        <f>IF(AND(CRC_War_Room_SIMs[[#This Row],[CI]] = 0, CRC_War_Room_SIMs[[#This Row],[Miss]] = 1), 1, 0)</f>
        <v>0</v>
      </c>
      <c r="N83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39" s="49">
        <f>IF(AND(CRC_War_Room_SIMs[[#This Row],[Excluded]] = 0, OR(CRC_War_Room_SIMs[[#This Row],[False Resolution Miss]] &lt;&gt; "", ISNUMBER(SEARCH("False Resolution", CRC_War_Room_SIMs[[#This Row],[Labels]])))), 1, 0)</f>
        <v>0</v>
      </c>
      <c r="P839" s="50">
        <f>IF(AND(CRC_War_Room_SIMs[[#This Row],[Excluded]] = 0, OR(CRC_War_Room_SIMs[[#This Row],[SLA Miss]] &lt;&gt; "", ISNUMBER(SEARCH("SLA", CRC_War_Room_SIMs[[#This Row],[Labels]])))), 1, 0)</f>
        <v>0</v>
      </c>
    </row>
    <row r="840" spans="1:16" x14ac:dyDescent="0.25">
      <c r="A840" t="s">
        <v>3449</v>
      </c>
      <c r="B840" t="s">
        <v>3446</v>
      </c>
      <c r="C840" t="s">
        <v>3435</v>
      </c>
      <c r="H84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45492</v>
      </c>
      <c r="I840" s="49">
        <f ca="1">IFERROR(WEEKNUM(CRC_War_Room_SIMs[[#This Row],[Ops Date]]), "N/A")</f>
        <v>29</v>
      </c>
      <c r="J84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4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4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40" s="50">
        <f>IF(AND(CRC_War_Room_SIMs[[#This Row],[CI]] = 0, CRC_War_Room_SIMs[[#This Row],[Miss]] = 1), 1, 0)</f>
        <v>0</v>
      </c>
      <c r="N84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40" s="49">
        <f>IF(AND(CRC_War_Room_SIMs[[#This Row],[Excluded]] = 0, OR(CRC_War_Room_SIMs[[#This Row],[False Resolution Miss]] &lt;&gt; "", ISNUMBER(SEARCH("False Resolution", CRC_War_Room_SIMs[[#This Row],[Labels]])))), 1, 0)</f>
        <v>0</v>
      </c>
      <c r="P840" s="50">
        <f>IF(AND(CRC_War_Room_SIMs[[#This Row],[Excluded]] = 0, OR(CRC_War_Room_SIMs[[#This Row],[SLA Miss]] &lt;&gt; "", ISNUMBER(SEARCH("SLA", CRC_War_Room_SIMs[[#This Row],[Labels]])))), 1, 0)</f>
        <v>0</v>
      </c>
    </row>
    <row r="841" spans="1:16" x14ac:dyDescent="0.25">
      <c r="A841" t="s">
        <v>3450</v>
      </c>
      <c r="B841" t="s">
        <v>3451</v>
      </c>
      <c r="C841" t="s">
        <v>3435</v>
      </c>
      <c r="H84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45492</v>
      </c>
      <c r="I841" s="49">
        <f ca="1">IFERROR(WEEKNUM(CRC_War_Room_SIMs[[#This Row],[Ops Date]]), "N/A")</f>
        <v>29</v>
      </c>
      <c r="J84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4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4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41" s="50">
        <f>IF(AND(CRC_War_Room_SIMs[[#This Row],[CI]] = 0, CRC_War_Room_SIMs[[#This Row],[Miss]] = 1), 1, 0)</f>
        <v>0</v>
      </c>
      <c r="N84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41" s="49">
        <f>IF(AND(CRC_War_Room_SIMs[[#This Row],[Excluded]] = 0, OR(CRC_War_Room_SIMs[[#This Row],[False Resolution Miss]] &lt;&gt; "", ISNUMBER(SEARCH("False Resolution", CRC_War_Room_SIMs[[#This Row],[Labels]])))), 1, 0)</f>
        <v>0</v>
      </c>
      <c r="P841" s="50">
        <f>IF(AND(CRC_War_Room_SIMs[[#This Row],[Excluded]] = 0, OR(CRC_War_Room_SIMs[[#This Row],[SLA Miss]] &lt;&gt; "", ISNUMBER(SEARCH("SLA", CRC_War_Room_SIMs[[#This Row],[Labels]])))), 1, 0)</f>
        <v>0</v>
      </c>
    </row>
    <row r="842" spans="1:16" x14ac:dyDescent="0.25">
      <c r="A842" t="s">
        <v>3452</v>
      </c>
      <c r="B842" t="s">
        <v>3453</v>
      </c>
      <c r="C842" t="s">
        <v>3435</v>
      </c>
      <c r="H84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45492</v>
      </c>
      <c r="I842" s="49">
        <f ca="1">IFERROR(WEEKNUM(CRC_War_Room_SIMs[[#This Row],[Ops Date]]), "N/A")</f>
        <v>29</v>
      </c>
      <c r="J84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4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4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42" s="50">
        <f>IF(AND(CRC_War_Room_SIMs[[#This Row],[CI]] = 0, CRC_War_Room_SIMs[[#This Row],[Miss]] = 1), 1, 0)</f>
        <v>0</v>
      </c>
      <c r="N84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42" s="49">
        <f>IF(AND(CRC_War_Room_SIMs[[#This Row],[Excluded]] = 0, OR(CRC_War_Room_SIMs[[#This Row],[False Resolution Miss]] &lt;&gt; "", ISNUMBER(SEARCH("False Resolution", CRC_War_Room_SIMs[[#This Row],[Labels]])))), 1, 0)</f>
        <v>0</v>
      </c>
      <c r="P842" s="50">
        <f>IF(AND(CRC_War_Room_SIMs[[#This Row],[Excluded]] = 0, OR(CRC_War_Room_SIMs[[#This Row],[SLA Miss]] &lt;&gt; "", ISNUMBER(SEARCH("SLA", CRC_War_Room_SIMs[[#This Row],[Labels]])))), 1, 0)</f>
        <v>0</v>
      </c>
    </row>
    <row r="843" spans="1:16" x14ac:dyDescent="0.25">
      <c r="A843" t="s">
        <v>3454</v>
      </c>
      <c r="B843" t="s">
        <v>3453</v>
      </c>
      <c r="C843" t="s">
        <v>3435</v>
      </c>
      <c r="H84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45492</v>
      </c>
      <c r="I843" s="49">
        <f ca="1">IFERROR(WEEKNUM(CRC_War_Room_SIMs[[#This Row],[Ops Date]]), "N/A")</f>
        <v>29</v>
      </c>
      <c r="J84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4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4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43" s="50">
        <f>IF(AND(CRC_War_Room_SIMs[[#This Row],[CI]] = 0, CRC_War_Room_SIMs[[#This Row],[Miss]] = 1), 1, 0)</f>
        <v>0</v>
      </c>
      <c r="N84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43" s="49">
        <f>IF(AND(CRC_War_Room_SIMs[[#This Row],[Excluded]] = 0, OR(CRC_War_Room_SIMs[[#This Row],[False Resolution Miss]] &lt;&gt; "", ISNUMBER(SEARCH("False Resolution", CRC_War_Room_SIMs[[#This Row],[Labels]])))), 1, 0)</f>
        <v>0</v>
      </c>
      <c r="P843" s="50">
        <f>IF(AND(CRC_War_Room_SIMs[[#This Row],[Excluded]] = 0, OR(CRC_War_Room_SIMs[[#This Row],[SLA Miss]] &lt;&gt; "", ISNUMBER(SEARCH("SLA", CRC_War_Room_SIMs[[#This Row],[Labels]])))), 1, 0)</f>
        <v>0</v>
      </c>
    </row>
    <row r="844" spans="1:16" x14ac:dyDescent="0.25">
      <c r="A844" t="s">
        <v>3455</v>
      </c>
      <c r="B844" t="s">
        <v>3453</v>
      </c>
      <c r="C844" t="s">
        <v>3435</v>
      </c>
      <c r="H84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45492</v>
      </c>
      <c r="I844" s="49">
        <f ca="1">IFERROR(WEEKNUM(CRC_War_Room_SIMs[[#This Row],[Ops Date]]), "N/A")</f>
        <v>29</v>
      </c>
      <c r="J84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4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4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44" s="50">
        <f>IF(AND(CRC_War_Room_SIMs[[#This Row],[CI]] = 0, CRC_War_Room_SIMs[[#This Row],[Miss]] = 1), 1, 0)</f>
        <v>0</v>
      </c>
      <c r="N84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44" s="49">
        <f>IF(AND(CRC_War_Room_SIMs[[#This Row],[Excluded]] = 0, OR(CRC_War_Room_SIMs[[#This Row],[False Resolution Miss]] &lt;&gt; "", ISNUMBER(SEARCH("False Resolution", CRC_War_Room_SIMs[[#This Row],[Labels]])))), 1, 0)</f>
        <v>0</v>
      </c>
      <c r="P844" s="50">
        <f>IF(AND(CRC_War_Room_SIMs[[#This Row],[Excluded]] = 0, OR(CRC_War_Room_SIMs[[#This Row],[SLA Miss]] &lt;&gt; "", ISNUMBER(SEARCH("SLA", CRC_War_Room_SIMs[[#This Row],[Labels]])))), 1, 0)</f>
        <v>0</v>
      </c>
    </row>
    <row r="845" spans="1:16" x14ac:dyDescent="0.25">
      <c r="A845" t="s">
        <v>3456</v>
      </c>
      <c r="B845" t="s">
        <v>3453</v>
      </c>
      <c r="C845" t="s">
        <v>3435</v>
      </c>
      <c r="H84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45492</v>
      </c>
      <c r="I845" s="49">
        <f ca="1">IFERROR(WEEKNUM(CRC_War_Room_SIMs[[#This Row],[Ops Date]]), "N/A")</f>
        <v>29</v>
      </c>
      <c r="J84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4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4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45" s="50">
        <f>IF(AND(CRC_War_Room_SIMs[[#This Row],[CI]] = 0, CRC_War_Room_SIMs[[#This Row],[Miss]] = 1), 1, 0)</f>
        <v>0</v>
      </c>
      <c r="N84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45" s="49">
        <f>IF(AND(CRC_War_Room_SIMs[[#This Row],[Excluded]] = 0, OR(CRC_War_Room_SIMs[[#This Row],[False Resolution Miss]] &lt;&gt; "", ISNUMBER(SEARCH("False Resolution", CRC_War_Room_SIMs[[#This Row],[Labels]])))), 1, 0)</f>
        <v>0</v>
      </c>
      <c r="P845" s="50">
        <f>IF(AND(CRC_War_Room_SIMs[[#This Row],[Excluded]] = 0, OR(CRC_War_Room_SIMs[[#This Row],[SLA Miss]] &lt;&gt; "", ISNUMBER(SEARCH("SLA", CRC_War_Room_SIMs[[#This Row],[Labels]])))), 1, 0)</f>
        <v>0</v>
      </c>
    </row>
    <row r="846" spans="1:16" x14ac:dyDescent="0.25">
      <c r="A846" t="s">
        <v>3457</v>
      </c>
      <c r="B846" t="s">
        <v>3458</v>
      </c>
      <c r="C846" t="s">
        <v>3435</v>
      </c>
      <c r="H84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45492</v>
      </c>
      <c r="I846" s="49">
        <f ca="1">IFERROR(WEEKNUM(CRC_War_Room_SIMs[[#This Row],[Ops Date]]), "N/A")</f>
        <v>29</v>
      </c>
      <c r="J84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4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4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46" s="50">
        <f>IF(AND(CRC_War_Room_SIMs[[#This Row],[CI]] = 0, CRC_War_Room_SIMs[[#This Row],[Miss]] = 1), 1, 0)</f>
        <v>0</v>
      </c>
      <c r="N84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46" s="49">
        <f>IF(AND(CRC_War_Room_SIMs[[#This Row],[Excluded]] = 0, OR(CRC_War_Room_SIMs[[#This Row],[False Resolution Miss]] &lt;&gt; "", ISNUMBER(SEARCH("False Resolution", CRC_War_Room_SIMs[[#This Row],[Labels]])))), 1, 0)</f>
        <v>0</v>
      </c>
      <c r="P846" s="50">
        <f>IF(AND(CRC_War_Room_SIMs[[#This Row],[Excluded]] = 0, OR(CRC_War_Room_SIMs[[#This Row],[SLA Miss]] &lt;&gt; "", ISNUMBER(SEARCH("SLA", CRC_War_Room_SIMs[[#This Row],[Labels]])))), 1, 0)</f>
        <v>0</v>
      </c>
    </row>
    <row r="847" spans="1:16" x14ac:dyDescent="0.25">
      <c r="A847" t="s">
        <v>3459</v>
      </c>
      <c r="B847" t="s">
        <v>3460</v>
      </c>
      <c r="C847" t="s">
        <v>3461</v>
      </c>
      <c r="H84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47" s="49">
        <f ca="1">IFERROR(WEEKNUM(CRC_War_Room_SIMs[[#This Row],[Ops Date]]), "N/A")</f>
        <v>29</v>
      </c>
      <c r="J84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4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4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47" s="50">
        <f>IF(AND(CRC_War_Room_SIMs[[#This Row],[CI]] = 0, CRC_War_Room_SIMs[[#This Row],[Miss]] = 1), 1, 0)</f>
        <v>0</v>
      </c>
      <c r="N84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47" s="49">
        <f>IF(AND(CRC_War_Room_SIMs[[#This Row],[Excluded]] = 0, OR(CRC_War_Room_SIMs[[#This Row],[False Resolution Miss]] &lt;&gt; "", ISNUMBER(SEARCH("False Resolution", CRC_War_Room_SIMs[[#This Row],[Labels]])))), 1, 0)</f>
        <v>0</v>
      </c>
      <c r="P847" s="50">
        <f>IF(AND(CRC_War_Room_SIMs[[#This Row],[Excluded]] = 0, OR(CRC_War_Room_SIMs[[#This Row],[SLA Miss]] &lt;&gt; "", ISNUMBER(SEARCH("SLA", CRC_War_Room_SIMs[[#This Row],[Labels]])))), 1, 0)</f>
        <v>0</v>
      </c>
    </row>
    <row r="848" spans="1:16" x14ac:dyDescent="0.25">
      <c r="A848" t="s">
        <v>3462</v>
      </c>
      <c r="B848" t="s">
        <v>3372</v>
      </c>
      <c r="C848" t="s">
        <v>3461</v>
      </c>
      <c r="H84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48" s="49">
        <f ca="1">IFERROR(WEEKNUM(CRC_War_Room_SIMs[[#This Row],[Ops Date]]), "N/A")</f>
        <v>29</v>
      </c>
      <c r="J84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4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4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48" s="50">
        <f>IF(AND(CRC_War_Room_SIMs[[#This Row],[CI]] = 0, CRC_War_Room_SIMs[[#This Row],[Miss]] = 1), 1, 0)</f>
        <v>0</v>
      </c>
      <c r="N84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48" s="49">
        <f>IF(AND(CRC_War_Room_SIMs[[#This Row],[Excluded]] = 0, OR(CRC_War_Room_SIMs[[#This Row],[False Resolution Miss]] &lt;&gt; "", ISNUMBER(SEARCH("False Resolution", CRC_War_Room_SIMs[[#This Row],[Labels]])))), 1, 0)</f>
        <v>0</v>
      </c>
      <c r="P848" s="50">
        <f>IF(AND(CRC_War_Room_SIMs[[#This Row],[Excluded]] = 0, OR(CRC_War_Room_SIMs[[#This Row],[SLA Miss]] &lt;&gt; "", ISNUMBER(SEARCH("SLA", CRC_War_Room_SIMs[[#This Row],[Labels]])))), 1, 0)</f>
        <v>0</v>
      </c>
    </row>
    <row r="849" spans="1:16" x14ac:dyDescent="0.25">
      <c r="A849" t="s">
        <v>3463</v>
      </c>
      <c r="B849" t="s">
        <v>3372</v>
      </c>
      <c r="C849" t="s">
        <v>3461</v>
      </c>
      <c r="H84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49" s="49">
        <f ca="1">IFERROR(WEEKNUM(CRC_War_Room_SIMs[[#This Row],[Ops Date]]), "N/A")</f>
        <v>29</v>
      </c>
      <c r="J84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4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4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49" s="50">
        <f>IF(AND(CRC_War_Room_SIMs[[#This Row],[CI]] = 0, CRC_War_Room_SIMs[[#This Row],[Miss]] = 1), 1, 0)</f>
        <v>0</v>
      </c>
      <c r="N84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49" s="49">
        <f>IF(AND(CRC_War_Room_SIMs[[#This Row],[Excluded]] = 0, OR(CRC_War_Room_SIMs[[#This Row],[False Resolution Miss]] &lt;&gt; "", ISNUMBER(SEARCH("False Resolution", CRC_War_Room_SIMs[[#This Row],[Labels]])))), 1, 0)</f>
        <v>0</v>
      </c>
      <c r="P849" s="50">
        <f>IF(AND(CRC_War_Room_SIMs[[#This Row],[Excluded]] = 0, OR(CRC_War_Room_SIMs[[#This Row],[SLA Miss]] &lt;&gt; "", ISNUMBER(SEARCH("SLA", CRC_War_Room_SIMs[[#This Row],[Labels]])))), 1, 0)</f>
        <v>0</v>
      </c>
    </row>
    <row r="850" spans="1:16" x14ac:dyDescent="0.25">
      <c r="A850" t="s">
        <v>3464</v>
      </c>
      <c r="B850" t="s">
        <v>3465</v>
      </c>
      <c r="C850" t="s">
        <v>3461</v>
      </c>
      <c r="H85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50" s="49">
        <f ca="1">IFERROR(WEEKNUM(CRC_War_Room_SIMs[[#This Row],[Ops Date]]), "N/A")</f>
        <v>29</v>
      </c>
      <c r="J85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5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5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50" s="50">
        <f>IF(AND(CRC_War_Room_SIMs[[#This Row],[CI]] = 0, CRC_War_Room_SIMs[[#This Row],[Miss]] = 1), 1, 0)</f>
        <v>0</v>
      </c>
      <c r="N85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50" s="49">
        <f>IF(AND(CRC_War_Room_SIMs[[#This Row],[Excluded]] = 0, OR(CRC_War_Room_SIMs[[#This Row],[False Resolution Miss]] &lt;&gt; "", ISNUMBER(SEARCH("False Resolution", CRC_War_Room_SIMs[[#This Row],[Labels]])))), 1, 0)</f>
        <v>0</v>
      </c>
      <c r="P850" s="50">
        <f>IF(AND(CRC_War_Room_SIMs[[#This Row],[Excluded]] = 0, OR(CRC_War_Room_SIMs[[#This Row],[SLA Miss]] &lt;&gt; "", ISNUMBER(SEARCH("SLA", CRC_War_Room_SIMs[[#This Row],[Labels]])))), 1, 0)</f>
        <v>0</v>
      </c>
    </row>
    <row r="851" spans="1:16" x14ac:dyDescent="0.25">
      <c r="A851" t="s">
        <v>3466</v>
      </c>
      <c r="B851" t="s">
        <v>3372</v>
      </c>
      <c r="C851" t="s">
        <v>3461</v>
      </c>
      <c r="H85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51" s="49">
        <f ca="1">IFERROR(WEEKNUM(CRC_War_Room_SIMs[[#This Row],[Ops Date]]), "N/A")</f>
        <v>29</v>
      </c>
      <c r="J85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5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5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51" s="50">
        <f>IF(AND(CRC_War_Room_SIMs[[#This Row],[CI]] = 0, CRC_War_Room_SIMs[[#This Row],[Miss]] = 1), 1, 0)</f>
        <v>0</v>
      </c>
      <c r="N85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51" s="49">
        <f>IF(AND(CRC_War_Room_SIMs[[#This Row],[Excluded]] = 0, OR(CRC_War_Room_SIMs[[#This Row],[False Resolution Miss]] &lt;&gt; "", ISNUMBER(SEARCH("False Resolution", CRC_War_Room_SIMs[[#This Row],[Labels]])))), 1, 0)</f>
        <v>0</v>
      </c>
      <c r="P851" s="50">
        <f>IF(AND(CRC_War_Room_SIMs[[#This Row],[Excluded]] = 0, OR(CRC_War_Room_SIMs[[#This Row],[SLA Miss]] &lt;&gt; "", ISNUMBER(SEARCH("SLA", CRC_War_Room_SIMs[[#This Row],[Labels]])))), 1, 0)</f>
        <v>0</v>
      </c>
    </row>
    <row r="852" spans="1:16" x14ac:dyDescent="0.25">
      <c r="A852" t="s">
        <v>3467</v>
      </c>
      <c r="B852" t="s">
        <v>3372</v>
      </c>
      <c r="C852" t="s">
        <v>3461</v>
      </c>
      <c r="H85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52" s="49">
        <f ca="1">IFERROR(WEEKNUM(CRC_War_Room_SIMs[[#This Row],[Ops Date]]), "N/A")</f>
        <v>29</v>
      </c>
      <c r="J85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5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5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52" s="50">
        <f>IF(AND(CRC_War_Room_SIMs[[#This Row],[CI]] = 0, CRC_War_Room_SIMs[[#This Row],[Miss]] = 1), 1, 0)</f>
        <v>0</v>
      </c>
      <c r="N85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52" s="49">
        <f>IF(AND(CRC_War_Room_SIMs[[#This Row],[Excluded]] = 0, OR(CRC_War_Room_SIMs[[#This Row],[False Resolution Miss]] &lt;&gt; "", ISNUMBER(SEARCH("False Resolution", CRC_War_Room_SIMs[[#This Row],[Labels]])))), 1, 0)</f>
        <v>0</v>
      </c>
      <c r="P852" s="50">
        <f>IF(AND(CRC_War_Room_SIMs[[#This Row],[Excluded]] = 0, OR(CRC_War_Room_SIMs[[#This Row],[SLA Miss]] &lt;&gt; "", ISNUMBER(SEARCH("SLA", CRC_War_Room_SIMs[[#This Row],[Labels]])))), 1, 0)</f>
        <v>0</v>
      </c>
    </row>
    <row r="853" spans="1:16" x14ac:dyDescent="0.25">
      <c r="A853" t="s">
        <v>3468</v>
      </c>
      <c r="B853" t="s">
        <v>3372</v>
      </c>
      <c r="C853" t="s">
        <v>3461</v>
      </c>
      <c r="H85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53" s="49">
        <f ca="1">IFERROR(WEEKNUM(CRC_War_Room_SIMs[[#This Row],[Ops Date]]), "N/A")</f>
        <v>29</v>
      </c>
      <c r="J85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5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5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53" s="50">
        <f>IF(AND(CRC_War_Room_SIMs[[#This Row],[CI]] = 0, CRC_War_Room_SIMs[[#This Row],[Miss]] = 1), 1, 0)</f>
        <v>0</v>
      </c>
      <c r="N85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53" s="49">
        <f>IF(AND(CRC_War_Room_SIMs[[#This Row],[Excluded]] = 0, OR(CRC_War_Room_SIMs[[#This Row],[False Resolution Miss]] &lt;&gt; "", ISNUMBER(SEARCH("False Resolution", CRC_War_Room_SIMs[[#This Row],[Labels]])))), 1, 0)</f>
        <v>0</v>
      </c>
      <c r="P853" s="50">
        <f>IF(AND(CRC_War_Room_SIMs[[#This Row],[Excluded]] = 0, OR(CRC_War_Room_SIMs[[#This Row],[SLA Miss]] &lt;&gt; "", ISNUMBER(SEARCH("SLA", CRC_War_Room_SIMs[[#This Row],[Labels]])))), 1, 0)</f>
        <v>0</v>
      </c>
    </row>
    <row r="854" spans="1:16" x14ac:dyDescent="0.25">
      <c r="A854" t="s">
        <v>3469</v>
      </c>
      <c r="B854" t="s">
        <v>3372</v>
      </c>
      <c r="C854" t="s">
        <v>3461</v>
      </c>
      <c r="H85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54" s="49">
        <f ca="1">IFERROR(WEEKNUM(CRC_War_Room_SIMs[[#This Row],[Ops Date]]), "N/A")</f>
        <v>29</v>
      </c>
      <c r="J85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5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5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54" s="50">
        <f>IF(AND(CRC_War_Room_SIMs[[#This Row],[CI]] = 0, CRC_War_Room_SIMs[[#This Row],[Miss]] = 1), 1, 0)</f>
        <v>0</v>
      </c>
      <c r="N85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54" s="49">
        <f>IF(AND(CRC_War_Room_SIMs[[#This Row],[Excluded]] = 0, OR(CRC_War_Room_SIMs[[#This Row],[False Resolution Miss]] &lt;&gt; "", ISNUMBER(SEARCH("False Resolution", CRC_War_Room_SIMs[[#This Row],[Labels]])))), 1, 0)</f>
        <v>0</v>
      </c>
      <c r="P854" s="50">
        <f>IF(AND(CRC_War_Room_SIMs[[#This Row],[Excluded]] = 0, OR(CRC_War_Room_SIMs[[#This Row],[SLA Miss]] &lt;&gt; "", ISNUMBER(SEARCH("SLA", CRC_War_Room_SIMs[[#This Row],[Labels]])))), 1, 0)</f>
        <v>0</v>
      </c>
    </row>
    <row r="855" spans="1:16" x14ac:dyDescent="0.25">
      <c r="A855" t="s">
        <v>3470</v>
      </c>
      <c r="B855" t="s">
        <v>3372</v>
      </c>
      <c r="C855" t="s">
        <v>3461</v>
      </c>
      <c r="H85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55" s="49">
        <f ca="1">IFERROR(WEEKNUM(CRC_War_Room_SIMs[[#This Row],[Ops Date]]), "N/A")</f>
        <v>29</v>
      </c>
      <c r="J85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5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5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55" s="50">
        <f>IF(AND(CRC_War_Room_SIMs[[#This Row],[CI]] = 0, CRC_War_Room_SIMs[[#This Row],[Miss]] = 1), 1, 0)</f>
        <v>0</v>
      </c>
      <c r="N85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55" s="49">
        <f>IF(AND(CRC_War_Room_SIMs[[#This Row],[Excluded]] = 0, OR(CRC_War_Room_SIMs[[#This Row],[False Resolution Miss]] &lt;&gt; "", ISNUMBER(SEARCH("False Resolution", CRC_War_Room_SIMs[[#This Row],[Labels]])))), 1, 0)</f>
        <v>0</v>
      </c>
      <c r="P855" s="50">
        <f>IF(AND(CRC_War_Room_SIMs[[#This Row],[Excluded]] = 0, OR(CRC_War_Room_SIMs[[#This Row],[SLA Miss]] &lt;&gt; "", ISNUMBER(SEARCH("SLA", CRC_War_Room_SIMs[[#This Row],[Labels]])))), 1, 0)</f>
        <v>0</v>
      </c>
    </row>
    <row r="856" spans="1:16" x14ac:dyDescent="0.25">
      <c r="A856" t="s">
        <v>3471</v>
      </c>
      <c r="B856" t="s">
        <v>3465</v>
      </c>
      <c r="C856" t="s">
        <v>3461</v>
      </c>
      <c r="H85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56" s="49">
        <f ca="1">IFERROR(WEEKNUM(CRC_War_Room_SIMs[[#This Row],[Ops Date]]), "N/A")</f>
        <v>29</v>
      </c>
      <c r="J85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5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5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56" s="50">
        <f>IF(AND(CRC_War_Room_SIMs[[#This Row],[CI]] = 0, CRC_War_Room_SIMs[[#This Row],[Miss]] = 1), 1, 0)</f>
        <v>0</v>
      </c>
      <c r="N85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56" s="49">
        <f>IF(AND(CRC_War_Room_SIMs[[#This Row],[Excluded]] = 0, OR(CRC_War_Room_SIMs[[#This Row],[False Resolution Miss]] &lt;&gt; "", ISNUMBER(SEARCH("False Resolution", CRC_War_Room_SIMs[[#This Row],[Labels]])))), 1, 0)</f>
        <v>0</v>
      </c>
      <c r="P856" s="50">
        <f>IF(AND(CRC_War_Room_SIMs[[#This Row],[Excluded]] = 0, OR(CRC_War_Room_SIMs[[#This Row],[SLA Miss]] &lt;&gt; "", ISNUMBER(SEARCH("SLA", CRC_War_Room_SIMs[[#This Row],[Labels]])))), 1, 0)</f>
        <v>0</v>
      </c>
    </row>
    <row r="857" spans="1:16" x14ac:dyDescent="0.25">
      <c r="A857" t="s">
        <v>3472</v>
      </c>
      <c r="B857" t="s">
        <v>3372</v>
      </c>
      <c r="C857" t="s">
        <v>3461</v>
      </c>
      <c r="H85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57" s="49">
        <f ca="1">IFERROR(WEEKNUM(CRC_War_Room_SIMs[[#This Row],[Ops Date]]), "N/A")</f>
        <v>29</v>
      </c>
      <c r="J85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5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5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57" s="50">
        <f>IF(AND(CRC_War_Room_SIMs[[#This Row],[CI]] = 0, CRC_War_Room_SIMs[[#This Row],[Miss]] = 1), 1, 0)</f>
        <v>0</v>
      </c>
      <c r="N85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57" s="49">
        <f>IF(AND(CRC_War_Room_SIMs[[#This Row],[Excluded]] = 0, OR(CRC_War_Room_SIMs[[#This Row],[False Resolution Miss]] &lt;&gt; "", ISNUMBER(SEARCH("False Resolution", CRC_War_Room_SIMs[[#This Row],[Labels]])))), 1, 0)</f>
        <v>0</v>
      </c>
      <c r="P857" s="50">
        <f>IF(AND(CRC_War_Room_SIMs[[#This Row],[Excluded]] = 0, OR(CRC_War_Room_SIMs[[#This Row],[SLA Miss]] &lt;&gt; "", ISNUMBER(SEARCH("SLA", CRC_War_Room_SIMs[[#This Row],[Labels]])))), 1, 0)</f>
        <v>0</v>
      </c>
    </row>
    <row r="858" spans="1:16" x14ac:dyDescent="0.25">
      <c r="A858" t="s">
        <v>3473</v>
      </c>
      <c r="B858" t="s">
        <v>3372</v>
      </c>
      <c r="C858" t="s">
        <v>3461</v>
      </c>
      <c r="H85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58" s="49">
        <f ca="1">IFERROR(WEEKNUM(CRC_War_Room_SIMs[[#This Row],[Ops Date]]), "N/A")</f>
        <v>29</v>
      </c>
      <c r="J85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5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5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58" s="50">
        <f>IF(AND(CRC_War_Room_SIMs[[#This Row],[CI]] = 0, CRC_War_Room_SIMs[[#This Row],[Miss]] = 1), 1, 0)</f>
        <v>0</v>
      </c>
      <c r="N85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58" s="49">
        <f>IF(AND(CRC_War_Room_SIMs[[#This Row],[Excluded]] = 0, OR(CRC_War_Room_SIMs[[#This Row],[False Resolution Miss]] &lt;&gt; "", ISNUMBER(SEARCH("False Resolution", CRC_War_Room_SIMs[[#This Row],[Labels]])))), 1, 0)</f>
        <v>0</v>
      </c>
      <c r="P858" s="50">
        <f>IF(AND(CRC_War_Room_SIMs[[#This Row],[Excluded]] = 0, OR(CRC_War_Room_SIMs[[#This Row],[SLA Miss]] &lt;&gt; "", ISNUMBER(SEARCH("SLA", CRC_War_Room_SIMs[[#This Row],[Labels]])))), 1, 0)</f>
        <v>0</v>
      </c>
    </row>
    <row r="859" spans="1:16" x14ac:dyDescent="0.25">
      <c r="A859" t="s">
        <v>3474</v>
      </c>
      <c r="B859" t="s">
        <v>3465</v>
      </c>
      <c r="C859" t="s">
        <v>3461</v>
      </c>
      <c r="H85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59" s="49">
        <f ca="1">IFERROR(WEEKNUM(CRC_War_Room_SIMs[[#This Row],[Ops Date]]), "N/A")</f>
        <v>29</v>
      </c>
      <c r="J85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5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5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59" s="50">
        <f>IF(AND(CRC_War_Room_SIMs[[#This Row],[CI]] = 0, CRC_War_Room_SIMs[[#This Row],[Miss]] = 1), 1, 0)</f>
        <v>0</v>
      </c>
      <c r="N85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59" s="49">
        <f>IF(AND(CRC_War_Room_SIMs[[#This Row],[Excluded]] = 0, OR(CRC_War_Room_SIMs[[#This Row],[False Resolution Miss]] &lt;&gt; "", ISNUMBER(SEARCH("False Resolution", CRC_War_Room_SIMs[[#This Row],[Labels]])))), 1, 0)</f>
        <v>0</v>
      </c>
      <c r="P859" s="50">
        <f>IF(AND(CRC_War_Room_SIMs[[#This Row],[Excluded]] = 0, OR(CRC_War_Room_SIMs[[#This Row],[SLA Miss]] &lt;&gt; "", ISNUMBER(SEARCH("SLA", CRC_War_Room_SIMs[[#This Row],[Labels]])))), 1, 0)</f>
        <v>0</v>
      </c>
    </row>
    <row r="860" spans="1:16" x14ac:dyDescent="0.25">
      <c r="A860" t="s">
        <v>3475</v>
      </c>
      <c r="B860" t="s">
        <v>3460</v>
      </c>
      <c r="C860" t="s">
        <v>3461</v>
      </c>
      <c r="H86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60" s="49">
        <f ca="1">IFERROR(WEEKNUM(CRC_War_Room_SIMs[[#This Row],[Ops Date]]), "N/A")</f>
        <v>29</v>
      </c>
      <c r="J86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6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6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60" s="50">
        <f>IF(AND(CRC_War_Room_SIMs[[#This Row],[CI]] = 0, CRC_War_Room_SIMs[[#This Row],[Miss]] = 1), 1, 0)</f>
        <v>0</v>
      </c>
      <c r="N86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60" s="49">
        <f>IF(AND(CRC_War_Room_SIMs[[#This Row],[Excluded]] = 0, OR(CRC_War_Room_SIMs[[#This Row],[False Resolution Miss]] &lt;&gt; "", ISNUMBER(SEARCH("False Resolution", CRC_War_Room_SIMs[[#This Row],[Labels]])))), 1, 0)</f>
        <v>0</v>
      </c>
      <c r="P860" s="50">
        <f>IF(AND(CRC_War_Room_SIMs[[#This Row],[Excluded]] = 0, OR(CRC_War_Room_SIMs[[#This Row],[SLA Miss]] &lt;&gt; "", ISNUMBER(SEARCH("SLA", CRC_War_Room_SIMs[[#This Row],[Labels]])))), 1, 0)</f>
        <v>0</v>
      </c>
    </row>
    <row r="861" spans="1:16" x14ac:dyDescent="0.25">
      <c r="A861" t="s">
        <v>3476</v>
      </c>
      <c r="B861" t="s">
        <v>3460</v>
      </c>
      <c r="C861" t="s">
        <v>3461</v>
      </c>
      <c r="H86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61" s="49">
        <f ca="1">IFERROR(WEEKNUM(CRC_War_Room_SIMs[[#This Row],[Ops Date]]), "N/A")</f>
        <v>29</v>
      </c>
      <c r="J86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6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6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61" s="50">
        <f>IF(AND(CRC_War_Room_SIMs[[#This Row],[CI]] = 0, CRC_War_Room_SIMs[[#This Row],[Miss]] = 1), 1, 0)</f>
        <v>0</v>
      </c>
      <c r="N86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61" s="49">
        <f>IF(AND(CRC_War_Room_SIMs[[#This Row],[Excluded]] = 0, OR(CRC_War_Room_SIMs[[#This Row],[False Resolution Miss]] &lt;&gt; "", ISNUMBER(SEARCH("False Resolution", CRC_War_Room_SIMs[[#This Row],[Labels]])))), 1, 0)</f>
        <v>0</v>
      </c>
      <c r="P861" s="50">
        <f>IF(AND(CRC_War_Room_SIMs[[#This Row],[Excluded]] = 0, OR(CRC_War_Room_SIMs[[#This Row],[SLA Miss]] &lt;&gt; "", ISNUMBER(SEARCH("SLA", CRC_War_Room_SIMs[[#This Row],[Labels]])))), 1, 0)</f>
        <v>0</v>
      </c>
    </row>
    <row r="862" spans="1:16" x14ac:dyDescent="0.25">
      <c r="A862" t="s">
        <v>3477</v>
      </c>
      <c r="B862" t="s">
        <v>3460</v>
      </c>
      <c r="C862" t="s">
        <v>3461</v>
      </c>
      <c r="H86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62" s="49">
        <f ca="1">IFERROR(WEEKNUM(CRC_War_Room_SIMs[[#This Row],[Ops Date]]), "N/A")</f>
        <v>29</v>
      </c>
      <c r="J86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6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6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62" s="50">
        <f>IF(AND(CRC_War_Room_SIMs[[#This Row],[CI]] = 0, CRC_War_Room_SIMs[[#This Row],[Miss]] = 1), 1, 0)</f>
        <v>0</v>
      </c>
      <c r="N86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62" s="49">
        <f>IF(AND(CRC_War_Room_SIMs[[#This Row],[Excluded]] = 0, OR(CRC_War_Room_SIMs[[#This Row],[False Resolution Miss]] &lt;&gt; "", ISNUMBER(SEARCH("False Resolution", CRC_War_Room_SIMs[[#This Row],[Labels]])))), 1, 0)</f>
        <v>0</v>
      </c>
      <c r="P862" s="50">
        <f>IF(AND(CRC_War_Room_SIMs[[#This Row],[Excluded]] = 0, OR(CRC_War_Room_SIMs[[#This Row],[SLA Miss]] &lt;&gt; "", ISNUMBER(SEARCH("SLA", CRC_War_Room_SIMs[[#This Row],[Labels]])))), 1, 0)</f>
        <v>0</v>
      </c>
    </row>
    <row r="863" spans="1:16" x14ac:dyDescent="0.25">
      <c r="A863" t="s">
        <v>3478</v>
      </c>
      <c r="B863" t="s">
        <v>3460</v>
      </c>
      <c r="C863" t="s">
        <v>3461</v>
      </c>
      <c r="H86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63" s="49">
        <f ca="1">IFERROR(WEEKNUM(CRC_War_Room_SIMs[[#This Row],[Ops Date]]), "N/A")</f>
        <v>29</v>
      </c>
      <c r="J86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6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6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63" s="50">
        <f>IF(AND(CRC_War_Room_SIMs[[#This Row],[CI]] = 0, CRC_War_Room_SIMs[[#This Row],[Miss]] = 1), 1, 0)</f>
        <v>0</v>
      </c>
      <c r="N86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63" s="49">
        <f>IF(AND(CRC_War_Room_SIMs[[#This Row],[Excluded]] = 0, OR(CRC_War_Room_SIMs[[#This Row],[False Resolution Miss]] &lt;&gt; "", ISNUMBER(SEARCH("False Resolution", CRC_War_Room_SIMs[[#This Row],[Labels]])))), 1, 0)</f>
        <v>0</v>
      </c>
      <c r="P863" s="50">
        <f>IF(AND(CRC_War_Room_SIMs[[#This Row],[Excluded]] = 0, OR(CRC_War_Room_SIMs[[#This Row],[SLA Miss]] &lt;&gt; "", ISNUMBER(SEARCH("SLA", CRC_War_Room_SIMs[[#This Row],[Labels]])))), 1, 0)</f>
        <v>0</v>
      </c>
    </row>
    <row r="864" spans="1:16" x14ac:dyDescent="0.25">
      <c r="A864" t="s">
        <v>3479</v>
      </c>
      <c r="B864" t="s">
        <v>3460</v>
      </c>
      <c r="C864" t="s">
        <v>3461</v>
      </c>
      <c r="H86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64" s="49">
        <f ca="1">IFERROR(WEEKNUM(CRC_War_Room_SIMs[[#This Row],[Ops Date]]), "N/A")</f>
        <v>29</v>
      </c>
      <c r="J86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6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6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64" s="50">
        <f>IF(AND(CRC_War_Room_SIMs[[#This Row],[CI]] = 0, CRC_War_Room_SIMs[[#This Row],[Miss]] = 1), 1, 0)</f>
        <v>0</v>
      </c>
      <c r="N86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64" s="49">
        <f>IF(AND(CRC_War_Room_SIMs[[#This Row],[Excluded]] = 0, OR(CRC_War_Room_SIMs[[#This Row],[False Resolution Miss]] &lt;&gt; "", ISNUMBER(SEARCH("False Resolution", CRC_War_Room_SIMs[[#This Row],[Labels]])))), 1, 0)</f>
        <v>0</v>
      </c>
      <c r="P864" s="50">
        <f>IF(AND(CRC_War_Room_SIMs[[#This Row],[Excluded]] = 0, OR(CRC_War_Room_SIMs[[#This Row],[SLA Miss]] &lt;&gt; "", ISNUMBER(SEARCH("SLA", CRC_War_Room_SIMs[[#This Row],[Labels]])))), 1, 0)</f>
        <v>0</v>
      </c>
    </row>
    <row r="865" spans="1:16" x14ac:dyDescent="0.25">
      <c r="A865" t="s">
        <v>3480</v>
      </c>
      <c r="B865" t="s">
        <v>3460</v>
      </c>
      <c r="C865" t="s">
        <v>3461</v>
      </c>
      <c r="H86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65" s="49">
        <f ca="1">IFERROR(WEEKNUM(CRC_War_Room_SIMs[[#This Row],[Ops Date]]), "N/A")</f>
        <v>29</v>
      </c>
      <c r="J86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6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6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65" s="50">
        <f>IF(AND(CRC_War_Room_SIMs[[#This Row],[CI]] = 0, CRC_War_Room_SIMs[[#This Row],[Miss]] = 1), 1, 0)</f>
        <v>0</v>
      </c>
      <c r="N86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65" s="49">
        <f>IF(AND(CRC_War_Room_SIMs[[#This Row],[Excluded]] = 0, OR(CRC_War_Room_SIMs[[#This Row],[False Resolution Miss]] &lt;&gt; "", ISNUMBER(SEARCH("False Resolution", CRC_War_Room_SIMs[[#This Row],[Labels]])))), 1, 0)</f>
        <v>0</v>
      </c>
      <c r="P865" s="50">
        <f>IF(AND(CRC_War_Room_SIMs[[#This Row],[Excluded]] = 0, OR(CRC_War_Room_SIMs[[#This Row],[SLA Miss]] &lt;&gt; "", ISNUMBER(SEARCH("SLA", CRC_War_Room_SIMs[[#This Row],[Labels]])))), 1, 0)</f>
        <v>0</v>
      </c>
    </row>
    <row r="866" spans="1:16" x14ac:dyDescent="0.25">
      <c r="A866" t="s">
        <v>3481</v>
      </c>
      <c r="B866" t="s">
        <v>3460</v>
      </c>
      <c r="C866" t="s">
        <v>3461</v>
      </c>
      <c r="H86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66" s="49">
        <f ca="1">IFERROR(WEEKNUM(CRC_War_Room_SIMs[[#This Row],[Ops Date]]), "N/A")</f>
        <v>29</v>
      </c>
      <c r="J86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6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6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66" s="50">
        <f>IF(AND(CRC_War_Room_SIMs[[#This Row],[CI]] = 0, CRC_War_Room_SIMs[[#This Row],[Miss]] = 1), 1, 0)</f>
        <v>0</v>
      </c>
      <c r="N86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66" s="49">
        <f>IF(AND(CRC_War_Room_SIMs[[#This Row],[Excluded]] = 0, OR(CRC_War_Room_SIMs[[#This Row],[False Resolution Miss]] &lt;&gt; "", ISNUMBER(SEARCH("False Resolution", CRC_War_Room_SIMs[[#This Row],[Labels]])))), 1, 0)</f>
        <v>0</v>
      </c>
      <c r="P866" s="50">
        <f>IF(AND(CRC_War_Room_SIMs[[#This Row],[Excluded]] = 0, OR(CRC_War_Room_SIMs[[#This Row],[SLA Miss]] &lt;&gt; "", ISNUMBER(SEARCH("SLA", CRC_War_Room_SIMs[[#This Row],[Labels]])))), 1, 0)</f>
        <v>0</v>
      </c>
    </row>
    <row r="867" spans="1:16" x14ac:dyDescent="0.25">
      <c r="A867" t="s">
        <v>3482</v>
      </c>
      <c r="B867" t="s">
        <v>3460</v>
      </c>
      <c r="C867" t="s">
        <v>3461</v>
      </c>
      <c r="H86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67" s="49">
        <f ca="1">IFERROR(WEEKNUM(CRC_War_Room_SIMs[[#This Row],[Ops Date]]), "N/A")</f>
        <v>29</v>
      </c>
      <c r="J86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6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6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67" s="50">
        <f>IF(AND(CRC_War_Room_SIMs[[#This Row],[CI]] = 0, CRC_War_Room_SIMs[[#This Row],[Miss]] = 1), 1, 0)</f>
        <v>0</v>
      </c>
      <c r="N86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67" s="49">
        <f>IF(AND(CRC_War_Room_SIMs[[#This Row],[Excluded]] = 0, OR(CRC_War_Room_SIMs[[#This Row],[False Resolution Miss]] &lt;&gt; "", ISNUMBER(SEARCH("False Resolution", CRC_War_Room_SIMs[[#This Row],[Labels]])))), 1, 0)</f>
        <v>0</v>
      </c>
      <c r="P867" s="50">
        <f>IF(AND(CRC_War_Room_SIMs[[#This Row],[Excluded]] = 0, OR(CRC_War_Room_SIMs[[#This Row],[SLA Miss]] &lt;&gt; "", ISNUMBER(SEARCH("SLA", CRC_War_Room_SIMs[[#This Row],[Labels]])))), 1, 0)</f>
        <v>0</v>
      </c>
    </row>
    <row r="868" spans="1:16" x14ac:dyDescent="0.25">
      <c r="A868" t="s">
        <v>3483</v>
      </c>
      <c r="B868" t="s">
        <v>3460</v>
      </c>
      <c r="C868" t="s">
        <v>3461</v>
      </c>
      <c r="H86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68" s="49">
        <f ca="1">IFERROR(WEEKNUM(CRC_War_Room_SIMs[[#This Row],[Ops Date]]), "N/A")</f>
        <v>29</v>
      </c>
      <c r="J86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6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6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68" s="50">
        <f>IF(AND(CRC_War_Room_SIMs[[#This Row],[CI]] = 0, CRC_War_Room_SIMs[[#This Row],[Miss]] = 1), 1, 0)</f>
        <v>0</v>
      </c>
      <c r="N86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68" s="49">
        <f>IF(AND(CRC_War_Room_SIMs[[#This Row],[Excluded]] = 0, OR(CRC_War_Room_SIMs[[#This Row],[False Resolution Miss]] &lt;&gt; "", ISNUMBER(SEARCH("False Resolution", CRC_War_Room_SIMs[[#This Row],[Labels]])))), 1, 0)</f>
        <v>0</v>
      </c>
      <c r="P868" s="50">
        <f>IF(AND(CRC_War_Room_SIMs[[#This Row],[Excluded]] = 0, OR(CRC_War_Room_SIMs[[#This Row],[SLA Miss]] &lt;&gt; "", ISNUMBER(SEARCH("SLA", CRC_War_Room_SIMs[[#This Row],[Labels]])))), 1, 0)</f>
        <v>0</v>
      </c>
    </row>
    <row r="869" spans="1:16" x14ac:dyDescent="0.25">
      <c r="A869" t="s">
        <v>3484</v>
      </c>
      <c r="B869" t="s">
        <v>3460</v>
      </c>
      <c r="C869" t="s">
        <v>3461</v>
      </c>
      <c r="H86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69" s="49">
        <f ca="1">IFERROR(WEEKNUM(CRC_War_Room_SIMs[[#This Row],[Ops Date]]), "N/A")</f>
        <v>29</v>
      </c>
      <c r="J86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6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6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69" s="50">
        <f>IF(AND(CRC_War_Room_SIMs[[#This Row],[CI]] = 0, CRC_War_Room_SIMs[[#This Row],[Miss]] = 1), 1, 0)</f>
        <v>0</v>
      </c>
      <c r="N86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69" s="49">
        <f>IF(AND(CRC_War_Room_SIMs[[#This Row],[Excluded]] = 0, OR(CRC_War_Room_SIMs[[#This Row],[False Resolution Miss]] &lt;&gt; "", ISNUMBER(SEARCH("False Resolution", CRC_War_Room_SIMs[[#This Row],[Labels]])))), 1, 0)</f>
        <v>0</v>
      </c>
      <c r="P869" s="50">
        <f>IF(AND(CRC_War_Room_SIMs[[#This Row],[Excluded]] = 0, OR(CRC_War_Room_SIMs[[#This Row],[SLA Miss]] &lt;&gt; "", ISNUMBER(SEARCH("SLA", CRC_War_Room_SIMs[[#This Row],[Labels]])))), 1, 0)</f>
        <v>0</v>
      </c>
    </row>
    <row r="870" spans="1:16" x14ac:dyDescent="0.25">
      <c r="A870" t="s">
        <v>3485</v>
      </c>
      <c r="B870" t="s">
        <v>3460</v>
      </c>
      <c r="C870" t="s">
        <v>3461</v>
      </c>
      <c r="H87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70" s="49">
        <f ca="1">IFERROR(WEEKNUM(CRC_War_Room_SIMs[[#This Row],[Ops Date]]), "N/A")</f>
        <v>29</v>
      </c>
      <c r="J87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7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7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70" s="50">
        <f>IF(AND(CRC_War_Room_SIMs[[#This Row],[CI]] = 0, CRC_War_Room_SIMs[[#This Row],[Miss]] = 1), 1, 0)</f>
        <v>0</v>
      </c>
      <c r="N87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70" s="49">
        <f>IF(AND(CRC_War_Room_SIMs[[#This Row],[Excluded]] = 0, OR(CRC_War_Room_SIMs[[#This Row],[False Resolution Miss]] &lt;&gt; "", ISNUMBER(SEARCH("False Resolution", CRC_War_Room_SIMs[[#This Row],[Labels]])))), 1, 0)</f>
        <v>0</v>
      </c>
      <c r="P870" s="50">
        <f>IF(AND(CRC_War_Room_SIMs[[#This Row],[Excluded]] = 0, OR(CRC_War_Room_SIMs[[#This Row],[SLA Miss]] &lt;&gt; "", ISNUMBER(SEARCH("SLA", CRC_War_Room_SIMs[[#This Row],[Labels]])))), 1, 0)</f>
        <v>0</v>
      </c>
    </row>
    <row r="871" spans="1:16" x14ac:dyDescent="0.25">
      <c r="A871" t="s">
        <v>3486</v>
      </c>
      <c r="B871" t="s">
        <v>3460</v>
      </c>
      <c r="C871" t="s">
        <v>3461</v>
      </c>
      <c r="H87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71" s="49">
        <f ca="1">IFERROR(WEEKNUM(CRC_War_Room_SIMs[[#This Row],[Ops Date]]), "N/A")</f>
        <v>29</v>
      </c>
      <c r="J87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7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7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71" s="50">
        <f>IF(AND(CRC_War_Room_SIMs[[#This Row],[CI]] = 0, CRC_War_Room_SIMs[[#This Row],[Miss]] = 1), 1, 0)</f>
        <v>0</v>
      </c>
      <c r="N87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71" s="49">
        <f>IF(AND(CRC_War_Room_SIMs[[#This Row],[Excluded]] = 0, OR(CRC_War_Room_SIMs[[#This Row],[False Resolution Miss]] &lt;&gt; "", ISNUMBER(SEARCH("False Resolution", CRC_War_Room_SIMs[[#This Row],[Labels]])))), 1, 0)</f>
        <v>0</v>
      </c>
      <c r="P871" s="50">
        <f>IF(AND(CRC_War_Room_SIMs[[#This Row],[Excluded]] = 0, OR(CRC_War_Room_SIMs[[#This Row],[SLA Miss]] &lt;&gt; "", ISNUMBER(SEARCH("SLA", CRC_War_Room_SIMs[[#This Row],[Labels]])))), 1, 0)</f>
        <v>0</v>
      </c>
    </row>
    <row r="872" spans="1:16" x14ac:dyDescent="0.25">
      <c r="A872" t="s">
        <v>3487</v>
      </c>
      <c r="B872" t="s">
        <v>3488</v>
      </c>
      <c r="C872" t="s">
        <v>3461</v>
      </c>
      <c r="H87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72" s="49">
        <f ca="1">IFERROR(WEEKNUM(CRC_War_Room_SIMs[[#This Row],[Ops Date]]), "N/A")</f>
        <v>29</v>
      </c>
      <c r="J87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7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7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72" s="50">
        <f>IF(AND(CRC_War_Room_SIMs[[#This Row],[CI]] = 0, CRC_War_Room_SIMs[[#This Row],[Miss]] = 1), 1, 0)</f>
        <v>0</v>
      </c>
      <c r="N87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72" s="49">
        <f>IF(AND(CRC_War_Room_SIMs[[#This Row],[Excluded]] = 0, OR(CRC_War_Room_SIMs[[#This Row],[False Resolution Miss]] &lt;&gt; "", ISNUMBER(SEARCH("False Resolution", CRC_War_Room_SIMs[[#This Row],[Labels]])))), 1, 0)</f>
        <v>0</v>
      </c>
      <c r="P872" s="50">
        <f>IF(AND(CRC_War_Room_SIMs[[#This Row],[Excluded]] = 0, OR(CRC_War_Room_SIMs[[#This Row],[SLA Miss]] &lt;&gt; "", ISNUMBER(SEARCH("SLA", CRC_War_Room_SIMs[[#This Row],[Labels]])))), 1, 0)</f>
        <v>0</v>
      </c>
    </row>
    <row r="873" spans="1:16" x14ac:dyDescent="0.25">
      <c r="A873" t="s">
        <v>3489</v>
      </c>
      <c r="B873" t="s">
        <v>3488</v>
      </c>
      <c r="C873" t="s">
        <v>3461</v>
      </c>
      <c r="H87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73" s="49">
        <f ca="1">IFERROR(WEEKNUM(CRC_War_Room_SIMs[[#This Row],[Ops Date]]), "N/A")</f>
        <v>29</v>
      </c>
      <c r="J87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7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7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73" s="50">
        <f>IF(AND(CRC_War_Room_SIMs[[#This Row],[CI]] = 0, CRC_War_Room_SIMs[[#This Row],[Miss]] = 1), 1, 0)</f>
        <v>0</v>
      </c>
      <c r="N87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73" s="49">
        <f>IF(AND(CRC_War_Room_SIMs[[#This Row],[Excluded]] = 0, OR(CRC_War_Room_SIMs[[#This Row],[False Resolution Miss]] &lt;&gt; "", ISNUMBER(SEARCH("False Resolution", CRC_War_Room_SIMs[[#This Row],[Labels]])))), 1, 0)</f>
        <v>0</v>
      </c>
      <c r="P873" s="50">
        <f>IF(AND(CRC_War_Room_SIMs[[#This Row],[Excluded]] = 0, OR(CRC_War_Room_SIMs[[#This Row],[SLA Miss]] &lt;&gt; "", ISNUMBER(SEARCH("SLA", CRC_War_Room_SIMs[[#This Row],[Labels]])))), 1, 0)</f>
        <v>0</v>
      </c>
    </row>
    <row r="874" spans="1:16" x14ac:dyDescent="0.25">
      <c r="A874" t="s">
        <v>3490</v>
      </c>
      <c r="B874" t="s">
        <v>3265</v>
      </c>
      <c r="C874" t="s">
        <v>3461</v>
      </c>
      <c r="H87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74" s="49">
        <f ca="1">IFERROR(WEEKNUM(CRC_War_Room_SIMs[[#This Row],[Ops Date]]), "N/A")</f>
        <v>29</v>
      </c>
      <c r="J87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7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7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74" s="50">
        <f>IF(AND(CRC_War_Room_SIMs[[#This Row],[CI]] = 0, CRC_War_Room_SIMs[[#This Row],[Miss]] = 1), 1, 0)</f>
        <v>0</v>
      </c>
      <c r="N87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74" s="49">
        <f>IF(AND(CRC_War_Room_SIMs[[#This Row],[Excluded]] = 0, OR(CRC_War_Room_SIMs[[#This Row],[False Resolution Miss]] &lt;&gt; "", ISNUMBER(SEARCH("False Resolution", CRC_War_Room_SIMs[[#This Row],[Labels]])))), 1, 0)</f>
        <v>0</v>
      </c>
      <c r="P874" s="50">
        <f>IF(AND(CRC_War_Room_SIMs[[#This Row],[Excluded]] = 0, OR(CRC_War_Room_SIMs[[#This Row],[SLA Miss]] &lt;&gt; "", ISNUMBER(SEARCH("SLA", CRC_War_Room_SIMs[[#This Row],[Labels]])))), 1, 0)</f>
        <v>0</v>
      </c>
    </row>
    <row r="875" spans="1:16" x14ac:dyDescent="0.25">
      <c r="A875" t="s">
        <v>3491</v>
      </c>
      <c r="B875" t="s">
        <v>3265</v>
      </c>
      <c r="C875" t="s">
        <v>3373</v>
      </c>
      <c r="H87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75" s="49">
        <f ca="1">IFERROR(WEEKNUM(CRC_War_Room_SIMs[[#This Row],[Ops Date]]), "N/A")</f>
        <v>29</v>
      </c>
      <c r="J87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7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87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875" s="50">
        <f>IF(AND(CRC_War_Room_SIMs[[#This Row],[CI]] = 0, CRC_War_Room_SIMs[[#This Row],[Miss]] = 1), 1, 0)</f>
        <v>0</v>
      </c>
      <c r="N87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75" s="49">
        <f>IF(AND(CRC_War_Room_SIMs[[#This Row],[Excluded]] = 0, OR(CRC_War_Room_SIMs[[#This Row],[False Resolution Miss]] &lt;&gt; "", ISNUMBER(SEARCH("False Resolution", CRC_War_Room_SIMs[[#This Row],[Labels]])))), 1, 0)</f>
        <v>0</v>
      </c>
      <c r="P875" s="50">
        <f>IF(AND(CRC_War_Room_SIMs[[#This Row],[Excluded]] = 0, OR(CRC_War_Room_SIMs[[#This Row],[SLA Miss]] &lt;&gt; "", ISNUMBER(SEARCH("SLA", CRC_War_Room_SIMs[[#This Row],[Labels]])))), 1, 0)</f>
        <v>0</v>
      </c>
    </row>
    <row r="876" spans="1:16" x14ac:dyDescent="0.25">
      <c r="A876" t="s">
        <v>3492</v>
      </c>
      <c r="B876" t="s">
        <v>3265</v>
      </c>
      <c r="C876" t="s">
        <v>3461</v>
      </c>
      <c r="H87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76" s="49">
        <f ca="1">IFERROR(WEEKNUM(CRC_War_Room_SIMs[[#This Row],[Ops Date]]), "N/A")</f>
        <v>29</v>
      </c>
      <c r="J87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7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7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76" s="50">
        <f>IF(AND(CRC_War_Room_SIMs[[#This Row],[CI]] = 0, CRC_War_Room_SIMs[[#This Row],[Miss]] = 1), 1, 0)</f>
        <v>0</v>
      </c>
      <c r="N87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76" s="49">
        <f>IF(AND(CRC_War_Room_SIMs[[#This Row],[Excluded]] = 0, OR(CRC_War_Room_SIMs[[#This Row],[False Resolution Miss]] &lt;&gt; "", ISNUMBER(SEARCH("False Resolution", CRC_War_Room_SIMs[[#This Row],[Labels]])))), 1, 0)</f>
        <v>0</v>
      </c>
      <c r="P876" s="50">
        <f>IF(AND(CRC_War_Room_SIMs[[#This Row],[Excluded]] = 0, OR(CRC_War_Room_SIMs[[#This Row],[SLA Miss]] &lt;&gt; "", ISNUMBER(SEARCH("SLA", CRC_War_Room_SIMs[[#This Row],[Labels]])))), 1, 0)</f>
        <v>0</v>
      </c>
    </row>
    <row r="877" spans="1:16" x14ac:dyDescent="0.25">
      <c r="A877" t="s">
        <v>3493</v>
      </c>
      <c r="B877" t="s">
        <v>3265</v>
      </c>
      <c r="C877" t="s">
        <v>3461</v>
      </c>
      <c r="H87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77" s="49">
        <f ca="1">IFERROR(WEEKNUM(CRC_War_Room_SIMs[[#This Row],[Ops Date]]), "N/A")</f>
        <v>29</v>
      </c>
      <c r="J87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7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7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77" s="50">
        <f>IF(AND(CRC_War_Room_SIMs[[#This Row],[CI]] = 0, CRC_War_Room_SIMs[[#This Row],[Miss]] = 1), 1, 0)</f>
        <v>0</v>
      </c>
      <c r="N87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77" s="49">
        <f>IF(AND(CRC_War_Room_SIMs[[#This Row],[Excluded]] = 0, OR(CRC_War_Room_SIMs[[#This Row],[False Resolution Miss]] &lt;&gt; "", ISNUMBER(SEARCH("False Resolution", CRC_War_Room_SIMs[[#This Row],[Labels]])))), 1, 0)</f>
        <v>0</v>
      </c>
      <c r="P877" s="50">
        <f>IF(AND(CRC_War_Room_SIMs[[#This Row],[Excluded]] = 0, OR(CRC_War_Room_SIMs[[#This Row],[SLA Miss]] &lt;&gt; "", ISNUMBER(SEARCH("SLA", CRC_War_Room_SIMs[[#This Row],[Labels]])))), 1, 0)</f>
        <v>0</v>
      </c>
    </row>
    <row r="878" spans="1:16" x14ac:dyDescent="0.25">
      <c r="A878" t="s">
        <v>3494</v>
      </c>
      <c r="B878" t="s">
        <v>3265</v>
      </c>
      <c r="C878" t="s">
        <v>3461</v>
      </c>
      <c r="H87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78" s="49">
        <f ca="1">IFERROR(WEEKNUM(CRC_War_Room_SIMs[[#This Row],[Ops Date]]), "N/A")</f>
        <v>29</v>
      </c>
      <c r="J87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7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7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78" s="50">
        <f>IF(AND(CRC_War_Room_SIMs[[#This Row],[CI]] = 0, CRC_War_Room_SIMs[[#This Row],[Miss]] = 1), 1, 0)</f>
        <v>0</v>
      </c>
      <c r="N87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78" s="49">
        <f>IF(AND(CRC_War_Room_SIMs[[#This Row],[Excluded]] = 0, OR(CRC_War_Room_SIMs[[#This Row],[False Resolution Miss]] &lt;&gt; "", ISNUMBER(SEARCH("False Resolution", CRC_War_Room_SIMs[[#This Row],[Labels]])))), 1, 0)</f>
        <v>0</v>
      </c>
      <c r="P878" s="50">
        <f>IF(AND(CRC_War_Room_SIMs[[#This Row],[Excluded]] = 0, OR(CRC_War_Room_SIMs[[#This Row],[SLA Miss]] &lt;&gt; "", ISNUMBER(SEARCH("SLA", CRC_War_Room_SIMs[[#This Row],[Labels]])))), 1, 0)</f>
        <v>0</v>
      </c>
    </row>
    <row r="879" spans="1:16" x14ac:dyDescent="0.25">
      <c r="A879" t="s">
        <v>3495</v>
      </c>
      <c r="B879" t="s">
        <v>3265</v>
      </c>
      <c r="C879" t="s">
        <v>3461</v>
      </c>
      <c r="H87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79" s="49">
        <f ca="1">IFERROR(WEEKNUM(CRC_War_Room_SIMs[[#This Row],[Ops Date]]), "N/A")</f>
        <v>29</v>
      </c>
      <c r="J87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7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7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79" s="50">
        <f>IF(AND(CRC_War_Room_SIMs[[#This Row],[CI]] = 0, CRC_War_Room_SIMs[[#This Row],[Miss]] = 1), 1, 0)</f>
        <v>0</v>
      </c>
      <c r="N87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79" s="49">
        <f>IF(AND(CRC_War_Room_SIMs[[#This Row],[Excluded]] = 0, OR(CRC_War_Room_SIMs[[#This Row],[False Resolution Miss]] &lt;&gt; "", ISNUMBER(SEARCH("False Resolution", CRC_War_Room_SIMs[[#This Row],[Labels]])))), 1, 0)</f>
        <v>0</v>
      </c>
      <c r="P879" s="50">
        <f>IF(AND(CRC_War_Room_SIMs[[#This Row],[Excluded]] = 0, OR(CRC_War_Room_SIMs[[#This Row],[SLA Miss]] &lt;&gt; "", ISNUMBER(SEARCH("SLA", CRC_War_Room_SIMs[[#This Row],[Labels]])))), 1, 0)</f>
        <v>0</v>
      </c>
    </row>
    <row r="880" spans="1:16" x14ac:dyDescent="0.25">
      <c r="A880" t="s">
        <v>3496</v>
      </c>
      <c r="B880" t="s">
        <v>3265</v>
      </c>
      <c r="C880" t="s">
        <v>3461</v>
      </c>
      <c r="H88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80" s="49">
        <f ca="1">IFERROR(WEEKNUM(CRC_War_Room_SIMs[[#This Row],[Ops Date]]), "N/A")</f>
        <v>29</v>
      </c>
      <c r="J88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8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8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80" s="50">
        <f>IF(AND(CRC_War_Room_SIMs[[#This Row],[CI]] = 0, CRC_War_Room_SIMs[[#This Row],[Miss]] = 1), 1, 0)</f>
        <v>0</v>
      </c>
      <c r="N88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80" s="49">
        <f>IF(AND(CRC_War_Room_SIMs[[#This Row],[Excluded]] = 0, OR(CRC_War_Room_SIMs[[#This Row],[False Resolution Miss]] &lt;&gt; "", ISNUMBER(SEARCH("False Resolution", CRC_War_Room_SIMs[[#This Row],[Labels]])))), 1, 0)</f>
        <v>0</v>
      </c>
      <c r="P880" s="50">
        <f>IF(AND(CRC_War_Room_SIMs[[#This Row],[Excluded]] = 0, OR(CRC_War_Room_SIMs[[#This Row],[SLA Miss]] &lt;&gt; "", ISNUMBER(SEARCH("SLA", CRC_War_Room_SIMs[[#This Row],[Labels]])))), 1, 0)</f>
        <v>0</v>
      </c>
    </row>
    <row r="881" spans="1:16" x14ac:dyDescent="0.25">
      <c r="A881" t="s">
        <v>3497</v>
      </c>
      <c r="B881" t="s">
        <v>3265</v>
      </c>
      <c r="C881" t="s">
        <v>3461</v>
      </c>
      <c r="H88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81" s="49">
        <f ca="1">IFERROR(WEEKNUM(CRC_War_Room_SIMs[[#This Row],[Ops Date]]), "N/A")</f>
        <v>29</v>
      </c>
      <c r="J88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8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8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81" s="50">
        <f>IF(AND(CRC_War_Room_SIMs[[#This Row],[CI]] = 0, CRC_War_Room_SIMs[[#This Row],[Miss]] = 1), 1, 0)</f>
        <v>0</v>
      </c>
      <c r="N88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81" s="49">
        <f>IF(AND(CRC_War_Room_SIMs[[#This Row],[Excluded]] = 0, OR(CRC_War_Room_SIMs[[#This Row],[False Resolution Miss]] &lt;&gt; "", ISNUMBER(SEARCH("False Resolution", CRC_War_Room_SIMs[[#This Row],[Labels]])))), 1, 0)</f>
        <v>0</v>
      </c>
      <c r="P881" s="50">
        <f>IF(AND(CRC_War_Room_SIMs[[#This Row],[Excluded]] = 0, OR(CRC_War_Room_SIMs[[#This Row],[SLA Miss]] &lt;&gt; "", ISNUMBER(SEARCH("SLA", CRC_War_Room_SIMs[[#This Row],[Labels]])))), 1, 0)</f>
        <v>0</v>
      </c>
    </row>
    <row r="882" spans="1:16" x14ac:dyDescent="0.25">
      <c r="A882" t="s">
        <v>3498</v>
      </c>
      <c r="B882" t="s">
        <v>3499</v>
      </c>
      <c r="C882" t="s">
        <v>3373</v>
      </c>
      <c r="H88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82" s="49">
        <f ca="1">IFERROR(WEEKNUM(CRC_War_Room_SIMs[[#This Row],[Ops Date]]), "N/A")</f>
        <v>29</v>
      </c>
      <c r="J88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8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88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882" s="50">
        <f>IF(AND(CRC_War_Room_SIMs[[#This Row],[CI]] = 0, CRC_War_Room_SIMs[[#This Row],[Miss]] = 1), 1, 0)</f>
        <v>0</v>
      </c>
      <c r="N88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82" s="49">
        <f>IF(AND(CRC_War_Room_SIMs[[#This Row],[Excluded]] = 0, OR(CRC_War_Room_SIMs[[#This Row],[False Resolution Miss]] &lt;&gt; "", ISNUMBER(SEARCH("False Resolution", CRC_War_Room_SIMs[[#This Row],[Labels]])))), 1, 0)</f>
        <v>0</v>
      </c>
      <c r="P882" s="50">
        <f>IF(AND(CRC_War_Room_SIMs[[#This Row],[Excluded]] = 0, OR(CRC_War_Room_SIMs[[#This Row],[SLA Miss]] &lt;&gt; "", ISNUMBER(SEARCH("SLA", CRC_War_Room_SIMs[[#This Row],[Labels]])))), 1, 0)</f>
        <v>0</v>
      </c>
    </row>
    <row r="883" spans="1:16" x14ac:dyDescent="0.25">
      <c r="A883" t="s">
        <v>3500</v>
      </c>
      <c r="B883" t="s">
        <v>3265</v>
      </c>
      <c r="C883" t="s">
        <v>3461</v>
      </c>
      <c r="H88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83" s="49">
        <f ca="1">IFERROR(WEEKNUM(CRC_War_Room_SIMs[[#This Row],[Ops Date]]), "N/A")</f>
        <v>29</v>
      </c>
      <c r="J88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8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8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83" s="50">
        <f>IF(AND(CRC_War_Room_SIMs[[#This Row],[CI]] = 0, CRC_War_Room_SIMs[[#This Row],[Miss]] = 1), 1, 0)</f>
        <v>0</v>
      </c>
      <c r="N88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83" s="49">
        <f>IF(AND(CRC_War_Room_SIMs[[#This Row],[Excluded]] = 0, OR(CRC_War_Room_SIMs[[#This Row],[False Resolution Miss]] &lt;&gt; "", ISNUMBER(SEARCH("False Resolution", CRC_War_Room_SIMs[[#This Row],[Labels]])))), 1, 0)</f>
        <v>0</v>
      </c>
      <c r="P883" s="50">
        <f>IF(AND(CRC_War_Room_SIMs[[#This Row],[Excluded]] = 0, OR(CRC_War_Room_SIMs[[#This Row],[SLA Miss]] &lt;&gt; "", ISNUMBER(SEARCH("SLA", CRC_War_Room_SIMs[[#This Row],[Labels]])))), 1, 0)</f>
        <v>0</v>
      </c>
    </row>
    <row r="884" spans="1:16" x14ac:dyDescent="0.25">
      <c r="A884" t="s">
        <v>3501</v>
      </c>
      <c r="B884" t="s">
        <v>3502</v>
      </c>
      <c r="C884" t="s">
        <v>3461</v>
      </c>
      <c r="H88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84" s="49">
        <f ca="1">IFERROR(WEEKNUM(CRC_War_Room_SIMs[[#This Row],[Ops Date]]), "N/A")</f>
        <v>29</v>
      </c>
      <c r="J88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8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8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84" s="50">
        <f>IF(AND(CRC_War_Room_SIMs[[#This Row],[CI]] = 0, CRC_War_Room_SIMs[[#This Row],[Miss]] = 1), 1, 0)</f>
        <v>0</v>
      </c>
      <c r="N88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84" s="49">
        <f>IF(AND(CRC_War_Room_SIMs[[#This Row],[Excluded]] = 0, OR(CRC_War_Room_SIMs[[#This Row],[False Resolution Miss]] &lt;&gt; "", ISNUMBER(SEARCH("False Resolution", CRC_War_Room_SIMs[[#This Row],[Labels]])))), 1, 0)</f>
        <v>0</v>
      </c>
      <c r="P884" s="50">
        <f>IF(AND(CRC_War_Room_SIMs[[#This Row],[Excluded]] = 0, OR(CRC_War_Room_SIMs[[#This Row],[SLA Miss]] &lt;&gt; "", ISNUMBER(SEARCH("SLA", CRC_War_Room_SIMs[[#This Row],[Labels]])))), 1, 0)</f>
        <v>0</v>
      </c>
    </row>
    <row r="885" spans="1:16" x14ac:dyDescent="0.25">
      <c r="A885" t="s">
        <v>3503</v>
      </c>
      <c r="B885" t="s">
        <v>3265</v>
      </c>
      <c r="C885" t="s">
        <v>3461</v>
      </c>
      <c r="H88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85" s="49">
        <f ca="1">IFERROR(WEEKNUM(CRC_War_Room_SIMs[[#This Row],[Ops Date]]), "N/A")</f>
        <v>29</v>
      </c>
      <c r="J88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8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8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85" s="50">
        <f>IF(AND(CRC_War_Room_SIMs[[#This Row],[CI]] = 0, CRC_War_Room_SIMs[[#This Row],[Miss]] = 1), 1, 0)</f>
        <v>0</v>
      </c>
      <c r="N88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85" s="49">
        <f>IF(AND(CRC_War_Room_SIMs[[#This Row],[Excluded]] = 0, OR(CRC_War_Room_SIMs[[#This Row],[False Resolution Miss]] &lt;&gt; "", ISNUMBER(SEARCH("False Resolution", CRC_War_Room_SIMs[[#This Row],[Labels]])))), 1, 0)</f>
        <v>0</v>
      </c>
      <c r="P885" s="50">
        <f>IF(AND(CRC_War_Room_SIMs[[#This Row],[Excluded]] = 0, OR(CRC_War_Room_SIMs[[#This Row],[SLA Miss]] &lt;&gt; "", ISNUMBER(SEARCH("SLA", CRC_War_Room_SIMs[[#This Row],[Labels]])))), 1, 0)</f>
        <v>0</v>
      </c>
    </row>
    <row r="886" spans="1:16" x14ac:dyDescent="0.25">
      <c r="A886" t="s">
        <v>3504</v>
      </c>
      <c r="B886" t="s">
        <v>3265</v>
      </c>
      <c r="C886" t="s">
        <v>3461</v>
      </c>
      <c r="H88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86" s="49">
        <f ca="1">IFERROR(WEEKNUM(CRC_War_Room_SIMs[[#This Row],[Ops Date]]), "N/A")</f>
        <v>29</v>
      </c>
      <c r="J88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8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8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86" s="50">
        <f>IF(AND(CRC_War_Room_SIMs[[#This Row],[CI]] = 0, CRC_War_Room_SIMs[[#This Row],[Miss]] = 1), 1, 0)</f>
        <v>0</v>
      </c>
      <c r="N88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86" s="49">
        <f>IF(AND(CRC_War_Room_SIMs[[#This Row],[Excluded]] = 0, OR(CRC_War_Room_SIMs[[#This Row],[False Resolution Miss]] &lt;&gt; "", ISNUMBER(SEARCH("False Resolution", CRC_War_Room_SIMs[[#This Row],[Labels]])))), 1, 0)</f>
        <v>0</v>
      </c>
      <c r="P886" s="50">
        <f>IF(AND(CRC_War_Room_SIMs[[#This Row],[Excluded]] = 0, OR(CRC_War_Room_SIMs[[#This Row],[SLA Miss]] &lt;&gt; "", ISNUMBER(SEARCH("SLA", CRC_War_Room_SIMs[[#This Row],[Labels]])))), 1, 0)</f>
        <v>0</v>
      </c>
    </row>
    <row r="887" spans="1:16" x14ac:dyDescent="0.25">
      <c r="A887" t="s">
        <v>3505</v>
      </c>
      <c r="B887" t="s">
        <v>3265</v>
      </c>
      <c r="C887" t="s">
        <v>3461</v>
      </c>
      <c r="H88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87" s="49">
        <f ca="1">IFERROR(WEEKNUM(CRC_War_Room_SIMs[[#This Row],[Ops Date]]), "N/A")</f>
        <v>29</v>
      </c>
      <c r="J88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8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8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87" s="50">
        <f>IF(AND(CRC_War_Room_SIMs[[#This Row],[CI]] = 0, CRC_War_Room_SIMs[[#This Row],[Miss]] = 1), 1, 0)</f>
        <v>0</v>
      </c>
      <c r="N88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87" s="49">
        <f>IF(AND(CRC_War_Room_SIMs[[#This Row],[Excluded]] = 0, OR(CRC_War_Room_SIMs[[#This Row],[False Resolution Miss]] &lt;&gt; "", ISNUMBER(SEARCH("False Resolution", CRC_War_Room_SIMs[[#This Row],[Labels]])))), 1, 0)</f>
        <v>0</v>
      </c>
      <c r="P887" s="50">
        <f>IF(AND(CRC_War_Room_SIMs[[#This Row],[Excluded]] = 0, OR(CRC_War_Room_SIMs[[#This Row],[SLA Miss]] &lt;&gt; "", ISNUMBER(SEARCH("SLA", CRC_War_Room_SIMs[[#This Row],[Labels]])))), 1, 0)</f>
        <v>0</v>
      </c>
    </row>
    <row r="888" spans="1:16" x14ac:dyDescent="0.25">
      <c r="A888" t="s">
        <v>3506</v>
      </c>
      <c r="B888" t="s">
        <v>3502</v>
      </c>
      <c r="C888" t="s">
        <v>3461</v>
      </c>
      <c r="H88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88" s="49">
        <f ca="1">IFERROR(WEEKNUM(CRC_War_Room_SIMs[[#This Row],[Ops Date]]), "N/A")</f>
        <v>29</v>
      </c>
      <c r="J88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8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8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88" s="50">
        <f>IF(AND(CRC_War_Room_SIMs[[#This Row],[CI]] = 0, CRC_War_Room_SIMs[[#This Row],[Miss]] = 1), 1, 0)</f>
        <v>0</v>
      </c>
      <c r="N88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88" s="49">
        <f>IF(AND(CRC_War_Room_SIMs[[#This Row],[Excluded]] = 0, OR(CRC_War_Room_SIMs[[#This Row],[False Resolution Miss]] &lt;&gt; "", ISNUMBER(SEARCH("False Resolution", CRC_War_Room_SIMs[[#This Row],[Labels]])))), 1, 0)</f>
        <v>0</v>
      </c>
      <c r="P888" s="50">
        <f>IF(AND(CRC_War_Room_SIMs[[#This Row],[Excluded]] = 0, OR(CRC_War_Room_SIMs[[#This Row],[SLA Miss]] &lt;&gt; "", ISNUMBER(SEARCH("SLA", CRC_War_Room_SIMs[[#This Row],[Labels]])))), 1, 0)</f>
        <v>0</v>
      </c>
    </row>
    <row r="889" spans="1:16" x14ac:dyDescent="0.25">
      <c r="A889" t="s">
        <v>3507</v>
      </c>
      <c r="B889" t="s">
        <v>3502</v>
      </c>
      <c r="C889" t="s">
        <v>3461</v>
      </c>
      <c r="H88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89" s="49">
        <f ca="1">IFERROR(WEEKNUM(CRC_War_Room_SIMs[[#This Row],[Ops Date]]), "N/A")</f>
        <v>29</v>
      </c>
      <c r="J88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8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8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89" s="50">
        <f>IF(AND(CRC_War_Room_SIMs[[#This Row],[CI]] = 0, CRC_War_Room_SIMs[[#This Row],[Miss]] = 1), 1, 0)</f>
        <v>0</v>
      </c>
      <c r="N88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89" s="49">
        <f>IF(AND(CRC_War_Room_SIMs[[#This Row],[Excluded]] = 0, OR(CRC_War_Room_SIMs[[#This Row],[False Resolution Miss]] &lt;&gt; "", ISNUMBER(SEARCH("False Resolution", CRC_War_Room_SIMs[[#This Row],[Labels]])))), 1, 0)</f>
        <v>0</v>
      </c>
      <c r="P889" s="50">
        <f>IF(AND(CRC_War_Room_SIMs[[#This Row],[Excluded]] = 0, OR(CRC_War_Room_SIMs[[#This Row],[SLA Miss]] &lt;&gt; "", ISNUMBER(SEARCH("SLA", CRC_War_Room_SIMs[[#This Row],[Labels]])))), 1, 0)</f>
        <v>0</v>
      </c>
    </row>
    <row r="890" spans="1:16" x14ac:dyDescent="0.25">
      <c r="A890" t="s">
        <v>3508</v>
      </c>
      <c r="B890" t="s">
        <v>3499</v>
      </c>
      <c r="C890" t="s">
        <v>3373</v>
      </c>
      <c r="H89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90" s="49">
        <f ca="1">IFERROR(WEEKNUM(CRC_War_Room_SIMs[[#This Row],[Ops Date]]), "N/A")</f>
        <v>29</v>
      </c>
      <c r="J89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9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89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890" s="50">
        <f>IF(AND(CRC_War_Room_SIMs[[#This Row],[CI]] = 0, CRC_War_Room_SIMs[[#This Row],[Miss]] = 1), 1, 0)</f>
        <v>0</v>
      </c>
      <c r="N89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90" s="49">
        <f>IF(AND(CRC_War_Room_SIMs[[#This Row],[Excluded]] = 0, OR(CRC_War_Room_SIMs[[#This Row],[False Resolution Miss]] &lt;&gt; "", ISNUMBER(SEARCH("False Resolution", CRC_War_Room_SIMs[[#This Row],[Labels]])))), 1, 0)</f>
        <v>0</v>
      </c>
      <c r="P890" s="50">
        <f>IF(AND(CRC_War_Room_SIMs[[#This Row],[Excluded]] = 0, OR(CRC_War_Room_SIMs[[#This Row],[SLA Miss]] &lt;&gt; "", ISNUMBER(SEARCH("SLA", CRC_War_Room_SIMs[[#This Row],[Labels]])))), 1, 0)</f>
        <v>0</v>
      </c>
    </row>
    <row r="891" spans="1:16" x14ac:dyDescent="0.25">
      <c r="A891" t="s">
        <v>3509</v>
      </c>
      <c r="B891" t="s">
        <v>3502</v>
      </c>
      <c r="C891" t="s">
        <v>3461</v>
      </c>
      <c r="H89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91" s="49">
        <f ca="1">IFERROR(WEEKNUM(CRC_War_Room_SIMs[[#This Row],[Ops Date]]), "N/A")</f>
        <v>29</v>
      </c>
      <c r="J89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9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9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91" s="50">
        <f>IF(AND(CRC_War_Room_SIMs[[#This Row],[CI]] = 0, CRC_War_Room_SIMs[[#This Row],[Miss]] = 1), 1, 0)</f>
        <v>0</v>
      </c>
      <c r="N89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91" s="49">
        <f>IF(AND(CRC_War_Room_SIMs[[#This Row],[Excluded]] = 0, OR(CRC_War_Room_SIMs[[#This Row],[False Resolution Miss]] &lt;&gt; "", ISNUMBER(SEARCH("False Resolution", CRC_War_Room_SIMs[[#This Row],[Labels]])))), 1, 0)</f>
        <v>0</v>
      </c>
      <c r="P891" s="50">
        <f>IF(AND(CRC_War_Room_SIMs[[#This Row],[Excluded]] = 0, OR(CRC_War_Room_SIMs[[#This Row],[SLA Miss]] &lt;&gt; "", ISNUMBER(SEARCH("SLA", CRC_War_Room_SIMs[[#This Row],[Labels]])))), 1, 0)</f>
        <v>0</v>
      </c>
    </row>
    <row r="892" spans="1:16" x14ac:dyDescent="0.25">
      <c r="A892" t="s">
        <v>3510</v>
      </c>
      <c r="B892" t="s">
        <v>3499</v>
      </c>
      <c r="C892" t="s">
        <v>3461</v>
      </c>
      <c r="H89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92" s="49">
        <f ca="1">IFERROR(WEEKNUM(CRC_War_Room_SIMs[[#This Row],[Ops Date]]), "N/A")</f>
        <v>29</v>
      </c>
      <c r="J89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9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9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92" s="50">
        <f>IF(AND(CRC_War_Room_SIMs[[#This Row],[CI]] = 0, CRC_War_Room_SIMs[[#This Row],[Miss]] = 1), 1, 0)</f>
        <v>0</v>
      </c>
      <c r="N89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92" s="49">
        <f>IF(AND(CRC_War_Room_SIMs[[#This Row],[Excluded]] = 0, OR(CRC_War_Room_SIMs[[#This Row],[False Resolution Miss]] &lt;&gt; "", ISNUMBER(SEARCH("False Resolution", CRC_War_Room_SIMs[[#This Row],[Labels]])))), 1, 0)</f>
        <v>0</v>
      </c>
      <c r="P892" s="50">
        <f>IF(AND(CRC_War_Room_SIMs[[#This Row],[Excluded]] = 0, OR(CRC_War_Room_SIMs[[#This Row],[SLA Miss]] &lt;&gt; "", ISNUMBER(SEARCH("SLA", CRC_War_Room_SIMs[[#This Row],[Labels]])))), 1, 0)</f>
        <v>0</v>
      </c>
    </row>
    <row r="893" spans="1:16" x14ac:dyDescent="0.25">
      <c r="A893" t="s">
        <v>3511</v>
      </c>
      <c r="B893" t="s">
        <v>3499</v>
      </c>
      <c r="C893" t="s">
        <v>3461</v>
      </c>
      <c r="H89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93" s="49">
        <f ca="1">IFERROR(WEEKNUM(CRC_War_Room_SIMs[[#This Row],[Ops Date]]), "N/A")</f>
        <v>29</v>
      </c>
      <c r="J89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9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9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93" s="50">
        <f>IF(AND(CRC_War_Room_SIMs[[#This Row],[CI]] = 0, CRC_War_Room_SIMs[[#This Row],[Miss]] = 1), 1, 0)</f>
        <v>0</v>
      </c>
      <c r="N89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93" s="49">
        <f>IF(AND(CRC_War_Room_SIMs[[#This Row],[Excluded]] = 0, OR(CRC_War_Room_SIMs[[#This Row],[False Resolution Miss]] &lt;&gt; "", ISNUMBER(SEARCH("False Resolution", CRC_War_Room_SIMs[[#This Row],[Labels]])))), 1, 0)</f>
        <v>0</v>
      </c>
      <c r="P893" s="50">
        <f>IF(AND(CRC_War_Room_SIMs[[#This Row],[Excluded]] = 0, OR(CRC_War_Room_SIMs[[#This Row],[SLA Miss]] &lt;&gt; "", ISNUMBER(SEARCH("SLA", CRC_War_Room_SIMs[[#This Row],[Labels]])))), 1, 0)</f>
        <v>0</v>
      </c>
    </row>
    <row r="894" spans="1:16" x14ac:dyDescent="0.25">
      <c r="A894" t="s">
        <v>3512</v>
      </c>
      <c r="B894" t="s">
        <v>3499</v>
      </c>
      <c r="C894" t="s">
        <v>3461</v>
      </c>
      <c r="H89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94" s="49">
        <f ca="1">IFERROR(WEEKNUM(CRC_War_Room_SIMs[[#This Row],[Ops Date]]), "N/A")</f>
        <v>29</v>
      </c>
      <c r="J89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9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9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94" s="50">
        <f>IF(AND(CRC_War_Room_SIMs[[#This Row],[CI]] = 0, CRC_War_Room_SIMs[[#This Row],[Miss]] = 1), 1, 0)</f>
        <v>0</v>
      </c>
      <c r="N89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94" s="49">
        <f>IF(AND(CRC_War_Room_SIMs[[#This Row],[Excluded]] = 0, OR(CRC_War_Room_SIMs[[#This Row],[False Resolution Miss]] &lt;&gt; "", ISNUMBER(SEARCH("False Resolution", CRC_War_Room_SIMs[[#This Row],[Labels]])))), 1, 0)</f>
        <v>0</v>
      </c>
      <c r="P894" s="50">
        <f>IF(AND(CRC_War_Room_SIMs[[#This Row],[Excluded]] = 0, OR(CRC_War_Room_SIMs[[#This Row],[SLA Miss]] &lt;&gt; "", ISNUMBER(SEARCH("SLA", CRC_War_Room_SIMs[[#This Row],[Labels]])))), 1, 0)</f>
        <v>0</v>
      </c>
    </row>
    <row r="895" spans="1:16" x14ac:dyDescent="0.25">
      <c r="A895" t="s">
        <v>3513</v>
      </c>
      <c r="B895" t="s">
        <v>3499</v>
      </c>
      <c r="C895" t="s">
        <v>3373</v>
      </c>
      <c r="H89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95" s="49">
        <f ca="1">IFERROR(WEEKNUM(CRC_War_Room_SIMs[[#This Row],[Ops Date]]), "N/A")</f>
        <v>29</v>
      </c>
      <c r="J89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9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89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895" s="50">
        <f>IF(AND(CRC_War_Room_SIMs[[#This Row],[CI]] = 0, CRC_War_Room_SIMs[[#This Row],[Miss]] = 1), 1, 0)</f>
        <v>0</v>
      </c>
      <c r="N89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95" s="49">
        <f>IF(AND(CRC_War_Room_SIMs[[#This Row],[Excluded]] = 0, OR(CRC_War_Room_SIMs[[#This Row],[False Resolution Miss]] &lt;&gt; "", ISNUMBER(SEARCH("False Resolution", CRC_War_Room_SIMs[[#This Row],[Labels]])))), 1, 0)</f>
        <v>0</v>
      </c>
      <c r="P895" s="50">
        <f>IF(AND(CRC_War_Room_SIMs[[#This Row],[Excluded]] = 0, OR(CRC_War_Room_SIMs[[#This Row],[SLA Miss]] &lt;&gt; "", ISNUMBER(SEARCH("SLA", CRC_War_Room_SIMs[[#This Row],[Labels]])))), 1, 0)</f>
        <v>0</v>
      </c>
    </row>
    <row r="896" spans="1:16" x14ac:dyDescent="0.25">
      <c r="A896" t="s">
        <v>3514</v>
      </c>
      <c r="B896" t="s">
        <v>3499</v>
      </c>
      <c r="C896" t="s">
        <v>3461</v>
      </c>
      <c r="H89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96" s="49">
        <f ca="1">IFERROR(WEEKNUM(CRC_War_Room_SIMs[[#This Row],[Ops Date]]), "N/A")</f>
        <v>29</v>
      </c>
      <c r="J89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9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9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96" s="50">
        <f>IF(AND(CRC_War_Room_SIMs[[#This Row],[CI]] = 0, CRC_War_Room_SIMs[[#This Row],[Miss]] = 1), 1, 0)</f>
        <v>0</v>
      </c>
      <c r="N89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96" s="49">
        <f>IF(AND(CRC_War_Room_SIMs[[#This Row],[Excluded]] = 0, OR(CRC_War_Room_SIMs[[#This Row],[False Resolution Miss]] &lt;&gt; "", ISNUMBER(SEARCH("False Resolution", CRC_War_Room_SIMs[[#This Row],[Labels]])))), 1, 0)</f>
        <v>0</v>
      </c>
      <c r="P896" s="50">
        <f>IF(AND(CRC_War_Room_SIMs[[#This Row],[Excluded]] = 0, OR(CRC_War_Room_SIMs[[#This Row],[SLA Miss]] &lt;&gt; "", ISNUMBER(SEARCH("SLA", CRC_War_Room_SIMs[[#This Row],[Labels]])))), 1, 0)</f>
        <v>0</v>
      </c>
    </row>
    <row r="897" spans="1:16" x14ac:dyDescent="0.25">
      <c r="A897" t="s">
        <v>3515</v>
      </c>
      <c r="B897" t="s">
        <v>3499</v>
      </c>
      <c r="C897" t="s">
        <v>3461</v>
      </c>
      <c r="H89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97" s="49">
        <f ca="1">IFERROR(WEEKNUM(CRC_War_Room_SIMs[[#This Row],[Ops Date]]), "N/A")</f>
        <v>29</v>
      </c>
      <c r="J89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9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9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97" s="50">
        <f>IF(AND(CRC_War_Room_SIMs[[#This Row],[CI]] = 0, CRC_War_Room_SIMs[[#This Row],[Miss]] = 1), 1, 0)</f>
        <v>0</v>
      </c>
      <c r="N89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97" s="49">
        <f>IF(AND(CRC_War_Room_SIMs[[#This Row],[Excluded]] = 0, OR(CRC_War_Room_SIMs[[#This Row],[False Resolution Miss]] &lt;&gt; "", ISNUMBER(SEARCH("False Resolution", CRC_War_Room_SIMs[[#This Row],[Labels]])))), 1, 0)</f>
        <v>0</v>
      </c>
      <c r="P897" s="50">
        <f>IF(AND(CRC_War_Room_SIMs[[#This Row],[Excluded]] = 0, OR(CRC_War_Room_SIMs[[#This Row],[SLA Miss]] &lt;&gt; "", ISNUMBER(SEARCH("SLA", CRC_War_Room_SIMs[[#This Row],[Labels]])))), 1, 0)</f>
        <v>0</v>
      </c>
    </row>
    <row r="898" spans="1:16" x14ac:dyDescent="0.25">
      <c r="A898" t="s">
        <v>3516</v>
      </c>
      <c r="B898" t="s">
        <v>3499</v>
      </c>
      <c r="C898" t="s">
        <v>3461</v>
      </c>
      <c r="H89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98" s="49">
        <f ca="1">IFERROR(WEEKNUM(CRC_War_Room_SIMs[[#This Row],[Ops Date]]), "N/A")</f>
        <v>29</v>
      </c>
      <c r="J89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9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9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98" s="50">
        <f>IF(AND(CRC_War_Room_SIMs[[#This Row],[CI]] = 0, CRC_War_Room_SIMs[[#This Row],[Miss]] = 1), 1, 0)</f>
        <v>0</v>
      </c>
      <c r="N89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98" s="49">
        <f>IF(AND(CRC_War_Room_SIMs[[#This Row],[Excluded]] = 0, OR(CRC_War_Room_SIMs[[#This Row],[False Resolution Miss]] &lt;&gt; "", ISNUMBER(SEARCH("False Resolution", CRC_War_Room_SIMs[[#This Row],[Labels]])))), 1, 0)</f>
        <v>0</v>
      </c>
      <c r="P898" s="50">
        <f>IF(AND(CRC_War_Room_SIMs[[#This Row],[Excluded]] = 0, OR(CRC_War_Room_SIMs[[#This Row],[SLA Miss]] &lt;&gt; "", ISNUMBER(SEARCH("SLA", CRC_War_Room_SIMs[[#This Row],[Labels]])))), 1, 0)</f>
        <v>0</v>
      </c>
    </row>
    <row r="899" spans="1:16" x14ac:dyDescent="0.25">
      <c r="A899" t="s">
        <v>3517</v>
      </c>
      <c r="B899" t="s">
        <v>3499</v>
      </c>
      <c r="C899" t="s">
        <v>3461</v>
      </c>
      <c r="H89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899" s="49">
        <f ca="1">IFERROR(WEEKNUM(CRC_War_Room_SIMs[[#This Row],[Ops Date]]), "N/A")</f>
        <v>29</v>
      </c>
      <c r="J89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89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89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899" s="50">
        <f>IF(AND(CRC_War_Room_SIMs[[#This Row],[CI]] = 0, CRC_War_Room_SIMs[[#This Row],[Miss]] = 1), 1, 0)</f>
        <v>0</v>
      </c>
      <c r="N89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899" s="49">
        <f>IF(AND(CRC_War_Room_SIMs[[#This Row],[Excluded]] = 0, OR(CRC_War_Room_SIMs[[#This Row],[False Resolution Miss]] &lt;&gt; "", ISNUMBER(SEARCH("False Resolution", CRC_War_Room_SIMs[[#This Row],[Labels]])))), 1, 0)</f>
        <v>0</v>
      </c>
      <c r="P899" s="50">
        <f>IF(AND(CRC_War_Room_SIMs[[#This Row],[Excluded]] = 0, OR(CRC_War_Room_SIMs[[#This Row],[SLA Miss]] &lt;&gt; "", ISNUMBER(SEARCH("SLA", CRC_War_Room_SIMs[[#This Row],[Labels]])))), 1, 0)</f>
        <v>0</v>
      </c>
    </row>
    <row r="900" spans="1:16" x14ac:dyDescent="0.25">
      <c r="A900" t="s">
        <v>3518</v>
      </c>
      <c r="B900" t="s">
        <v>3519</v>
      </c>
      <c r="C900" t="s">
        <v>3461</v>
      </c>
      <c r="H90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900" s="49">
        <f ca="1">IFERROR(WEEKNUM(CRC_War_Room_SIMs[[#This Row],[Ops Date]]), "N/A")</f>
        <v>29</v>
      </c>
      <c r="J90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0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0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00" s="50">
        <f>IF(AND(CRC_War_Room_SIMs[[#This Row],[CI]] = 0, CRC_War_Room_SIMs[[#This Row],[Miss]] = 1), 1, 0)</f>
        <v>0</v>
      </c>
      <c r="N90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00" s="49">
        <f>IF(AND(CRC_War_Room_SIMs[[#This Row],[Excluded]] = 0, OR(CRC_War_Room_SIMs[[#This Row],[False Resolution Miss]] &lt;&gt; "", ISNUMBER(SEARCH("False Resolution", CRC_War_Room_SIMs[[#This Row],[Labels]])))), 1, 0)</f>
        <v>0</v>
      </c>
      <c r="P900" s="50">
        <f>IF(AND(CRC_War_Room_SIMs[[#This Row],[Excluded]] = 0, OR(CRC_War_Room_SIMs[[#This Row],[SLA Miss]] &lt;&gt; "", ISNUMBER(SEARCH("SLA", CRC_War_Room_SIMs[[#This Row],[Labels]])))), 1, 0)</f>
        <v>0</v>
      </c>
    </row>
    <row r="901" spans="1:16" x14ac:dyDescent="0.25">
      <c r="A901" t="s">
        <v>3520</v>
      </c>
      <c r="B901" t="s">
        <v>3499</v>
      </c>
      <c r="C901" t="s">
        <v>3373</v>
      </c>
      <c r="H90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901" s="49">
        <f ca="1">IFERROR(WEEKNUM(CRC_War_Room_SIMs[[#This Row],[Ops Date]]), "N/A")</f>
        <v>29</v>
      </c>
      <c r="J90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0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90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901" s="50">
        <f>IF(AND(CRC_War_Room_SIMs[[#This Row],[CI]] = 0, CRC_War_Room_SIMs[[#This Row],[Miss]] = 1), 1, 0)</f>
        <v>0</v>
      </c>
      <c r="N90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01" s="49">
        <f>IF(AND(CRC_War_Room_SIMs[[#This Row],[Excluded]] = 0, OR(CRC_War_Room_SIMs[[#This Row],[False Resolution Miss]] &lt;&gt; "", ISNUMBER(SEARCH("False Resolution", CRC_War_Room_SIMs[[#This Row],[Labels]])))), 1, 0)</f>
        <v>0</v>
      </c>
      <c r="P901" s="50">
        <f>IF(AND(CRC_War_Room_SIMs[[#This Row],[Excluded]] = 0, OR(CRC_War_Room_SIMs[[#This Row],[SLA Miss]] &lt;&gt; "", ISNUMBER(SEARCH("SLA", CRC_War_Room_SIMs[[#This Row],[Labels]])))), 1, 0)</f>
        <v>0</v>
      </c>
    </row>
    <row r="902" spans="1:16" x14ac:dyDescent="0.25">
      <c r="A902" t="s">
        <v>3521</v>
      </c>
      <c r="B902" t="s">
        <v>3519</v>
      </c>
      <c r="C902" t="s">
        <v>3461</v>
      </c>
      <c r="H90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902" s="49">
        <f ca="1">IFERROR(WEEKNUM(CRC_War_Room_SIMs[[#This Row],[Ops Date]]), "N/A")</f>
        <v>29</v>
      </c>
      <c r="J90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0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0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02" s="50">
        <f>IF(AND(CRC_War_Room_SIMs[[#This Row],[CI]] = 0, CRC_War_Room_SIMs[[#This Row],[Miss]] = 1), 1, 0)</f>
        <v>0</v>
      </c>
      <c r="N90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02" s="49">
        <f>IF(AND(CRC_War_Room_SIMs[[#This Row],[Excluded]] = 0, OR(CRC_War_Room_SIMs[[#This Row],[False Resolution Miss]] &lt;&gt; "", ISNUMBER(SEARCH("False Resolution", CRC_War_Room_SIMs[[#This Row],[Labels]])))), 1, 0)</f>
        <v>0</v>
      </c>
      <c r="P902" s="50">
        <f>IF(AND(CRC_War_Room_SIMs[[#This Row],[Excluded]] = 0, OR(CRC_War_Room_SIMs[[#This Row],[SLA Miss]] &lt;&gt; "", ISNUMBER(SEARCH("SLA", CRC_War_Room_SIMs[[#This Row],[Labels]])))), 1, 0)</f>
        <v>0</v>
      </c>
    </row>
    <row r="903" spans="1:16" x14ac:dyDescent="0.25">
      <c r="A903" t="s">
        <v>3522</v>
      </c>
      <c r="B903" t="s">
        <v>3519</v>
      </c>
      <c r="C903" t="s">
        <v>3461</v>
      </c>
      <c r="H90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903" s="49">
        <f ca="1">IFERROR(WEEKNUM(CRC_War_Room_SIMs[[#This Row],[Ops Date]]), "N/A")</f>
        <v>29</v>
      </c>
      <c r="J90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0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0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03" s="50">
        <f>IF(AND(CRC_War_Room_SIMs[[#This Row],[CI]] = 0, CRC_War_Room_SIMs[[#This Row],[Miss]] = 1), 1, 0)</f>
        <v>0</v>
      </c>
      <c r="N90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03" s="49">
        <f>IF(AND(CRC_War_Room_SIMs[[#This Row],[Excluded]] = 0, OR(CRC_War_Room_SIMs[[#This Row],[False Resolution Miss]] &lt;&gt; "", ISNUMBER(SEARCH("False Resolution", CRC_War_Room_SIMs[[#This Row],[Labels]])))), 1, 0)</f>
        <v>0</v>
      </c>
      <c r="P903" s="50">
        <f>IF(AND(CRC_War_Room_SIMs[[#This Row],[Excluded]] = 0, OR(CRC_War_Room_SIMs[[#This Row],[SLA Miss]] &lt;&gt; "", ISNUMBER(SEARCH("SLA", CRC_War_Room_SIMs[[#This Row],[Labels]])))), 1, 0)</f>
        <v>0</v>
      </c>
    </row>
    <row r="904" spans="1:16" x14ac:dyDescent="0.25">
      <c r="A904" t="s">
        <v>3523</v>
      </c>
      <c r="B904" t="s">
        <v>3519</v>
      </c>
      <c r="C904" t="s">
        <v>3461</v>
      </c>
      <c r="H90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45491</v>
      </c>
      <c r="I904" s="49">
        <f ca="1">IFERROR(WEEKNUM(CRC_War_Room_SIMs[[#This Row],[Ops Date]]), "N/A")</f>
        <v>29</v>
      </c>
      <c r="J90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0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0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04" s="50">
        <f>IF(AND(CRC_War_Room_SIMs[[#This Row],[CI]] = 0, CRC_War_Room_SIMs[[#This Row],[Miss]] = 1), 1, 0)</f>
        <v>0</v>
      </c>
      <c r="N90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04" s="49">
        <f>IF(AND(CRC_War_Room_SIMs[[#This Row],[Excluded]] = 0, OR(CRC_War_Room_SIMs[[#This Row],[False Resolution Miss]] &lt;&gt; "", ISNUMBER(SEARCH("False Resolution", CRC_War_Room_SIMs[[#This Row],[Labels]])))), 1, 0)</f>
        <v>0</v>
      </c>
      <c r="P904" s="50">
        <f>IF(AND(CRC_War_Room_SIMs[[#This Row],[Excluded]] = 0, OR(CRC_War_Room_SIMs[[#This Row],[SLA Miss]] &lt;&gt; "", ISNUMBER(SEARCH("SLA", CRC_War_Room_SIMs[[#This Row],[Labels]])))), 1, 0)</f>
        <v>0</v>
      </c>
    </row>
    <row r="905" spans="1:16" x14ac:dyDescent="0.25">
      <c r="A905" t="s">
        <v>3524</v>
      </c>
      <c r="B905" t="s">
        <v>3525</v>
      </c>
      <c r="C905" t="s">
        <v>3526</v>
      </c>
      <c r="H90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05" s="49">
        <f ca="1">IFERROR(WEEKNUM(CRC_War_Room_SIMs[[#This Row],[Ops Date]]), "N/A")</f>
        <v>29</v>
      </c>
      <c r="J90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0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0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05" s="50">
        <f>IF(AND(CRC_War_Room_SIMs[[#This Row],[CI]] = 0, CRC_War_Room_SIMs[[#This Row],[Miss]] = 1), 1, 0)</f>
        <v>0</v>
      </c>
      <c r="N90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05" s="49">
        <f>IF(AND(CRC_War_Room_SIMs[[#This Row],[Excluded]] = 0, OR(CRC_War_Room_SIMs[[#This Row],[False Resolution Miss]] &lt;&gt; "", ISNUMBER(SEARCH("False Resolution", CRC_War_Room_SIMs[[#This Row],[Labels]])))), 1, 0)</f>
        <v>0</v>
      </c>
      <c r="P905" s="50">
        <f>IF(AND(CRC_War_Room_SIMs[[#This Row],[Excluded]] = 0, OR(CRC_War_Room_SIMs[[#This Row],[SLA Miss]] &lt;&gt; "", ISNUMBER(SEARCH("SLA", CRC_War_Room_SIMs[[#This Row],[Labels]])))), 1, 0)</f>
        <v>0</v>
      </c>
    </row>
    <row r="906" spans="1:16" x14ac:dyDescent="0.25">
      <c r="A906" t="s">
        <v>3527</v>
      </c>
      <c r="B906" t="s">
        <v>3528</v>
      </c>
      <c r="C906" t="s">
        <v>3526</v>
      </c>
      <c r="H90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06" s="49">
        <f ca="1">IFERROR(WEEKNUM(CRC_War_Room_SIMs[[#This Row],[Ops Date]]), "N/A")</f>
        <v>29</v>
      </c>
      <c r="J90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0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0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06" s="50">
        <f>IF(AND(CRC_War_Room_SIMs[[#This Row],[CI]] = 0, CRC_War_Room_SIMs[[#This Row],[Miss]] = 1), 1, 0)</f>
        <v>0</v>
      </c>
      <c r="N90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06" s="49">
        <f>IF(AND(CRC_War_Room_SIMs[[#This Row],[Excluded]] = 0, OR(CRC_War_Room_SIMs[[#This Row],[False Resolution Miss]] &lt;&gt; "", ISNUMBER(SEARCH("False Resolution", CRC_War_Room_SIMs[[#This Row],[Labels]])))), 1, 0)</f>
        <v>0</v>
      </c>
      <c r="P906" s="50">
        <f>IF(AND(CRC_War_Room_SIMs[[#This Row],[Excluded]] = 0, OR(CRC_War_Room_SIMs[[#This Row],[SLA Miss]] &lt;&gt; "", ISNUMBER(SEARCH("SLA", CRC_War_Room_SIMs[[#This Row],[Labels]])))), 1, 0)</f>
        <v>0</v>
      </c>
    </row>
    <row r="907" spans="1:16" x14ac:dyDescent="0.25">
      <c r="A907" t="s">
        <v>3529</v>
      </c>
      <c r="B907" t="s">
        <v>3530</v>
      </c>
      <c r="C907" t="s">
        <v>3526</v>
      </c>
      <c r="H90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07" s="49">
        <f ca="1">IFERROR(WEEKNUM(CRC_War_Room_SIMs[[#This Row],[Ops Date]]), "N/A")</f>
        <v>29</v>
      </c>
      <c r="J90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0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0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07" s="50">
        <f>IF(AND(CRC_War_Room_SIMs[[#This Row],[CI]] = 0, CRC_War_Room_SIMs[[#This Row],[Miss]] = 1), 1, 0)</f>
        <v>0</v>
      </c>
      <c r="N90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07" s="49">
        <f>IF(AND(CRC_War_Room_SIMs[[#This Row],[Excluded]] = 0, OR(CRC_War_Room_SIMs[[#This Row],[False Resolution Miss]] &lt;&gt; "", ISNUMBER(SEARCH("False Resolution", CRC_War_Room_SIMs[[#This Row],[Labels]])))), 1, 0)</f>
        <v>0</v>
      </c>
      <c r="P907" s="50">
        <f>IF(AND(CRC_War_Room_SIMs[[#This Row],[Excluded]] = 0, OR(CRC_War_Room_SIMs[[#This Row],[SLA Miss]] &lt;&gt; "", ISNUMBER(SEARCH("SLA", CRC_War_Room_SIMs[[#This Row],[Labels]])))), 1, 0)</f>
        <v>0</v>
      </c>
    </row>
    <row r="908" spans="1:16" x14ac:dyDescent="0.25">
      <c r="A908" t="s">
        <v>3531</v>
      </c>
      <c r="B908" t="s">
        <v>3530</v>
      </c>
      <c r="C908" t="s">
        <v>3526</v>
      </c>
      <c r="H90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08" s="49">
        <f ca="1">IFERROR(WEEKNUM(CRC_War_Room_SIMs[[#This Row],[Ops Date]]), "N/A")</f>
        <v>29</v>
      </c>
      <c r="J90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0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0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08" s="50">
        <f>IF(AND(CRC_War_Room_SIMs[[#This Row],[CI]] = 0, CRC_War_Room_SIMs[[#This Row],[Miss]] = 1), 1, 0)</f>
        <v>0</v>
      </c>
      <c r="N90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08" s="49">
        <f>IF(AND(CRC_War_Room_SIMs[[#This Row],[Excluded]] = 0, OR(CRC_War_Room_SIMs[[#This Row],[False Resolution Miss]] &lt;&gt; "", ISNUMBER(SEARCH("False Resolution", CRC_War_Room_SIMs[[#This Row],[Labels]])))), 1, 0)</f>
        <v>0</v>
      </c>
      <c r="P908" s="50">
        <f>IF(AND(CRC_War_Room_SIMs[[#This Row],[Excluded]] = 0, OR(CRC_War_Room_SIMs[[#This Row],[SLA Miss]] &lt;&gt; "", ISNUMBER(SEARCH("SLA", CRC_War_Room_SIMs[[#This Row],[Labels]])))), 1, 0)</f>
        <v>0</v>
      </c>
    </row>
    <row r="909" spans="1:16" x14ac:dyDescent="0.25">
      <c r="A909" t="s">
        <v>3532</v>
      </c>
      <c r="B909" t="s">
        <v>3530</v>
      </c>
      <c r="C909" t="s">
        <v>3526</v>
      </c>
      <c r="H90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09" s="49">
        <f ca="1">IFERROR(WEEKNUM(CRC_War_Room_SIMs[[#This Row],[Ops Date]]), "N/A")</f>
        <v>29</v>
      </c>
      <c r="J90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0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0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09" s="50">
        <f>IF(AND(CRC_War_Room_SIMs[[#This Row],[CI]] = 0, CRC_War_Room_SIMs[[#This Row],[Miss]] = 1), 1, 0)</f>
        <v>0</v>
      </c>
      <c r="N90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09" s="49">
        <f>IF(AND(CRC_War_Room_SIMs[[#This Row],[Excluded]] = 0, OR(CRC_War_Room_SIMs[[#This Row],[False Resolution Miss]] &lt;&gt; "", ISNUMBER(SEARCH("False Resolution", CRC_War_Room_SIMs[[#This Row],[Labels]])))), 1, 0)</f>
        <v>0</v>
      </c>
      <c r="P909" s="50">
        <f>IF(AND(CRC_War_Room_SIMs[[#This Row],[Excluded]] = 0, OR(CRC_War_Room_SIMs[[#This Row],[SLA Miss]] &lt;&gt; "", ISNUMBER(SEARCH("SLA", CRC_War_Room_SIMs[[#This Row],[Labels]])))), 1, 0)</f>
        <v>0</v>
      </c>
    </row>
    <row r="910" spans="1:16" x14ac:dyDescent="0.25">
      <c r="A910" t="s">
        <v>3533</v>
      </c>
      <c r="B910" t="s">
        <v>3534</v>
      </c>
      <c r="C910" t="s">
        <v>3526</v>
      </c>
      <c r="H91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10" s="49">
        <f ca="1">IFERROR(WEEKNUM(CRC_War_Room_SIMs[[#This Row],[Ops Date]]), "N/A")</f>
        <v>29</v>
      </c>
      <c r="J91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1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1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10" s="50">
        <f>IF(AND(CRC_War_Room_SIMs[[#This Row],[CI]] = 0, CRC_War_Room_SIMs[[#This Row],[Miss]] = 1), 1, 0)</f>
        <v>0</v>
      </c>
      <c r="N91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10" s="49">
        <f>IF(AND(CRC_War_Room_SIMs[[#This Row],[Excluded]] = 0, OR(CRC_War_Room_SIMs[[#This Row],[False Resolution Miss]] &lt;&gt; "", ISNUMBER(SEARCH("False Resolution", CRC_War_Room_SIMs[[#This Row],[Labels]])))), 1, 0)</f>
        <v>0</v>
      </c>
      <c r="P910" s="50">
        <f>IF(AND(CRC_War_Room_SIMs[[#This Row],[Excluded]] = 0, OR(CRC_War_Room_SIMs[[#This Row],[SLA Miss]] &lt;&gt; "", ISNUMBER(SEARCH("SLA", CRC_War_Room_SIMs[[#This Row],[Labels]])))), 1, 0)</f>
        <v>0</v>
      </c>
    </row>
    <row r="911" spans="1:16" x14ac:dyDescent="0.25">
      <c r="A911" t="s">
        <v>3535</v>
      </c>
      <c r="B911" t="s">
        <v>3536</v>
      </c>
      <c r="C911" t="s">
        <v>3537</v>
      </c>
      <c r="E911" t="s">
        <v>2463</v>
      </c>
      <c r="H91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11" s="49">
        <f ca="1">IFERROR(WEEKNUM(CRC_War_Room_SIMs[[#This Row],[Ops Date]]), "N/A")</f>
        <v>29</v>
      </c>
      <c r="J91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1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91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911" s="50">
        <f>IF(AND(CRC_War_Room_SIMs[[#This Row],[CI]] = 0, CRC_War_Room_SIMs[[#This Row],[Miss]] = 1), 1, 0)</f>
        <v>0</v>
      </c>
      <c r="N911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911" s="49">
        <f>IF(AND(CRC_War_Room_SIMs[[#This Row],[Excluded]] = 0, OR(CRC_War_Room_SIMs[[#This Row],[False Resolution Miss]] &lt;&gt; "", ISNUMBER(SEARCH("False Resolution", CRC_War_Room_SIMs[[#This Row],[Labels]])))), 1, 0)</f>
        <v>0</v>
      </c>
      <c r="P911" s="50">
        <f>IF(AND(CRC_War_Room_SIMs[[#This Row],[Excluded]] = 0, OR(CRC_War_Room_SIMs[[#This Row],[SLA Miss]] &lt;&gt; "", ISNUMBER(SEARCH("SLA", CRC_War_Room_SIMs[[#This Row],[Labels]])))), 1, 0)</f>
        <v>0</v>
      </c>
    </row>
    <row r="912" spans="1:16" x14ac:dyDescent="0.25">
      <c r="A912" t="s">
        <v>3538</v>
      </c>
      <c r="B912" t="s">
        <v>3536</v>
      </c>
      <c r="C912" t="s">
        <v>3526</v>
      </c>
      <c r="H91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12" s="49">
        <f ca="1">IFERROR(WEEKNUM(CRC_War_Room_SIMs[[#This Row],[Ops Date]]), "N/A")</f>
        <v>29</v>
      </c>
      <c r="J91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1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1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12" s="50">
        <f>IF(AND(CRC_War_Room_SIMs[[#This Row],[CI]] = 0, CRC_War_Room_SIMs[[#This Row],[Miss]] = 1), 1, 0)</f>
        <v>0</v>
      </c>
      <c r="N91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12" s="49">
        <f>IF(AND(CRC_War_Room_SIMs[[#This Row],[Excluded]] = 0, OR(CRC_War_Room_SIMs[[#This Row],[False Resolution Miss]] &lt;&gt; "", ISNUMBER(SEARCH("False Resolution", CRC_War_Room_SIMs[[#This Row],[Labels]])))), 1, 0)</f>
        <v>0</v>
      </c>
      <c r="P912" s="50">
        <f>IF(AND(CRC_War_Room_SIMs[[#This Row],[Excluded]] = 0, OR(CRC_War_Room_SIMs[[#This Row],[SLA Miss]] &lt;&gt; "", ISNUMBER(SEARCH("SLA", CRC_War_Room_SIMs[[#This Row],[Labels]])))), 1, 0)</f>
        <v>0</v>
      </c>
    </row>
    <row r="913" spans="1:16" x14ac:dyDescent="0.25">
      <c r="A913" t="s">
        <v>3539</v>
      </c>
      <c r="B913" t="s">
        <v>3536</v>
      </c>
      <c r="C913" t="s">
        <v>3526</v>
      </c>
      <c r="H91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13" s="49">
        <f ca="1">IFERROR(WEEKNUM(CRC_War_Room_SIMs[[#This Row],[Ops Date]]), "N/A")</f>
        <v>29</v>
      </c>
      <c r="J91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1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1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13" s="50">
        <f>IF(AND(CRC_War_Room_SIMs[[#This Row],[CI]] = 0, CRC_War_Room_SIMs[[#This Row],[Miss]] = 1), 1, 0)</f>
        <v>0</v>
      </c>
      <c r="N91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13" s="49">
        <f>IF(AND(CRC_War_Room_SIMs[[#This Row],[Excluded]] = 0, OR(CRC_War_Room_SIMs[[#This Row],[False Resolution Miss]] &lt;&gt; "", ISNUMBER(SEARCH("False Resolution", CRC_War_Room_SIMs[[#This Row],[Labels]])))), 1, 0)</f>
        <v>0</v>
      </c>
      <c r="P913" s="50">
        <f>IF(AND(CRC_War_Room_SIMs[[#This Row],[Excluded]] = 0, OR(CRC_War_Room_SIMs[[#This Row],[SLA Miss]] &lt;&gt; "", ISNUMBER(SEARCH("SLA", CRC_War_Room_SIMs[[#This Row],[Labels]])))), 1, 0)</f>
        <v>0</v>
      </c>
    </row>
    <row r="914" spans="1:16" x14ac:dyDescent="0.25">
      <c r="A914" t="s">
        <v>3540</v>
      </c>
      <c r="B914" t="s">
        <v>3536</v>
      </c>
      <c r="C914" t="s">
        <v>3526</v>
      </c>
      <c r="H91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14" s="49">
        <f ca="1">IFERROR(WEEKNUM(CRC_War_Room_SIMs[[#This Row],[Ops Date]]), "N/A")</f>
        <v>29</v>
      </c>
      <c r="J91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1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1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14" s="50">
        <f>IF(AND(CRC_War_Room_SIMs[[#This Row],[CI]] = 0, CRC_War_Room_SIMs[[#This Row],[Miss]] = 1), 1, 0)</f>
        <v>0</v>
      </c>
      <c r="N91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14" s="49">
        <f>IF(AND(CRC_War_Room_SIMs[[#This Row],[Excluded]] = 0, OR(CRC_War_Room_SIMs[[#This Row],[False Resolution Miss]] &lt;&gt; "", ISNUMBER(SEARCH("False Resolution", CRC_War_Room_SIMs[[#This Row],[Labels]])))), 1, 0)</f>
        <v>0</v>
      </c>
      <c r="P914" s="50">
        <f>IF(AND(CRC_War_Room_SIMs[[#This Row],[Excluded]] = 0, OR(CRC_War_Room_SIMs[[#This Row],[SLA Miss]] &lt;&gt; "", ISNUMBER(SEARCH("SLA", CRC_War_Room_SIMs[[#This Row],[Labels]])))), 1, 0)</f>
        <v>0</v>
      </c>
    </row>
    <row r="915" spans="1:16" x14ac:dyDescent="0.25">
      <c r="A915" t="s">
        <v>3541</v>
      </c>
      <c r="B915" t="s">
        <v>3525</v>
      </c>
      <c r="C915" t="s">
        <v>3537</v>
      </c>
      <c r="H91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15" s="49">
        <f ca="1">IFERROR(WEEKNUM(CRC_War_Room_SIMs[[#This Row],[Ops Date]]), "N/A")</f>
        <v>29</v>
      </c>
      <c r="J91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1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91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915" s="50">
        <f>IF(AND(CRC_War_Room_SIMs[[#This Row],[CI]] = 0, CRC_War_Room_SIMs[[#This Row],[Miss]] = 1), 1, 0)</f>
        <v>0</v>
      </c>
      <c r="N91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15" s="49">
        <f>IF(AND(CRC_War_Room_SIMs[[#This Row],[Excluded]] = 0, OR(CRC_War_Room_SIMs[[#This Row],[False Resolution Miss]] &lt;&gt; "", ISNUMBER(SEARCH("False Resolution", CRC_War_Room_SIMs[[#This Row],[Labels]])))), 1, 0)</f>
        <v>0</v>
      </c>
      <c r="P915" s="50">
        <f>IF(AND(CRC_War_Room_SIMs[[#This Row],[Excluded]] = 0, OR(CRC_War_Room_SIMs[[#This Row],[SLA Miss]] &lt;&gt; "", ISNUMBER(SEARCH("SLA", CRC_War_Room_SIMs[[#This Row],[Labels]])))), 1, 0)</f>
        <v>0</v>
      </c>
    </row>
    <row r="916" spans="1:16" x14ac:dyDescent="0.25">
      <c r="A916" t="s">
        <v>3542</v>
      </c>
      <c r="B916" t="s">
        <v>3525</v>
      </c>
      <c r="C916" t="s">
        <v>3526</v>
      </c>
      <c r="H91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16" s="49">
        <f ca="1">IFERROR(WEEKNUM(CRC_War_Room_SIMs[[#This Row],[Ops Date]]), "N/A")</f>
        <v>29</v>
      </c>
      <c r="J91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1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1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16" s="50">
        <f>IF(AND(CRC_War_Room_SIMs[[#This Row],[CI]] = 0, CRC_War_Room_SIMs[[#This Row],[Miss]] = 1), 1, 0)</f>
        <v>0</v>
      </c>
      <c r="N91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16" s="49">
        <f>IF(AND(CRC_War_Room_SIMs[[#This Row],[Excluded]] = 0, OR(CRC_War_Room_SIMs[[#This Row],[False Resolution Miss]] &lt;&gt; "", ISNUMBER(SEARCH("False Resolution", CRC_War_Room_SIMs[[#This Row],[Labels]])))), 1, 0)</f>
        <v>0</v>
      </c>
      <c r="P916" s="50">
        <f>IF(AND(CRC_War_Room_SIMs[[#This Row],[Excluded]] = 0, OR(CRC_War_Room_SIMs[[#This Row],[SLA Miss]] &lt;&gt; "", ISNUMBER(SEARCH("SLA", CRC_War_Room_SIMs[[#This Row],[Labels]])))), 1, 0)</f>
        <v>0</v>
      </c>
    </row>
    <row r="917" spans="1:16" x14ac:dyDescent="0.25">
      <c r="A917" t="s">
        <v>3543</v>
      </c>
      <c r="B917" t="s">
        <v>3525</v>
      </c>
      <c r="C917" t="s">
        <v>3526</v>
      </c>
      <c r="H91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17" s="49">
        <f ca="1">IFERROR(WEEKNUM(CRC_War_Room_SIMs[[#This Row],[Ops Date]]), "N/A")</f>
        <v>29</v>
      </c>
      <c r="J91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1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1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17" s="50">
        <f>IF(AND(CRC_War_Room_SIMs[[#This Row],[CI]] = 0, CRC_War_Room_SIMs[[#This Row],[Miss]] = 1), 1, 0)</f>
        <v>0</v>
      </c>
      <c r="N91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17" s="49">
        <f>IF(AND(CRC_War_Room_SIMs[[#This Row],[Excluded]] = 0, OR(CRC_War_Room_SIMs[[#This Row],[False Resolution Miss]] &lt;&gt; "", ISNUMBER(SEARCH("False Resolution", CRC_War_Room_SIMs[[#This Row],[Labels]])))), 1, 0)</f>
        <v>0</v>
      </c>
      <c r="P917" s="50">
        <f>IF(AND(CRC_War_Room_SIMs[[#This Row],[Excluded]] = 0, OR(CRC_War_Room_SIMs[[#This Row],[SLA Miss]] &lt;&gt; "", ISNUMBER(SEARCH("SLA", CRC_War_Room_SIMs[[#This Row],[Labels]])))), 1, 0)</f>
        <v>0</v>
      </c>
    </row>
    <row r="918" spans="1:16" x14ac:dyDescent="0.25">
      <c r="A918" t="s">
        <v>3544</v>
      </c>
      <c r="B918" t="s">
        <v>3525</v>
      </c>
      <c r="C918" t="s">
        <v>3526</v>
      </c>
      <c r="H91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18" s="49">
        <f ca="1">IFERROR(WEEKNUM(CRC_War_Room_SIMs[[#This Row],[Ops Date]]), "N/A")</f>
        <v>29</v>
      </c>
      <c r="J91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1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1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18" s="50">
        <f>IF(AND(CRC_War_Room_SIMs[[#This Row],[CI]] = 0, CRC_War_Room_SIMs[[#This Row],[Miss]] = 1), 1, 0)</f>
        <v>0</v>
      </c>
      <c r="N91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18" s="49">
        <f>IF(AND(CRC_War_Room_SIMs[[#This Row],[Excluded]] = 0, OR(CRC_War_Room_SIMs[[#This Row],[False Resolution Miss]] &lt;&gt; "", ISNUMBER(SEARCH("False Resolution", CRC_War_Room_SIMs[[#This Row],[Labels]])))), 1, 0)</f>
        <v>0</v>
      </c>
      <c r="P918" s="50">
        <f>IF(AND(CRC_War_Room_SIMs[[#This Row],[Excluded]] = 0, OR(CRC_War_Room_SIMs[[#This Row],[SLA Miss]] &lt;&gt; "", ISNUMBER(SEARCH("SLA", CRC_War_Room_SIMs[[#This Row],[Labels]])))), 1, 0)</f>
        <v>0</v>
      </c>
    </row>
    <row r="919" spans="1:16" x14ac:dyDescent="0.25">
      <c r="A919" t="s">
        <v>3545</v>
      </c>
      <c r="B919" t="s">
        <v>3525</v>
      </c>
      <c r="C919" t="s">
        <v>3526</v>
      </c>
      <c r="H91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19" s="49">
        <f ca="1">IFERROR(WEEKNUM(CRC_War_Room_SIMs[[#This Row],[Ops Date]]), "N/A")</f>
        <v>29</v>
      </c>
      <c r="J91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1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1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19" s="50">
        <f>IF(AND(CRC_War_Room_SIMs[[#This Row],[CI]] = 0, CRC_War_Room_SIMs[[#This Row],[Miss]] = 1), 1, 0)</f>
        <v>0</v>
      </c>
      <c r="N91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19" s="49">
        <f>IF(AND(CRC_War_Room_SIMs[[#This Row],[Excluded]] = 0, OR(CRC_War_Room_SIMs[[#This Row],[False Resolution Miss]] &lt;&gt; "", ISNUMBER(SEARCH("False Resolution", CRC_War_Room_SIMs[[#This Row],[Labels]])))), 1, 0)</f>
        <v>0</v>
      </c>
      <c r="P919" s="50">
        <f>IF(AND(CRC_War_Room_SIMs[[#This Row],[Excluded]] = 0, OR(CRC_War_Room_SIMs[[#This Row],[SLA Miss]] &lt;&gt; "", ISNUMBER(SEARCH("SLA", CRC_War_Room_SIMs[[#This Row],[Labels]])))), 1, 0)</f>
        <v>0</v>
      </c>
    </row>
    <row r="920" spans="1:16" x14ac:dyDescent="0.25">
      <c r="A920" t="s">
        <v>3546</v>
      </c>
      <c r="B920" t="s">
        <v>3525</v>
      </c>
      <c r="C920" t="s">
        <v>3526</v>
      </c>
      <c r="H92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20" s="49">
        <f ca="1">IFERROR(WEEKNUM(CRC_War_Room_SIMs[[#This Row],[Ops Date]]), "N/A")</f>
        <v>29</v>
      </c>
      <c r="J92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2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2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20" s="50">
        <f>IF(AND(CRC_War_Room_SIMs[[#This Row],[CI]] = 0, CRC_War_Room_SIMs[[#This Row],[Miss]] = 1), 1, 0)</f>
        <v>0</v>
      </c>
      <c r="N92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20" s="49">
        <f>IF(AND(CRC_War_Room_SIMs[[#This Row],[Excluded]] = 0, OR(CRC_War_Room_SIMs[[#This Row],[False Resolution Miss]] &lt;&gt; "", ISNUMBER(SEARCH("False Resolution", CRC_War_Room_SIMs[[#This Row],[Labels]])))), 1, 0)</f>
        <v>0</v>
      </c>
      <c r="P920" s="50">
        <f>IF(AND(CRC_War_Room_SIMs[[#This Row],[Excluded]] = 0, OR(CRC_War_Room_SIMs[[#This Row],[SLA Miss]] &lt;&gt; "", ISNUMBER(SEARCH("SLA", CRC_War_Room_SIMs[[#This Row],[Labels]])))), 1, 0)</f>
        <v>0</v>
      </c>
    </row>
    <row r="921" spans="1:16" x14ac:dyDescent="0.25">
      <c r="A921" t="s">
        <v>3547</v>
      </c>
      <c r="B921" t="s">
        <v>3534</v>
      </c>
      <c r="C921" t="s">
        <v>3526</v>
      </c>
      <c r="H92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21" s="49">
        <f ca="1">IFERROR(WEEKNUM(CRC_War_Room_SIMs[[#This Row],[Ops Date]]), "N/A")</f>
        <v>29</v>
      </c>
      <c r="J92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2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2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21" s="50">
        <f>IF(AND(CRC_War_Room_SIMs[[#This Row],[CI]] = 0, CRC_War_Room_SIMs[[#This Row],[Miss]] = 1), 1, 0)</f>
        <v>0</v>
      </c>
      <c r="N92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21" s="49">
        <f>IF(AND(CRC_War_Room_SIMs[[#This Row],[Excluded]] = 0, OR(CRC_War_Room_SIMs[[#This Row],[False Resolution Miss]] &lt;&gt; "", ISNUMBER(SEARCH("False Resolution", CRC_War_Room_SIMs[[#This Row],[Labels]])))), 1, 0)</f>
        <v>0</v>
      </c>
      <c r="P921" s="50">
        <f>IF(AND(CRC_War_Room_SIMs[[#This Row],[Excluded]] = 0, OR(CRC_War_Room_SIMs[[#This Row],[SLA Miss]] &lt;&gt; "", ISNUMBER(SEARCH("SLA", CRC_War_Room_SIMs[[#This Row],[Labels]])))), 1, 0)</f>
        <v>0</v>
      </c>
    </row>
    <row r="922" spans="1:16" x14ac:dyDescent="0.25">
      <c r="A922" t="s">
        <v>3548</v>
      </c>
      <c r="B922" t="s">
        <v>3525</v>
      </c>
      <c r="C922" t="s">
        <v>3526</v>
      </c>
      <c r="H92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22" s="49">
        <f ca="1">IFERROR(WEEKNUM(CRC_War_Room_SIMs[[#This Row],[Ops Date]]), "N/A")</f>
        <v>29</v>
      </c>
      <c r="J92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2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2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22" s="50">
        <f>IF(AND(CRC_War_Room_SIMs[[#This Row],[CI]] = 0, CRC_War_Room_SIMs[[#This Row],[Miss]] = 1), 1, 0)</f>
        <v>0</v>
      </c>
      <c r="N92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22" s="49">
        <f>IF(AND(CRC_War_Room_SIMs[[#This Row],[Excluded]] = 0, OR(CRC_War_Room_SIMs[[#This Row],[False Resolution Miss]] &lt;&gt; "", ISNUMBER(SEARCH("False Resolution", CRC_War_Room_SIMs[[#This Row],[Labels]])))), 1, 0)</f>
        <v>0</v>
      </c>
      <c r="P922" s="50">
        <f>IF(AND(CRC_War_Room_SIMs[[#This Row],[Excluded]] = 0, OR(CRC_War_Room_SIMs[[#This Row],[SLA Miss]] &lt;&gt; "", ISNUMBER(SEARCH("SLA", CRC_War_Room_SIMs[[#This Row],[Labels]])))), 1, 0)</f>
        <v>0</v>
      </c>
    </row>
    <row r="923" spans="1:16" x14ac:dyDescent="0.25">
      <c r="A923" t="s">
        <v>3549</v>
      </c>
      <c r="B923" t="s">
        <v>3525</v>
      </c>
      <c r="C923" t="s">
        <v>3526</v>
      </c>
      <c r="H92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23" s="49">
        <f ca="1">IFERROR(WEEKNUM(CRC_War_Room_SIMs[[#This Row],[Ops Date]]), "N/A")</f>
        <v>29</v>
      </c>
      <c r="J92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2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2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23" s="50">
        <f>IF(AND(CRC_War_Room_SIMs[[#This Row],[CI]] = 0, CRC_War_Room_SIMs[[#This Row],[Miss]] = 1), 1, 0)</f>
        <v>0</v>
      </c>
      <c r="N92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23" s="49">
        <f>IF(AND(CRC_War_Room_SIMs[[#This Row],[Excluded]] = 0, OR(CRC_War_Room_SIMs[[#This Row],[False Resolution Miss]] &lt;&gt; "", ISNUMBER(SEARCH("False Resolution", CRC_War_Room_SIMs[[#This Row],[Labels]])))), 1, 0)</f>
        <v>0</v>
      </c>
      <c r="P923" s="50">
        <f>IF(AND(CRC_War_Room_SIMs[[#This Row],[Excluded]] = 0, OR(CRC_War_Room_SIMs[[#This Row],[SLA Miss]] &lt;&gt; "", ISNUMBER(SEARCH("SLA", CRC_War_Room_SIMs[[#This Row],[Labels]])))), 1, 0)</f>
        <v>0</v>
      </c>
    </row>
    <row r="924" spans="1:16" x14ac:dyDescent="0.25">
      <c r="A924" t="s">
        <v>3550</v>
      </c>
      <c r="B924" t="s">
        <v>3534</v>
      </c>
      <c r="C924" t="s">
        <v>3537</v>
      </c>
      <c r="E924" t="s">
        <v>2548</v>
      </c>
      <c r="H92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24" s="49">
        <f ca="1">IFERROR(WEEKNUM(CRC_War_Room_SIMs[[#This Row],[Ops Date]]), "N/A")</f>
        <v>29</v>
      </c>
      <c r="J92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2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92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924" s="50">
        <f>IF(AND(CRC_War_Room_SIMs[[#This Row],[CI]] = 0, CRC_War_Room_SIMs[[#This Row],[Miss]] = 1), 1, 0)</f>
        <v>0</v>
      </c>
      <c r="N924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924" s="49">
        <f>IF(AND(CRC_War_Room_SIMs[[#This Row],[Excluded]] = 0, OR(CRC_War_Room_SIMs[[#This Row],[False Resolution Miss]] &lt;&gt; "", ISNUMBER(SEARCH("False Resolution", CRC_War_Room_SIMs[[#This Row],[Labels]])))), 1, 0)</f>
        <v>0</v>
      </c>
      <c r="P924" s="50">
        <f>IF(AND(CRC_War_Room_SIMs[[#This Row],[Excluded]] = 0, OR(CRC_War_Room_SIMs[[#This Row],[SLA Miss]] &lt;&gt; "", ISNUMBER(SEARCH("SLA", CRC_War_Room_SIMs[[#This Row],[Labels]])))), 1, 0)</f>
        <v>0</v>
      </c>
    </row>
    <row r="925" spans="1:16" x14ac:dyDescent="0.25">
      <c r="A925" t="s">
        <v>3551</v>
      </c>
      <c r="B925" t="s">
        <v>3534</v>
      </c>
      <c r="C925" t="s">
        <v>3526</v>
      </c>
      <c r="H92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25" s="49">
        <f ca="1">IFERROR(WEEKNUM(CRC_War_Room_SIMs[[#This Row],[Ops Date]]), "N/A")</f>
        <v>29</v>
      </c>
      <c r="J92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2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2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25" s="50">
        <f>IF(AND(CRC_War_Room_SIMs[[#This Row],[CI]] = 0, CRC_War_Room_SIMs[[#This Row],[Miss]] = 1), 1, 0)</f>
        <v>0</v>
      </c>
      <c r="N92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25" s="49">
        <f>IF(AND(CRC_War_Room_SIMs[[#This Row],[Excluded]] = 0, OR(CRC_War_Room_SIMs[[#This Row],[False Resolution Miss]] &lt;&gt; "", ISNUMBER(SEARCH("False Resolution", CRC_War_Room_SIMs[[#This Row],[Labels]])))), 1, 0)</f>
        <v>0</v>
      </c>
      <c r="P925" s="50">
        <f>IF(AND(CRC_War_Room_SIMs[[#This Row],[Excluded]] = 0, OR(CRC_War_Room_SIMs[[#This Row],[SLA Miss]] &lt;&gt; "", ISNUMBER(SEARCH("SLA", CRC_War_Room_SIMs[[#This Row],[Labels]])))), 1, 0)</f>
        <v>0</v>
      </c>
    </row>
    <row r="926" spans="1:16" x14ac:dyDescent="0.25">
      <c r="A926" t="s">
        <v>3552</v>
      </c>
      <c r="B926" t="s">
        <v>3534</v>
      </c>
      <c r="C926" t="s">
        <v>3526</v>
      </c>
      <c r="H92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26" s="49">
        <f ca="1">IFERROR(WEEKNUM(CRC_War_Room_SIMs[[#This Row],[Ops Date]]), "N/A")</f>
        <v>29</v>
      </c>
      <c r="J92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2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2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26" s="50">
        <f>IF(AND(CRC_War_Room_SIMs[[#This Row],[CI]] = 0, CRC_War_Room_SIMs[[#This Row],[Miss]] = 1), 1, 0)</f>
        <v>0</v>
      </c>
      <c r="N92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26" s="49">
        <f>IF(AND(CRC_War_Room_SIMs[[#This Row],[Excluded]] = 0, OR(CRC_War_Room_SIMs[[#This Row],[False Resolution Miss]] &lt;&gt; "", ISNUMBER(SEARCH("False Resolution", CRC_War_Room_SIMs[[#This Row],[Labels]])))), 1, 0)</f>
        <v>0</v>
      </c>
      <c r="P926" s="50">
        <f>IF(AND(CRC_War_Room_SIMs[[#This Row],[Excluded]] = 0, OR(CRC_War_Room_SIMs[[#This Row],[SLA Miss]] &lt;&gt; "", ISNUMBER(SEARCH("SLA", CRC_War_Room_SIMs[[#This Row],[Labels]])))), 1, 0)</f>
        <v>0</v>
      </c>
    </row>
    <row r="927" spans="1:16" x14ac:dyDescent="0.25">
      <c r="A927" t="s">
        <v>3553</v>
      </c>
      <c r="B927" t="s">
        <v>3534</v>
      </c>
      <c r="C927" t="s">
        <v>3526</v>
      </c>
      <c r="H92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27" s="49">
        <f ca="1">IFERROR(WEEKNUM(CRC_War_Room_SIMs[[#This Row],[Ops Date]]), "N/A")</f>
        <v>29</v>
      </c>
      <c r="J92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2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2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27" s="50">
        <f>IF(AND(CRC_War_Room_SIMs[[#This Row],[CI]] = 0, CRC_War_Room_SIMs[[#This Row],[Miss]] = 1), 1, 0)</f>
        <v>0</v>
      </c>
      <c r="N92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27" s="49">
        <f>IF(AND(CRC_War_Room_SIMs[[#This Row],[Excluded]] = 0, OR(CRC_War_Room_SIMs[[#This Row],[False Resolution Miss]] &lt;&gt; "", ISNUMBER(SEARCH("False Resolution", CRC_War_Room_SIMs[[#This Row],[Labels]])))), 1, 0)</f>
        <v>0</v>
      </c>
      <c r="P927" s="50">
        <f>IF(AND(CRC_War_Room_SIMs[[#This Row],[Excluded]] = 0, OR(CRC_War_Room_SIMs[[#This Row],[SLA Miss]] &lt;&gt; "", ISNUMBER(SEARCH("SLA", CRC_War_Room_SIMs[[#This Row],[Labels]])))), 1, 0)</f>
        <v>0</v>
      </c>
    </row>
    <row r="928" spans="1:16" x14ac:dyDescent="0.25">
      <c r="A928" t="s">
        <v>3554</v>
      </c>
      <c r="B928" t="s">
        <v>3534</v>
      </c>
      <c r="C928" t="s">
        <v>3526</v>
      </c>
      <c r="H92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28" s="49">
        <f ca="1">IFERROR(WEEKNUM(CRC_War_Room_SIMs[[#This Row],[Ops Date]]), "N/A")</f>
        <v>29</v>
      </c>
      <c r="J92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2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2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28" s="50">
        <f>IF(AND(CRC_War_Room_SIMs[[#This Row],[CI]] = 0, CRC_War_Room_SIMs[[#This Row],[Miss]] = 1), 1, 0)</f>
        <v>0</v>
      </c>
      <c r="N92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28" s="49">
        <f>IF(AND(CRC_War_Room_SIMs[[#This Row],[Excluded]] = 0, OR(CRC_War_Room_SIMs[[#This Row],[False Resolution Miss]] &lt;&gt; "", ISNUMBER(SEARCH("False Resolution", CRC_War_Room_SIMs[[#This Row],[Labels]])))), 1, 0)</f>
        <v>0</v>
      </c>
      <c r="P928" s="50">
        <f>IF(AND(CRC_War_Room_SIMs[[#This Row],[Excluded]] = 0, OR(CRC_War_Room_SIMs[[#This Row],[SLA Miss]] &lt;&gt; "", ISNUMBER(SEARCH("SLA", CRC_War_Room_SIMs[[#This Row],[Labels]])))), 1, 0)</f>
        <v>0</v>
      </c>
    </row>
    <row r="929" spans="1:16" x14ac:dyDescent="0.25">
      <c r="A929" t="s">
        <v>3555</v>
      </c>
      <c r="B929" t="s">
        <v>3534</v>
      </c>
      <c r="C929" t="s">
        <v>3526</v>
      </c>
      <c r="H92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29" s="49">
        <f ca="1">IFERROR(WEEKNUM(CRC_War_Room_SIMs[[#This Row],[Ops Date]]), "N/A")</f>
        <v>29</v>
      </c>
      <c r="J92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2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2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29" s="50">
        <f>IF(AND(CRC_War_Room_SIMs[[#This Row],[CI]] = 0, CRC_War_Room_SIMs[[#This Row],[Miss]] = 1), 1, 0)</f>
        <v>0</v>
      </c>
      <c r="N92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29" s="49">
        <f>IF(AND(CRC_War_Room_SIMs[[#This Row],[Excluded]] = 0, OR(CRC_War_Room_SIMs[[#This Row],[False Resolution Miss]] &lt;&gt; "", ISNUMBER(SEARCH("False Resolution", CRC_War_Room_SIMs[[#This Row],[Labels]])))), 1, 0)</f>
        <v>0</v>
      </c>
      <c r="P929" s="50">
        <f>IF(AND(CRC_War_Room_SIMs[[#This Row],[Excluded]] = 0, OR(CRC_War_Room_SIMs[[#This Row],[SLA Miss]] &lt;&gt; "", ISNUMBER(SEARCH("SLA", CRC_War_Room_SIMs[[#This Row],[Labels]])))), 1, 0)</f>
        <v>0</v>
      </c>
    </row>
    <row r="930" spans="1:16" x14ac:dyDescent="0.25">
      <c r="A930" t="s">
        <v>3556</v>
      </c>
      <c r="B930" t="s">
        <v>3534</v>
      </c>
      <c r="C930" t="s">
        <v>3526</v>
      </c>
      <c r="H93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30" s="49">
        <f ca="1">IFERROR(WEEKNUM(CRC_War_Room_SIMs[[#This Row],[Ops Date]]), "N/A")</f>
        <v>29</v>
      </c>
      <c r="J93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3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3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30" s="50">
        <f>IF(AND(CRC_War_Room_SIMs[[#This Row],[CI]] = 0, CRC_War_Room_SIMs[[#This Row],[Miss]] = 1), 1, 0)</f>
        <v>0</v>
      </c>
      <c r="N93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30" s="49">
        <f>IF(AND(CRC_War_Room_SIMs[[#This Row],[Excluded]] = 0, OR(CRC_War_Room_SIMs[[#This Row],[False Resolution Miss]] &lt;&gt; "", ISNUMBER(SEARCH("False Resolution", CRC_War_Room_SIMs[[#This Row],[Labels]])))), 1, 0)</f>
        <v>0</v>
      </c>
      <c r="P930" s="50">
        <f>IF(AND(CRC_War_Room_SIMs[[#This Row],[Excluded]] = 0, OR(CRC_War_Room_SIMs[[#This Row],[SLA Miss]] &lt;&gt; "", ISNUMBER(SEARCH("SLA", CRC_War_Room_SIMs[[#This Row],[Labels]])))), 1, 0)</f>
        <v>0</v>
      </c>
    </row>
    <row r="931" spans="1:16" x14ac:dyDescent="0.25">
      <c r="A931" t="s">
        <v>3557</v>
      </c>
      <c r="B931" t="s">
        <v>3534</v>
      </c>
      <c r="C931" t="s">
        <v>3526</v>
      </c>
      <c r="H93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31" s="49">
        <f ca="1">IFERROR(WEEKNUM(CRC_War_Room_SIMs[[#This Row],[Ops Date]]), "N/A")</f>
        <v>29</v>
      </c>
      <c r="J93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3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3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31" s="50">
        <f>IF(AND(CRC_War_Room_SIMs[[#This Row],[CI]] = 0, CRC_War_Room_SIMs[[#This Row],[Miss]] = 1), 1, 0)</f>
        <v>0</v>
      </c>
      <c r="N93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31" s="49">
        <f>IF(AND(CRC_War_Room_SIMs[[#This Row],[Excluded]] = 0, OR(CRC_War_Room_SIMs[[#This Row],[False Resolution Miss]] &lt;&gt; "", ISNUMBER(SEARCH("False Resolution", CRC_War_Room_SIMs[[#This Row],[Labels]])))), 1, 0)</f>
        <v>0</v>
      </c>
      <c r="P931" s="50">
        <f>IF(AND(CRC_War_Room_SIMs[[#This Row],[Excluded]] = 0, OR(CRC_War_Room_SIMs[[#This Row],[SLA Miss]] &lt;&gt; "", ISNUMBER(SEARCH("SLA", CRC_War_Room_SIMs[[#This Row],[Labels]])))), 1, 0)</f>
        <v>0</v>
      </c>
    </row>
    <row r="932" spans="1:16" x14ac:dyDescent="0.25">
      <c r="A932" t="s">
        <v>3558</v>
      </c>
      <c r="B932" t="s">
        <v>3534</v>
      </c>
      <c r="C932" t="s">
        <v>3526</v>
      </c>
      <c r="H93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32" s="49">
        <f ca="1">IFERROR(WEEKNUM(CRC_War_Room_SIMs[[#This Row],[Ops Date]]), "N/A")</f>
        <v>29</v>
      </c>
      <c r="J93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3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3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32" s="50">
        <f>IF(AND(CRC_War_Room_SIMs[[#This Row],[CI]] = 0, CRC_War_Room_SIMs[[#This Row],[Miss]] = 1), 1, 0)</f>
        <v>0</v>
      </c>
      <c r="N93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32" s="49">
        <f>IF(AND(CRC_War_Room_SIMs[[#This Row],[Excluded]] = 0, OR(CRC_War_Room_SIMs[[#This Row],[False Resolution Miss]] &lt;&gt; "", ISNUMBER(SEARCH("False Resolution", CRC_War_Room_SIMs[[#This Row],[Labels]])))), 1, 0)</f>
        <v>0</v>
      </c>
      <c r="P932" s="50">
        <f>IF(AND(CRC_War_Room_SIMs[[#This Row],[Excluded]] = 0, OR(CRC_War_Room_SIMs[[#This Row],[SLA Miss]] &lt;&gt; "", ISNUMBER(SEARCH("SLA", CRC_War_Room_SIMs[[#This Row],[Labels]])))), 1, 0)</f>
        <v>0</v>
      </c>
    </row>
    <row r="933" spans="1:16" x14ac:dyDescent="0.25">
      <c r="A933" t="s">
        <v>3559</v>
      </c>
      <c r="B933" t="s">
        <v>3534</v>
      </c>
      <c r="C933" t="s">
        <v>3526</v>
      </c>
      <c r="H93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33" s="49">
        <f ca="1">IFERROR(WEEKNUM(CRC_War_Room_SIMs[[#This Row],[Ops Date]]), "N/A")</f>
        <v>29</v>
      </c>
      <c r="J93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3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3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33" s="50">
        <f>IF(AND(CRC_War_Room_SIMs[[#This Row],[CI]] = 0, CRC_War_Room_SIMs[[#This Row],[Miss]] = 1), 1, 0)</f>
        <v>0</v>
      </c>
      <c r="N93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33" s="49">
        <f>IF(AND(CRC_War_Room_SIMs[[#This Row],[Excluded]] = 0, OR(CRC_War_Room_SIMs[[#This Row],[False Resolution Miss]] &lt;&gt; "", ISNUMBER(SEARCH("False Resolution", CRC_War_Room_SIMs[[#This Row],[Labels]])))), 1, 0)</f>
        <v>0</v>
      </c>
      <c r="P933" s="50">
        <f>IF(AND(CRC_War_Room_SIMs[[#This Row],[Excluded]] = 0, OR(CRC_War_Room_SIMs[[#This Row],[SLA Miss]] &lt;&gt; "", ISNUMBER(SEARCH("SLA", CRC_War_Room_SIMs[[#This Row],[Labels]])))), 1, 0)</f>
        <v>0</v>
      </c>
    </row>
    <row r="934" spans="1:16" x14ac:dyDescent="0.25">
      <c r="A934" t="s">
        <v>3560</v>
      </c>
      <c r="B934" t="s">
        <v>3561</v>
      </c>
      <c r="C934" t="s">
        <v>3526</v>
      </c>
      <c r="H93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34" s="49">
        <f ca="1">IFERROR(WEEKNUM(CRC_War_Room_SIMs[[#This Row],[Ops Date]]), "N/A")</f>
        <v>29</v>
      </c>
      <c r="J93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3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3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34" s="50">
        <f>IF(AND(CRC_War_Room_SIMs[[#This Row],[CI]] = 0, CRC_War_Room_SIMs[[#This Row],[Miss]] = 1), 1, 0)</f>
        <v>0</v>
      </c>
      <c r="N93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34" s="49">
        <f>IF(AND(CRC_War_Room_SIMs[[#This Row],[Excluded]] = 0, OR(CRC_War_Room_SIMs[[#This Row],[False Resolution Miss]] &lt;&gt; "", ISNUMBER(SEARCH("False Resolution", CRC_War_Room_SIMs[[#This Row],[Labels]])))), 1, 0)</f>
        <v>0</v>
      </c>
      <c r="P934" s="50">
        <f>IF(AND(CRC_War_Room_SIMs[[#This Row],[Excluded]] = 0, OR(CRC_War_Room_SIMs[[#This Row],[SLA Miss]] &lt;&gt; "", ISNUMBER(SEARCH("SLA", CRC_War_Room_SIMs[[#This Row],[Labels]])))), 1, 0)</f>
        <v>0</v>
      </c>
    </row>
    <row r="935" spans="1:16" x14ac:dyDescent="0.25">
      <c r="A935" t="s">
        <v>3562</v>
      </c>
      <c r="B935" t="s">
        <v>3561</v>
      </c>
      <c r="C935" t="s">
        <v>3526</v>
      </c>
      <c r="H93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35" s="49">
        <f ca="1">IFERROR(WEEKNUM(CRC_War_Room_SIMs[[#This Row],[Ops Date]]), "N/A")</f>
        <v>29</v>
      </c>
      <c r="J93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3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3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35" s="50">
        <f>IF(AND(CRC_War_Room_SIMs[[#This Row],[CI]] = 0, CRC_War_Room_SIMs[[#This Row],[Miss]] = 1), 1, 0)</f>
        <v>0</v>
      </c>
      <c r="N93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35" s="49">
        <f>IF(AND(CRC_War_Room_SIMs[[#This Row],[Excluded]] = 0, OR(CRC_War_Room_SIMs[[#This Row],[False Resolution Miss]] &lt;&gt; "", ISNUMBER(SEARCH("False Resolution", CRC_War_Room_SIMs[[#This Row],[Labels]])))), 1, 0)</f>
        <v>0</v>
      </c>
      <c r="P935" s="50">
        <f>IF(AND(CRC_War_Room_SIMs[[#This Row],[Excluded]] = 0, OR(CRC_War_Room_SIMs[[#This Row],[SLA Miss]] &lt;&gt; "", ISNUMBER(SEARCH("SLA", CRC_War_Room_SIMs[[#This Row],[Labels]])))), 1, 0)</f>
        <v>0</v>
      </c>
    </row>
    <row r="936" spans="1:16" x14ac:dyDescent="0.25">
      <c r="A936" t="s">
        <v>3563</v>
      </c>
      <c r="B936" t="s">
        <v>3561</v>
      </c>
      <c r="C936" t="s">
        <v>3526</v>
      </c>
      <c r="H93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36" s="49">
        <f ca="1">IFERROR(WEEKNUM(CRC_War_Room_SIMs[[#This Row],[Ops Date]]), "N/A")</f>
        <v>29</v>
      </c>
      <c r="J93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3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3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36" s="50">
        <f>IF(AND(CRC_War_Room_SIMs[[#This Row],[CI]] = 0, CRC_War_Room_SIMs[[#This Row],[Miss]] = 1), 1, 0)</f>
        <v>0</v>
      </c>
      <c r="N93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36" s="49">
        <f>IF(AND(CRC_War_Room_SIMs[[#This Row],[Excluded]] = 0, OR(CRC_War_Room_SIMs[[#This Row],[False Resolution Miss]] &lt;&gt; "", ISNUMBER(SEARCH("False Resolution", CRC_War_Room_SIMs[[#This Row],[Labels]])))), 1, 0)</f>
        <v>0</v>
      </c>
      <c r="P936" s="50">
        <f>IF(AND(CRC_War_Room_SIMs[[#This Row],[Excluded]] = 0, OR(CRC_War_Room_SIMs[[#This Row],[SLA Miss]] &lt;&gt; "", ISNUMBER(SEARCH("SLA", CRC_War_Room_SIMs[[#This Row],[Labels]])))), 1, 0)</f>
        <v>0</v>
      </c>
    </row>
    <row r="937" spans="1:16" x14ac:dyDescent="0.25">
      <c r="A937" t="s">
        <v>3564</v>
      </c>
      <c r="B937" t="s">
        <v>3561</v>
      </c>
      <c r="C937" t="s">
        <v>3526</v>
      </c>
      <c r="H93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37" s="49">
        <f ca="1">IFERROR(WEEKNUM(CRC_War_Room_SIMs[[#This Row],[Ops Date]]), "N/A")</f>
        <v>29</v>
      </c>
      <c r="J93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3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3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37" s="50">
        <f>IF(AND(CRC_War_Room_SIMs[[#This Row],[CI]] = 0, CRC_War_Room_SIMs[[#This Row],[Miss]] = 1), 1, 0)</f>
        <v>0</v>
      </c>
      <c r="N93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37" s="49">
        <f>IF(AND(CRC_War_Room_SIMs[[#This Row],[Excluded]] = 0, OR(CRC_War_Room_SIMs[[#This Row],[False Resolution Miss]] &lt;&gt; "", ISNUMBER(SEARCH("False Resolution", CRC_War_Room_SIMs[[#This Row],[Labels]])))), 1, 0)</f>
        <v>0</v>
      </c>
      <c r="P937" s="50">
        <f>IF(AND(CRC_War_Room_SIMs[[#This Row],[Excluded]] = 0, OR(CRC_War_Room_SIMs[[#This Row],[SLA Miss]] &lt;&gt; "", ISNUMBER(SEARCH("SLA", CRC_War_Room_SIMs[[#This Row],[Labels]])))), 1, 0)</f>
        <v>0</v>
      </c>
    </row>
    <row r="938" spans="1:16" x14ac:dyDescent="0.25">
      <c r="A938" t="s">
        <v>3565</v>
      </c>
      <c r="B938" t="s">
        <v>3561</v>
      </c>
      <c r="C938" t="s">
        <v>3526</v>
      </c>
      <c r="H93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38" s="49">
        <f ca="1">IFERROR(WEEKNUM(CRC_War_Room_SIMs[[#This Row],[Ops Date]]), "N/A")</f>
        <v>29</v>
      </c>
      <c r="J93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3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3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38" s="50">
        <f>IF(AND(CRC_War_Room_SIMs[[#This Row],[CI]] = 0, CRC_War_Room_SIMs[[#This Row],[Miss]] = 1), 1, 0)</f>
        <v>0</v>
      </c>
      <c r="N93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38" s="49">
        <f>IF(AND(CRC_War_Room_SIMs[[#This Row],[Excluded]] = 0, OR(CRC_War_Room_SIMs[[#This Row],[False Resolution Miss]] &lt;&gt; "", ISNUMBER(SEARCH("False Resolution", CRC_War_Room_SIMs[[#This Row],[Labels]])))), 1, 0)</f>
        <v>0</v>
      </c>
      <c r="P938" s="50">
        <f>IF(AND(CRC_War_Room_SIMs[[#This Row],[Excluded]] = 0, OR(CRC_War_Room_SIMs[[#This Row],[SLA Miss]] &lt;&gt; "", ISNUMBER(SEARCH("SLA", CRC_War_Room_SIMs[[#This Row],[Labels]])))), 1, 0)</f>
        <v>0</v>
      </c>
    </row>
    <row r="939" spans="1:16" x14ac:dyDescent="0.25">
      <c r="A939" t="s">
        <v>3566</v>
      </c>
      <c r="B939" t="s">
        <v>3561</v>
      </c>
      <c r="C939" t="s">
        <v>3526</v>
      </c>
      <c r="H93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39" s="49">
        <f ca="1">IFERROR(WEEKNUM(CRC_War_Room_SIMs[[#This Row],[Ops Date]]), "N/A")</f>
        <v>29</v>
      </c>
      <c r="J93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3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3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39" s="50">
        <f>IF(AND(CRC_War_Room_SIMs[[#This Row],[CI]] = 0, CRC_War_Room_SIMs[[#This Row],[Miss]] = 1), 1, 0)</f>
        <v>0</v>
      </c>
      <c r="N93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39" s="49">
        <f>IF(AND(CRC_War_Room_SIMs[[#This Row],[Excluded]] = 0, OR(CRC_War_Room_SIMs[[#This Row],[False Resolution Miss]] &lt;&gt; "", ISNUMBER(SEARCH("False Resolution", CRC_War_Room_SIMs[[#This Row],[Labels]])))), 1, 0)</f>
        <v>0</v>
      </c>
      <c r="P939" s="50">
        <f>IF(AND(CRC_War_Room_SIMs[[#This Row],[Excluded]] = 0, OR(CRC_War_Room_SIMs[[#This Row],[SLA Miss]] &lt;&gt; "", ISNUMBER(SEARCH("SLA", CRC_War_Room_SIMs[[#This Row],[Labels]])))), 1, 0)</f>
        <v>0</v>
      </c>
    </row>
    <row r="940" spans="1:16" x14ac:dyDescent="0.25">
      <c r="A940" t="s">
        <v>3567</v>
      </c>
      <c r="B940" t="s">
        <v>3561</v>
      </c>
      <c r="C940" t="s">
        <v>3526</v>
      </c>
      <c r="H94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40" s="49">
        <f ca="1">IFERROR(WEEKNUM(CRC_War_Room_SIMs[[#This Row],[Ops Date]]), "N/A")</f>
        <v>29</v>
      </c>
      <c r="J94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4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4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40" s="50">
        <f>IF(AND(CRC_War_Room_SIMs[[#This Row],[CI]] = 0, CRC_War_Room_SIMs[[#This Row],[Miss]] = 1), 1, 0)</f>
        <v>0</v>
      </c>
      <c r="N94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40" s="49">
        <f>IF(AND(CRC_War_Room_SIMs[[#This Row],[Excluded]] = 0, OR(CRC_War_Room_SIMs[[#This Row],[False Resolution Miss]] &lt;&gt; "", ISNUMBER(SEARCH("False Resolution", CRC_War_Room_SIMs[[#This Row],[Labels]])))), 1, 0)</f>
        <v>0</v>
      </c>
      <c r="P940" s="50">
        <f>IF(AND(CRC_War_Room_SIMs[[#This Row],[Excluded]] = 0, OR(CRC_War_Room_SIMs[[#This Row],[SLA Miss]] &lt;&gt; "", ISNUMBER(SEARCH("SLA", CRC_War_Room_SIMs[[#This Row],[Labels]])))), 1, 0)</f>
        <v>0</v>
      </c>
    </row>
    <row r="941" spans="1:16" x14ac:dyDescent="0.25">
      <c r="A941" t="s">
        <v>3568</v>
      </c>
      <c r="B941" t="s">
        <v>3536</v>
      </c>
      <c r="C941" t="s">
        <v>3537</v>
      </c>
      <c r="E941" t="s">
        <v>3569</v>
      </c>
      <c r="H94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41" s="49">
        <f ca="1">IFERROR(WEEKNUM(CRC_War_Room_SIMs[[#This Row],[Ops Date]]), "N/A")</f>
        <v>29</v>
      </c>
      <c r="J94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4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94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941" s="50">
        <f>IF(AND(CRC_War_Room_SIMs[[#This Row],[CI]] = 0, CRC_War_Room_SIMs[[#This Row],[Miss]] = 1), 1, 0)</f>
        <v>0</v>
      </c>
      <c r="N941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941" s="49">
        <f>IF(AND(CRC_War_Room_SIMs[[#This Row],[Excluded]] = 0, OR(CRC_War_Room_SIMs[[#This Row],[False Resolution Miss]] &lt;&gt; "", ISNUMBER(SEARCH("False Resolution", CRC_War_Room_SIMs[[#This Row],[Labels]])))), 1, 0)</f>
        <v>0</v>
      </c>
      <c r="P941" s="50">
        <f>IF(AND(CRC_War_Room_SIMs[[#This Row],[Excluded]] = 0, OR(CRC_War_Room_SIMs[[#This Row],[SLA Miss]] &lt;&gt; "", ISNUMBER(SEARCH("SLA", CRC_War_Room_SIMs[[#This Row],[Labels]])))), 1, 0)</f>
        <v>0</v>
      </c>
    </row>
    <row r="942" spans="1:16" x14ac:dyDescent="0.25">
      <c r="A942" t="s">
        <v>3570</v>
      </c>
      <c r="B942" t="s">
        <v>3561</v>
      </c>
      <c r="C942" t="s">
        <v>3526</v>
      </c>
      <c r="H94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42" s="49">
        <f ca="1">IFERROR(WEEKNUM(CRC_War_Room_SIMs[[#This Row],[Ops Date]]), "N/A")</f>
        <v>29</v>
      </c>
      <c r="J94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4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4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42" s="50">
        <f>IF(AND(CRC_War_Room_SIMs[[#This Row],[CI]] = 0, CRC_War_Room_SIMs[[#This Row],[Miss]] = 1), 1, 0)</f>
        <v>0</v>
      </c>
      <c r="N94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42" s="49">
        <f>IF(AND(CRC_War_Room_SIMs[[#This Row],[Excluded]] = 0, OR(CRC_War_Room_SIMs[[#This Row],[False Resolution Miss]] &lt;&gt; "", ISNUMBER(SEARCH("False Resolution", CRC_War_Room_SIMs[[#This Row],[Labels]])))), 1, 0)</f>
        <v>0</v>
      </c>
      <c r="P942" s="50">
        <f>IF(AND(CRC_War_Room_SIMs[[#This Row],[Excluded]] = 0, OR(CRC_War_Room_SIMs[[#This Row],[SLA Miss]] &lt;&gt; "", ISNUMBER(SEARCH("SLA", CRC_War_Room_SIMs[[#This Row],[Labels]])))), 1, 0)</f>
        <v>0</v>
      </c>
    </row>
    <row r="943" spans="1:16" x14ac:dyDescent="0.25">
      <c r="A943" t="s">
        <v>3571</v>
      </c>
      <c r="B943" t="s">
        <v>3536</v>
      </c>
      <c r="C943" t="s">
        <v>3526</v>
      </c>
      <c r="H94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43" s="49">
        <f ca="1">IFERROR(WEEKNUM(CRC_War_Room_SIMs[[#This Row],[Ops Date]]), "N/A")</f>
        <v>29</v>
      </c>
      <c r="J94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4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4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43" s="50">
        <f>IF(AND(CRC_War_Room_SIMs[[#This Row],[CI]] = 0, CRC_War_Room_SIMs[[#This Row],[Miss]] = 1), 1, 0)</f>
        <v>0</v>
      </c>
      <c r="N94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43" s="49">
        <f>IF(AND(CRC_War_Room_SIMs[[#This Row],[Excluded]] = 0, OR(CRC_War_Room_SIMs[[#This Row],[False Resolution Miss]] &lt;&gt; "", ISNUMBER(SEARCH("False Resolution", CRC_War_Room_SIMs[[#This Row],[Labels]])))), 1, 0)</f>
        <v>0</v>
      </c>
      <c r="P943" s="50">
        <f>IF(AND(CRC_War_Room_SIMs[[#This Row],[Excluded]] = 0, OR(CRC_War_Room_SIMs[[#This Row],[SLA Miss]] &lt;&gt; "", ISNUMBER(SEARCH("SLA", CRC_War_Room_SIMs[[#This Row],[Labels]])))), 1, 0)</f>
        <v>0</v>
      </c>
    </row>
    <row r="944" spans="1:16" x14ac:dyDescent="0.25">
      <c r="A944" t="s">
        <v>3572</v>
      </c>
      <c r="B944" t="s">
        <v>3536</v>
      </c>
      <c r="C944" t="s">
        <v>3526</v>
      </c>
      <c r="H94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44" s="49">
        <f ca="1">IFERROR(WEEKNUM(CRC_War_Room_SIMs[[#This Row],[Ops Date]]), "N/A")</f>
        <v>29</v>
      </c>
      <c r="J94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4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4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44" s="50">
        <f>IF(AND(CRC_War_Room_SIMs[[#This Row],[CI]] = 0, CRC_War_Room_SIMs[[#This Row],[Miss]] = 1), 1, 0)</f>
        <v>0</v>
      </c>
      <c r="N94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44" s="49">
        <f>IF(AND(CRC_War_Room_SIMs[[#This Row],[Excluded]] = 0, OR(CRC_War_Room_SIMs[[#This Row],[False Resolution Miss]] &lt;&gt; "", ISNUMBER(SEARCH("False Resolution", CRC_War_Room_SIMs[[#This Row],[Labels]])))), 1, 0)</f>
        <v>0</v>
      </c>
      <c r="P944" s="50">
        <f>IF(AND(CRC_War_Room_SIMs[[#This Row],[Excluded]] = 0, OR(CRC_War_Room_SIMs[[#This Row],[SLA Miss]] &lt;&gt; "", ISNUMBER(SEARCH("SLA", CRC_War_Room_SIMs[[#This Row],[Labels]])))), 1, 0)</f>
        <v>0</v>
      </c>
    </row>
    <row r="945" spans="1:16" x14ac:dyDescent="0.25">
      <c r="A945" t="s">
        <v>3573</v>
      </c>
      <c r="B945" t="s">
        <v>3536</v>
      </c>
      <c r="C945" t="s">
        <v>3526</v>
      </c>
      <c r="H94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45" s="49">
        <f ca="1">IFERROR(WEEKNUM(CRC_War_Room_SIMs[[#This Row],[Ops Date]]), "N/A")</f>
        <v>29</v>
      </c>
      <c r="J94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4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4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45" s="50">
        <f>IF(AND(CRC_War_Room_SIMs[[#This Row],[CI]] = 0, CRC_War_Room_SIMs[[#This Row],[Miss]] = 1), 1, 0)</f>
        <v>0</v>
      </c>
      <c r="N94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45" s="49">
        <f>IF(AND(CRC_War_Room_SIMs[[#This Row],[Excluded]] = 0, OR(CRC_War_Room_SIMs[[#This Row],[False Resolution Miss]] &lt;&gt; "", ISNUMBER(SEARCH("False Resolution", CRC_War_Room_SIMs[[#This Row],[Labels]])))), 1, 0)</f>
        <v>0</v>
      </c>
      <c r="P945" s="50">
        <f>IF(AND(CRC_War_Room_SIMs[[#This Row],[Excluded]] = 0, OR(CRC_War_Room_SIMs[[#This Row],[SLA Miss]] &lt;&gt; "", ISNUMBER(SEARCH("SLA", CRC_War_Room_SIMs[[#This Row],[Labels]])))), 1, 0)</f>
        <v>0</v>
      </c>
    </row>
    <row r="946" spans="1:16" x14ac:dyDescent="0.25">
      <c r="A946" t="s">
        <v>3574</v>
      </c>
      <c r="B946" t="s">
        <v>3536</v>
      </c>
      <c r="C946" t="s">
        <v>3526</v>
      </c>
      <c r="H94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46" s="49">
        <f ca="1">IFERROR(WEEKNUM(CRC_War_Room_SIMs[[#This Row],[Ops Date]]), "N/A")</f>
        <v>29</v>
      </c>
      <c r="J94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4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4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46" s="50">
        <f>IF(AND(CRC_War_Room_SIMs[[#This Row],[CI]] = 0, CRC_War_Room_SIMs[[#This Row],[Miss]] = 1), 1, 0)</f>
        <v>0</v>
      </c>
      <c r="N94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46" s="49">
        <f>IF(AND(CRC_War_Room_SIMs[[#This Row],[Excluded]] = 0, OR(CRC_War_Room_SIMs[[#This Row],[False Resolution Miss]] &lt;&gt; "", ISNUMBER(SEARCH("False Resolution", CRC_War_Room_SIMs[[#This Row],[Labels]])))), 1, 0)</f>
        <v>0</v>
      </c>
      <c r="P946" s="50">
        <f>IF(AND(CRC_War_Room_SIMs[[#This Row],[Excluded]] = 0, OR(CRC_War_Room_SIMs[[#This Row],[SLA Miss]] &lt;&gt; "", ISNUMBER(SEARCH("SLA", CRC_War_Room_SIMs[[#This Row],[Labels]])))), 1, 0)</f>
        <v>0</v>
      </c>
    </row>
    <row r="947" spans="1:16" x14ac:dyDescent="0.25">
      <c r="A947" t="s">
        <v>3575</v>
      </c>
      <c r="B947" t="s">
        <v>3536</v>
      </c>
      <c r="C947" t="s">
        <v>3526</v>
      </c>
      <c r="H94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47" s="49">
        <f ca="1">IFERROR(WEEKNUM(CRC_War_Room_SIMs[[#This Row],[Ops Date]]), "N/A")</f>
        <v>29</v>
      </c>
      <c r="J94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4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4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47" s="50">
        <f>IF(AND(CRC_War_Room_SIMs[[#This Row],[CI]] = 0, CRC_War_Room_SIMs[[#This Row],[Miss]] = 1), 1, 0)</f>
        <v>0</v>
      </c>
      <c r="N94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47" s="49">
        <f>IF(AND(CRC_War_Room_SIMs[[#This Row],[Excluded]] = 0, OR(CRC_War_Room_SIMs[[#This Row],[False Resolution Miss]] &lt;&gt; "", ISNUMBER(SEARCH("False Resolution", CRC_War_Room_SIMs[[#This Row],[Labels]])))), 1, 0)</f>
        <v>0</v>
      </c>
      <c r="P947" s="50">
        <f>IF(AND(CRC_War_Room_SIMs[[#This Row],[Excluded]] = 0, OR(CRC_War_Room_SIMs[[#This Row],[SLA Miss]] &lt;&gt; "", ISNUMBER(SEARCH("SLA", CRC_War_Room_SIMs[[#This Row],[Labels]])))), 1, 0)</f>
        <v>0</v>
      </c>
    </row>
    <row r="948" spans="1:16" x14ac:dyDescent="0.25">
      <c r="A948" t="s">
        <v>3576</v>
      </c>
      <c r="B948" t="s">
        <v>3528</v>
      </c>
      <c r="C948" t="s">
        <v>3526</v>
      </c>
      <c r="H94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48" s="49">
        <f ca="1">IFERROR(WEEKNUM(CRC_War_Room_SIMs[[#This Row],[Ops Date]]), "N/A")</f>
        <v>29</v>
      </c>
      <c r="J94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4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4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48" s="50">
        <f>IF(AND(CRC_War_Room_SIMs[[#This Row],[CI]] = 0, CRC_War_Room_SIMs[[#This Row],[Miss]] = 1), 1, 0)</f>
        <v>0</v>
      </c>
      <c r="N94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48" s="49">
        <f>IF(AND(CRC_War_Room_SIMs[[#This Row],[Excluded]] = 0, OR(CRC_War_Room_SIMs[[#This Row],[False Resolution Miss]] &lt;&gt; "", ISNUMBER(SEARCH("False Resolution", CRC_War_Room_SIMs[[#This Row],[Labels]])))), 1, 0)</f>
        <v>0</v>
      </c>
      <c r="P948" s="50">
        <f>IF(AND(CRC_War_Room_SIMs[[#This Row],[Excluded]] = 0, OR(CRC_War_Room_SIMs[[#This Row],[SLA Miss]] &lt;&gt; "", ISNUMBER(SEARCH("SLA", CRC_War_Room_SIMs[[#This Row],[Labels]])))), 1, 0)</f>
        <v>0</v>
      </c>
    </row>
    <row r="949" spans="1:16" x14ac:dyDescent="0.25">
      <c r="A949" t="s">
        <v>3577</v>
      </c>
      <c r="B949" t="s">
        <v>3536</v>
      </c>
      <c r="C949" t="s">
        <v>3526</v>
      </c>
      <c r="H94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49" s="49">
        <f ca="1">IFERROR(WEEKNUM(CRC_War_Room_SIMs[[#This Row],[Ops Date]]), "N/A")</f>
        <v>29</v>
      </c>
      <c r="J94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4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4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49" s="50">
        <f>IF(AND(CRC_War_Room_SIMs[[#This Row],[CI]] = 0, CRC_War_Room_SIMs[[#This Row],[Miss]] = 1), 1, 0)</f>
        <v>0</v>
      </c>
      <c r="N94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49" s="49">
        <f>IF(AND(CRC_War_Room_SIMs[[#This Row],[Excluded]] = 0, OR(CRC_War_Room_SIMs[[#This Row],[False Resolution Miss]] &lt;&gt; "", ISNUMBER(SEARCH("False Resolution", CRC_War_Room_SIMs[[#This Row],[Labels]])))), 1, 0)</f>
        <v>0</v>
      </c>
      <c r="P949" s="50">
        <f>IF(AND(CRC_War_Room_SIMs[[#This Row],[Excluded]] = 0, OR(CRC_War_Room_SIMs[[#This Row],[SLA Miss]] &lt;&gt; "", ISNUMBER(SEARCH("SLA", CRC_War_Room_SIMs[[#This Row],[Labels]])))), 1, 0)</f>
        <v>0</v>
      </c>
    </row>
    <row r="950" spans="1:16" x14ac:dyDescent="0.25">
      <c r="A950" t="s">
        <v>3578</v>
      </c>
      <c r="B950" t="s">
        <v>3536</v>
      </c>
      <c r="C950" t="s">
        <v>3526</v>
      </c>
      <c r="H95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50" s="49">
        <f ca="1">IFERROR(WEEKNUM(CRC_War_Room_SIMs[[#This Row],[Ops Date]]), "N/A")</f>
        <v>29</v>
      </c>
      <c r="J95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5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5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50" s="50">
        <f>IF(AND(CRC_War_Room_SIMs[[#This Row],[CI]] = 0, CRC_War_Room_SIMs[[#This Row],[Miss]] = 1), 1, 0)</f>
        <v>0</v>
      </c>
      <c r="N95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50" s="49">
        <f>IF(AND(CRC_War_Room_SIMs[[#This Row],[Excluded]] = 0, OR(CRC_War_Room_SIMs[[#This Row],[False Resolution Miss]] &lt;&gt; "", ISNUMBER(SEARCH("False Resolution", CRC_War_Room_SIMs[[#This Row],[Labels]])))), 1, 0)</f>
        <v>0</v>
      </c>
      <c r="P950" s="50">
        <f>IF(AND(CRC_War_Room_SIMs[[#This Row],[Excluded]] = 0, OR(CRC_War_Room_SIMs[[#This Row],[SLA Miss]] &lt;&gt; "", ISNUMBER(SEARCH("SLA", CRC_War_Room_SIMs[[#This Row],[Labels]])))), 1, 0)</f>
        <v>0</v>
      </c>
    </row>
    <row r="951" spans="1:16" x14ac:dyDescent="0.25">
      <c r="A951" t="s">
        <v>3579</v>
      </c>
      <c r="B951" t="s">
        <v>3528</v>
      </c>
      <c r="C951" t="s">
        <v>3526</v>
      </c>
      <c r="H95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51" s="49">
        <f ca="1">IFERROR(WEEKNUM(CRC_War_Room_SIMs[[#This Row],[Ops Date]]), "N/A")</f>
        <v>29</v>
      </c>
      <c r="J95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5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5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51" s="50">
        <f>IF(AND(CRC_War_Room_SIMs[[#This Row],[CI]] = 0, CRC_War_Room_SIMs[[#This Row],[Miss]] = 1), 1, 0)</f>
        <v>0</v>
      </c>
      <c r="N95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51" s="49">
        <f>IF(AND(CRC_War_Room_SIMs[[#This Row],[Excluded]] = 0, OR(CRC_War_Room_SIMs[[#This Row],[False Resolution Miss]] &lt;&gt; "", ISNUMBER(SEARCH("False Resolution", CRC_War_Room_SIMs[[#This Row],[Labels]])))), 1, 0)</f>
        <v>0</v>
      </c>
      <c r="P951" s="50">
        <f>IF(AND(CRC_War_Room_SIMs[[#This Row],[Excluded]] = 0, OR(CRC_War_Room_SIMs[[#This Row],[SLA Miss]] &lt;&gt; "", ISNUMBER(SEARCH("SLA", CRC_War_Room_SIMs[[#This Row],[Labels]])))), 1, 0)</f>
        <v>0</v>
      </c>
    </row>
    <row r="952" spans="1:16" x14ac:dyDescent="0.25">
      <c r="A952" t="s">
        <v>3580</v>
      </c>
      <c r="B952" t="s">
        <v>3528</v>
      </c>
      <c r="C952" t="s">
        <v>3526</v>
      </c>
      <c r="H95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52" s="49">
        <f ca="1">IFERROR(WEEKNUM(CRC_War_Room_SIMs[[#This Row],[Ops Date]]), "N/A")</f>
        <v>29</v>
      </c>
      <c r="J95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5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5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52" s="50">
        <f>IF(AND(CRC_War_Room_SIMs[[#This Row],[CI]] = 0, CRC_War_Room_SIMs[[#This Row],[Miss]] = 1), 1, 0)</f>
        <v>0</v>
      </c>
      <c r="N95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52" s="49">
        <f>IF(AND(CRC_War_Room_SIMs[[#This Row],[Excluded]] = 0, OR(CRC_War_Room_SIMs[[#This Row],[False Resolution Miss]] &lt;&gt; "", ISNUMBER(SEARCH("False Resolution", CRC_War_Room_SIMs[[#This Row],[Labels]])))), 1, 0)</f>
        <v>0</v>
      </c>
      <c r="P952" s="50">
        <f>IF(AND(CRC_War_Room_SIMs[[#This Row],[Excluded]] = 0, OR(CRC_War_Room_SIMs[[#This Row],[SLA Miss]] &lt;&gt; "", ISNUMBER(SEARCH("SLA", CRC_War_Room_SIMs[[#This Row],[Labels]])))), 1, 0)</f>
        <v>0</v>
      </c>
    </row>
    <row r="953" spans="1:16" x14ac:dyDescent="0.25">
      <c r="A953" t="s">
        <v>3581</v>
      </c>
      <c r="B953" t="s">
        <v>3528</v>
      </c>
      <c r="C953" t="s">
        <v>3526</v>
      </c>
      <c r="H95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53" s="49">
        <f ca="1">IFERROR(WEEKNUM(CRC_War_Room_SIMs[[#This Row],[Ops Date]]), "N/A")</f>
        <v>29</v>
      </c>
      <c r="J95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5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5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53" s="50">
        <f>IF(AND(CRC_War_Room_SIMs[[#This Row],[CI]] = 0, CRC_War_Room_SIMs[[#This Row],[Miss]] = 1), 1, 0)</f>
        <v>0</v>
      </c>
      <c r="N95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53" s="49">
        <f>IF(AND(CRC_War_Room_SIMs[[#This Row],[Excluded]] = 0, OR(CRC_War_Room_SIMs[[#This Row],[False Resolution Miss]] &lt;&gt; "", ISNUMBER(SEARCH("False Resolution", CRC_War_Room_SIMs[[#This Row],[Labels]])))), 1, 0)</f>
        <v>0</v>
      </c>
      <c r="P953" s="50">
        <f>IF(AND(CRC_War_Room_SIMs[[#This Row],[Excluded]] = 0, OR(CRC_War_Room_SIMs[[#This Row],[SLA Miss]] &lt;&gt; "", ISNUMBER(SEARCH("SLA", CRC_War_Room_SIMs[[#This Row],[Labels]])))), 1, 0)</f>
        <v>0</v>
      </c>
    </row>
    <row r="954" spans="1:16" x14ac:dyDescent="0.25">
      <c r="A954" t="s">
        <v>3582</v>
      </c>
      <c r="B954" t="s">
        <v>3528</v>
      </c>
      <c r="C954" t="s">
        <v>3526</v>
      </c>
      <c r="H95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54" s="49">
        <f ca="1">IFERROR(WEEKNUM(CRC_War_Room_SIMs[[#This Row],[Ops Date]]), "N/A")</f>
        <v>29</v>
      </c>
      <c r="J95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5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5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54" s="50">
        <f>IF(AND(CRC_War_Room_SIMs[[#This Row],[CI]] = 0, CRC_War_Room_SIMs[[#This Row],[Miss]] = 1), 1, 0)</f>
        <v>0</v>
      </c>
      <c r="N95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54" s="49">
        <f>IF(AND(CRC_War_Room_SIMs[[#This Row],[Excluded]] = 0, OR(CRC_War_Room_SIMs[[#This Row],[False Resolution Miss]] &lt;&gt; "", ISNUMBER(SEARCH("False Resolution", CRC_War_Room_SIMs[[#This Row],[Labels]])))), 1, 0)</f>
        <v>0</v>
      </c>
      <c r="P954" s="50">
        <f>IF(AND(CRC_War_Room_SIMs[[#This Row],[Excluded]] = 0, OR(CRC_War_Room_SIMs[[#This Row],[SLA Miss]] &lt;&gt; "", ISNUMBER(SEARCH("SLA", CRC_War_Room_SIMs[[#This Row],[Labels]])))), 1, 0)</f>
        <v>0</v>
      </c>
    </row>
    <row r="955" spans="1:16" x14ac:dyDescent="0.25">
      <c r="A955" t="s">
        <v>3583</v>
      </c>
      <c r="B955" t="s">
        <v>3528</v>
      </c>
      <c r="C955" t="s">
        <v>3526</v>
      </c>
      <c r="H95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55" s="49">
        <f ca="1">IFERROR(WEEKNUM(CRC_War_Room_SIMs[[#This Row],[Ops Date]]), "N/A")</f>
        <v>29</v>
      </c>
      <c r="J95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5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5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55" s="50">
        <f>IF(AND(CRC_War_Room_SIMs[[#This Row],[CI]] = 0, CRC_War_Room_SIMs[[#This Row],[Miss]] = 1), 1, 0)</f>
        <v>0</v>
      </c>
      <c r="N95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55" s="49">
        <f>IF(AND(CRC_War_Room_SIMs[[#This Row],[Excluded]] = 0, OR(CRC_War_Room_SIMs[[#This Row],[False Resolution Miss]] &lt;&gt; "", ISNUMBER(SEARCH("False Resolution", CRC_War_Room_SIMs[[#This Row],[Labels]])))), 1, 0)</f>
        <v>0</v>
      </c>
      <c r="P955" s="50">
        <f>IF(AND(CRC_War_Room_SIMs[[#This Row],[Excluded]] = 0, OR(CRC_War_Room_SIMs[[#This Row],[SLA Miss]] &lt;&gt; "", ISNUMBER(SEARCH("SLA", CRC_War_Room_SIMs[[#This Row],[Labels]])))), 1, 0)</f>
        <v>0</v>
      </c>
    </row>
    <row r="956" spans="1:16" x14ac:dyDescent="0.25">
      <c r="A956" t="s">
        <v>3584</v>
      </c>
      <c r="B956" t="s">
        <v>3530</v>
      </c>
      <c r="C956" t="s">
        <v>3526</v>
      </c>
      <c r="H95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56" s="49">
        <f ca="1">IFERROR(WEEKNUM(CRC_War_Room_SIMs[[#This Row],[Ops Date]]), "N/A")</f>
        <v>29</v>
      </c>
      <c r="J95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5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5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56" s="50">
        <f>IF(AND(CRC_War_Room_SIMs[[#This Row],[CI]] = 0, CRC_War_Room_SIMs[[#This Row],[Miss]] = 1), 1, 0)</f>
        <v>0</v>
      </c>
      <c r="N95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56" s="49">
        <f>IF(AND(CRC_War_Room_SIMs[[#This Row],[Excluded]] = 0, OR(CRC_War_Room_SIMs[[#This Row],[False Resolution Miss]] &lt;&gt; "", ISNUMBER(SEARCH("False Resolution", CRC_War_Room_SIMs[[#This Row],[Labels]])))), 1, 0)</f>
        <v>0</v>
      </c>
      <c r="P956" s="50">
        <f>IF(AND(CRC_War_Room_SIMs[[#This Row],[Excluded]] = 0, OR(CRC_War_Room_SIMs[[#This Row],[SLA Miss]] &lt;&gt; "", ISNUMBER(SEARCH("SLA", CRC_War_Room_SIMs[[#This Row],[Labels]])))), 1, 0)</f>
        <v>0</v>
      </c>
    </row>
    <row r="957" spans="1:16" x14ac:dyDescent="0.25">
      <c r="A957" t="s">
        <v>3585</v>
      </c>
      <c r="B957" t="s">
        <v>3530</v>
      </c>
      <c r="C957" t="s">
        <v>3526</v>
      </c>
      <c r="H95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57" s="49">
        <f ca="1">IFERROR(WEEKNUM(CRC_War_Room_SIMs[[#This Row],[Ops Date]]), "N/A")</f>
        <v>29</v>
      </c>
      <c r="J95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5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5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57" s="50">
        <f>IF(AND(CRC_War_Room_SIMs[[#This Row],[CI]] = 0, CRC_War_Room_SIMs[[#This Row],[Miss]] = 1), 1, 0)</f>
        <v>0</v>
      </c>
      <c r="N95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57" s="49">
        <f>IF(AND(CRC_War_Room_SIMs[[#This Row],[Excluded]] = 0, OR(CRC_War_Room_SIMs[[#This Row],[False Resolution Miss]] &lt;&gt; "", ISNUMBER(SEARCH("False Resolution", CRC_War_Room_SIMs[[#This Row],[Labels]])))), 1, 0)</f>
        <v>0</v>
      </c>
      <c r="P957" s="50">
        <f>IF(AND(CRC_War_Room_SIMs[[#This Row],[Excluded]] = 0, OR(CRC_War_Room_SIMs[[#This Row],[SLA Miss]] &lt;&gt; "", ISNUMBER(SEARCH("SLA", CRC_War_Room_SIMs[[#This Row],[Labels]])))), 1, 0)</f>
        <v>0</v>
      </c>
    </row>
    <row r="958" spans="1:16" x14ac:dyDescent="0.25">
      <c r="A958" t="s">
        <v>3586</v>
      </c>
      <c r="B958" t="s">
        <v>3530</v>
      </c>
      <c r="C958" t="s">
        <v>3526</v>
      </c>
      <c r="H95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58" s="49">
        <f ca="1">IFERROR(WEEKNUM(CRC_War_Room_SIMs[[#This Row],[Ops Date]]), "N/A")</f>
        <v>29</v>
      </c>
      <c r="J95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5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5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58" s="50">
        <f>IF(AND(CRC_War_Room_SIMs[[#This Row],[CI]] = 0, CRC_War_Room_SIMs[[#This Row],[Miss]] = 1), 1, 0)</f>
        <v>0</v>
      </c>
      <c r="N95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58" s="49">
        <f>IF(AND(CRC_War_Room_SIMs[[#This Row],[Excluded]] = 0, OR(CRC_War_Room_SIMs[[#This Row],[False Resolution Miss]] &lt;&gt; "", ISNUMBER(SEARCH("False Resolution", CRC_War_Room_SIMs[[#This Row],[Labels]])))), 1, 0)</f>
        <v>0</v>
      </c>
      <c r="P958" s="50">
        <f>IF(AND(CRC_War_Room_SIMs[[#This Row],[Excluded]] = 0, OR(CRC_War_Room_SIMs[[#This Row],[SLA Miss]] &lt;&gt; "", ISNUMBER(SEARCH("SLA", CRC_War_Room_SIMs[[#This Row],[Labels]])))), 1, 0)</f>
        <v>0</v>
      </c>
    </row>
    <row r="959" spans="1:16" x14ac:dyDescent="0.25">
      <c r="A959" t="s">
        <v>3587</v>
      </c>
      <c r="B959" t="s">
        <v>3588</v>
      </c>
      <c r="C959" t="s">
        <v>3526</v>
      </c>
      <c r="H95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59" s="49">
        <f ca="1">IFERROR(WEEKNUM(CRC_War_Room_SIMs[[#This Row],[Ops Date]]), "N/A")</f>
        <v>29</v>
      </c>
      <c r="J95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5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5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59" s="50">
        <f>IF(AND(CRC_War_Room_SIMs[[#This Row],[CI]] = 0, CRC_War_Room_SIMs[[#This Row],[Miss]] = 1), 1, 0)</f>
        <v>0</v>
      </c>
      <c r="N95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59" s="49">
        <f>IF(AND(CRC_War_Room_SIMs[[#This Row],[Excluded]] = 0, OR(CRC_War_Room_SIMs[[#This Row],[False Resolution Miss]] &lt;&gt; "", ISNUMBER(SEARCH("False Resolution", CRC_War_Room_SIMs[[#This Row],[Labels]])))), 1, 0)</f>
        <v>0</v>
      </c>
      <c r="P959" s="50">
        <f>IF(AND(CRC_War_Room_SIMs[[#This Row],[Excluded]] = 0, OR(CRC_War_Room_SIMs[[#This Row],[SLA Miss]] &lt;&gt; "", ISNUMBER(SEARCH("SLA", CRC_War_Room_SIMs[[#This Row],[Labels]])))), 1, 0)</f>
        <v>0</v>
      </c>
    </row>
    <row r="960" spans="1:16" x14ac:dyDescent="0.25">
      <c r="A960" t="s">
        <v>3589</v>
      </c>
      <c r="B960" t="s">
        <v>3285</v>
      </c>
      <c r="C960" t="s">
        <v>3526</v>
      </c>
      <c r="H96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60" s="49">
        <f ca="1">IFERROR(WEEKNUM(CRC_War_Room_SIMs[[#This Row],[Ops Date]]), "N/A")</f>
        <v>29</v>
      </c>
      <c r="J96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6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6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60" s="50">
        <f>IF(AND(CRC_War_Room_SIMs[[#This Row],[CI]] = 0, CRC_War_Room_SIMs[[#This Row],[Miss]] = 1), 1, 0)</f>
        <v>0</v>
      </c>
      <c r="N96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60" s="49">
        <f>IF(AND(CRC_War_Room_SIMs[[#This Row],[Excluded]] = 0, OR(CRC_War_Room_SIMs[[#This Row],[False Resolution Miss]] &lt;&gt; "", ISNUMBER(SEARCH("False Resolution", CRC_War_Room_SIMs[[#This Row],[Labels]])))), 1, 0)</f>
        <v>0</v>
      </c>
      <c r="P960" s="50">
        <f>IF(AND(CRC_War_Room_SIMs[[#This Row],[Excluded]] = 0, OR(CRC_War_Room_SIMs[[#This Row],[SLA Miss]] &lt;&gt; "", ISNUMBER(SEARCH("SLA", CRC_War_Room_SIMs[[#This Row],[Labels]])))), 1, 0)</f>
        <v>0</v>
      </c>
    </row>
    <row r="961" spans="1:16" x14ac:dyDescent="0.25">
      <c r="A961" t="s">
        <v>3590</v>
      </c>
      <c r="B961" t="s">
        <v>3530</v>
      </c>
      <c r="C961" t="s">
        <v>3526</v>
      </c>
      <c r="H96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61" s="49">
        <f ca="1">IFERROR(WEEKNUM(CRC_War_Room_SIMs[[#This Row],[Ops Date]]), "N/A")</f>
        <v>29</v>
      </c>
      <c r="J96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6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6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61" s="50">
        <f>IF(AND(CRC_War_Room_SIMs[[#This Row],[CI]] = 0, CRC_War_Room_SIMs[[#This Row],[Miss]] = 1), 1, 0)</f>
        <v>0</v>
      </c>
      <c r="N96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61" s="49">
        <f>IF(AND(CRC_War_Room_SIMs[[#This Row],[Excluded]] = 0, OR(CRC_War_Room_SIMs[[#This Row],[False Resolution Miss]] &lt;&gt; "", ISNUMBER(SEARCH("False Resolution", CRC_War_Room_SIMs[[#This Row],[Labels]])))), 1, 0)</f>
        <v>0</v>
      </c>
      <c r="P961" s="50">
        <f>IF(AND(CRC_War_Room_SIMs[[#This Row],[Excluded]] = 0, OR(CRC_War_Room_SIMs[[#This Row],[SLA Miss]] &lt;&gt; "", ISNUMBER(SEARCH("SLA", CRC_War_Room_SIMs[[#This Row],[Labels]])))), 1, 0)</f>
        <v>0</v>
      </c>
    </row>
    <row r="962" spans="1:16" x14ac:dyDescent="0.25">
      <c r="A962" t="s">
        <v>3591</v>
      </c>
      <c r="B962" t="s">
        <v>3588</v>
      </c>
      <c r="C962" t="s">
        <v>3526</v>
      </c>
      <c r="H96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62" s="49">
        <f ca="1">IFERROR(WEEKNUM(CRC_War_Room_SIMs[[#This Row],[Ops Date]]), "N/A")</f>
        <v>29</v>
      </c>
      <c r="J96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6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6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62" s="50">
        <f>IF(AND(CRC_War_Room_SIMs[[#This Row],[CI]] = 0, CRC_War_Room_SIMs[[#This Row],[Miss]] = 1), 1, 0)</f>
        <v>0</v>
      </c>
      <c r="N96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62" s="49">
        <f>IF(AND(CRC_War_Room_SIMs[[#This Row],[Excluded]] = 0, OR(CRC_War_Room_SIMs[[#This Row],[False Resolution Miss]] &lt;&gt; "", ISNUMBER(SEARCH("False Resolution", CRC_War_Room_SIMs[[#This Row],[Labels]])))), 1, 0)</f>
        <v>0</v>
      </c>
      <c r="P962" s="50">
        <f>IF(AND(CRC_War_Room_SIMs[[#This Row],[Excluded]] = 0, OR(CRC_War_Room_SIMs[[#This Row],[SLA Miss]] &lt;&gt; "", ISNUMBER(SEARCH("SLA", CRC_War_Room_SIMs[[#This Row],[Labels]])))), 1, 0)</f>
        <v>0</v>
      </c>
    </row>
    <row r="963" spans="1:16" x14ac:dyDescent="0.25">
      <c r="A963" t="s">
        <v>3592</v>
      </c>
      <c r="B963" t="s">
        <v>3285</v>
      </c>
      <c r="C963" t="s">
        <v>3526</v>
      </c>
      <c r="H96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63" s="49">
        <f ca="1">IFERROR(WEEKNUM(CRC_War_Room_SIMs[[#This Row],[Ops Date]]), "N/A")</f>
        <v>29</v>
      </c>
      <c r="J96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6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6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63" s="50">
        <f>IF(AND(CRC_War_Room_SIMs[[#This Row],[CI]] = 0, CRC_War_Room_SIMs[[#This Row],[Miss]] = 1), 1, 0)</f>
        <v>0</v>
      </c>
      <c r="N96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63" s="49">
        <f>IF(AND(CRC_War_Room_SIMs[[#This Row],[Excluded]] = 0, OR(CRC_War_Room_SIMs[[#This Row],[False Resolution Miss]] &lt;&gt; "", ISNUMBER(SEARCH("False Resolution", CRC_War_Room_SIMs[[#This Row],[Labels]])))), 1, 0)</f>
        <v>0</v>
      </c>
      <c r="P963" s="50">
        <f>IF(AND(CRC_War_Room_SIMs[[#This Row],[Excluded]] = 0, OR(CRC_War_Room_SIMs[[#This Row],[SLA Miss]] &lt;&gt; "", ISNUMBER(SEARCH("SLA", CRC_War_Room_SIMs[[#This Row],[Labels]])))), 1, 0)</f>
        <v>0</v>
      </c>
    </row>
    <row r="964" spans="1:16" x14ac:dyDescent="0.25">
      <c r="A964" t="s">
        <v>3593</v>
      </c>
      <c r="B964" t="s">
        <v>3285</v>
      </c>
      <c r="C964" t="s">
        <v>3526</v>
      </c>
      <c r="H96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64" s="49">
        <f ca="1">IFERROR(WEEKNUM(CRC_War_Room_SIMs[[#This Row],[Ops Date]]), "N/A")</f>
        <v>29</v>
      </c>
      <c r="J96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6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6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64" s="50">
        <f>IF(AND(CRC_War_Room_SIMs[[#This Row],[CI]] = 0, CRC_War_Room_SIMs[[#This Row],[Miss]] = 1), 1, 0)</f>
        <v>0</v>
      </c>
      <c r="N96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64" s="49">
        <f>IF(AND(CRC_War_Room_SIMs[[#This Row],[Excluded]] = 0, OR(CRC_War_Room_SIMs[[#This Row],[False Resolution Miss]] &lt;&gt; "", ISNUMBER(SEARCH("False Resolution", CRC_War_Room_SIMs[[#This Row],[Labels]])))), 1, 0)</f>
        <v>0</v>
      </c>
      <c r="P964" s="50">
        <f>IF(AND(CRC_War_Room_SIMs[[#This Row],[Excluded]] = 0, OR(CRC_War_Room_SIMs[[#This Row],[SLA Miss]] &lt;&gt; "", ISNUMBER(SEARCH("SLA", CRC_War_Room_SIMs[[#This Row],[Labels]])))), 1, 0)</f>
        <v>0</v>
      </c>
    </row>
    <row r="965" spans="1:16" x14ac:dyDescent="0.25">
      <c r="A965" t="s">
        <v>3594</v>
      </c>
      <c r="B965" t="s">
        <v>3285</v>
      </c>
      <c r="C965" t="s">
        <v>3526</v>
      </c>
      <c r="H96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65" s="49">
        <f ca="1">IFERROR(WEEKNUM(CRC_War_Room_SIMs[[#This Row],[Ops Date]]), "N/A")</f>
        <v>29</v>
      </c>
      <c r="J96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6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6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65" s="50">
        <f>IF(AND(CRC_War_Room_SIMs[[#This Row],[CI]] = 0, CRC_War_Room_SIMs[[#This Row],[Miss]] = 1), 1, 0)</f>
        <v>0</v>
      </c>
      <c r="N96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65" s="49">
        <f>IF(AND(CRC_War_Room_SIMs[[#This Row],[Excluded]] = 0, OR(CRC_War_Room_SIMs[[#This Row],[False Resolution Miss]] &lt;&gt; "", ISNUMBER(SEARCH("False Resolution", CRC_War_Room_SIMs[[#This Row],[Labels]])))), 1, 0)</f>
        <v>0</v>
      </c>
      <c r="P965" s="50">
        <f>IF(AND(CRC_War_Room_SIMs[[#This Row],[Excluded]] = 0, OR(CRC_War_Room_SIMs[[#This Row],[SLA Miss]] &lt;&gt; "", ISNUMBER(SEARCH("SLA", CRC_War_Room_SIMs[[#This Row],[Labels]])))), 1, 0)</f>
        <v>0</v>
      </c>
    </row>
    <row r="966" spans="1:16" x14ac:dyDescent="0.25">
      <c r="A966" t="s">
        <v>3595</v>
      </c>
      <c r="B966" t="s">
        <v>3285</v>
      </c>
      <c r="C966" t="s">
        <v>3526</v>
      </c>
      <c r="H96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66" s="49">
        <f ca="1">IFERROR(WEEKNUM(CRC_War_Room_SIMs[[#This Row],[Ops Date]]), "N/A")</f>
        <v>29</v>
      </c>
      <c r="J96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6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6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66" s="50">
        <f>IF(AND(CRC_War_Room_SIMs[[#This Row],[CI]] = 0, CRC_War_Room_SIMs[[#This Row],[Miss]] = 1), 1, 0)</f>
        <v>0</v>
      </c>
      <c r="N96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66" s="49">
        <f>IF(AND(CRC_War_Room_SIMs[[#This Row],[Excluded]] = 0, OR(CRC_War_Room_SIMs[[#This Row],[False Resolution Miss]] &lt;&gt; "", ISNUMBER(SEARCH("False Resolution", CRC_War_Room_SIMs[[#This Row],[Labels]])))), 1, 0)</f>
        <v>0</v>
      </c>
      <c r="P966" s="50">
        <f>IF(AND(CRC_War_Room_SIMs[[#This Row],[Excluded]] = 0, OR(CRC_War_Room_SIMs[[#This Row],[SLA Miss]] &lt;&gt; "", ISNUMBER(SEARCH("SLA", CRC_War_Room_SIMs[[#This Row],[Labels]])))), 1, 0)</f>
        <v>0</v>
      </c>
    </row>
    <row r="967" spans="1:16" x14ac:dyDescent="0.25">
      <c r="A967" t="s">
        <v>3596</v>
      </c>
      <c r="B967" t="s">
        <v>3285</v>
      </c>
      <c r="C967" t="s">
        <v>3526</v>
      </c>
      <c r="H96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45490</v>
      </c>
      <c r="I967" s="49">
        <f ca="1">IFERROR(WEEKNUM(CRC_War_Room_SIMs[[#This Row],[Ops Date]]), "N/A")</f>
        <v>29</v>
      </c>
      <c r="J96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6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6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67" s="50">
        <f>IF(AND(CRC_War_Room_SIMs[[#This Row],[CI]] = 0, CRC_War_Room_SIMs[[#This Row],[Miss]] = 1), 1, 0)</f>
        <v>0</v>
      </c>
      <c r="N96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67" s="49">
        <f>IF(AND(CRC_War_Room_SIMs[[#This Row],[Excluded]] = 0, OR(CRC_War_Room_SIMs[[#This Row],[False Resolution Miss]] &lt;&gt; "", ISNUMBER(SEARCH("False Resolution", CRC_War_Room_SIMs[[#This Row],[Labels]])))), 1, 0)</f>
        <v>0</v>
      </c>
      <c r="P967" s="50">
        <f>IF(AND(CRC_War_Room_SIMs[[#This Row],[Excluded]] = 0, OR(CRC_War_Room_SIMs[[#This Row],[SLA Miss]] &lt;&gt; "", ISNUMBER(SEARCH("SLA", CRC_War_Room_SIMs[[#This Row],[Labels]])))), 1, 0)</f>
        <v>0</v>
      </c>
    </row>
    <row r="968" spans="1:16" x14ac:dyDescent="0.25">
      <c r="A968" t="s">
        <v>3597</v>
      </c>
      <c r="B968" t="s">
        <v>3303</v>
      </c>
      <c r="C968" t="s">
        <v>3598</v>
      </c>
      <c r="D968" t="s">
        <v>1453</v>
      </c>
      <c r="H96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68" s="49">
        <f ca="1">IFERROR(WEEKNUM(CRC_War_Room_SIMs[[#This Row],[Ops Date]]), "N/A")</f>
        <v>29</v>
      </c>
      <c r="J968" s="49">
        <f>IF(OR(ISNUMBER(SEARCH("Excluded", CRC_War_Room_SIMs[[#This Row],[Labels]])), ISNUMBER(SEARCH("Quality", CRC_War_Room_SIMs[[#This Row],[Data Status]])), ISNUMBER(SEARCH("Exception", CRC_War_Room_SIMs[[#This Row],[Data Status]]))), 1, 0)</f>
        <v>1</v>
      </c>
      <c r="K96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6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68" s="50">
        <f>IF(AND(CRC_War_Room_SIMs[[#This Row],[CI]] = 0, CRC_War_Room_SIMs[[#This Row],[Miss]] = 1), 1, 0)</f>
        <v>0</v>
      </c>
      <c r="N96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68" s="49">
        <f>IF(AND(CRC_War_Room_SIMs[[#This Row],[Excluded]] = 0, OR(CRC_War_Room_SIMs[[#This Row],[False Resolution Miss]] &lt;&gt; "", ISNUMBER(SEARCH("False Resolution", CRC_War_Room_SIMs[[#This Row],[Labels]])))), 1, 0)</f>
        <v>0</v>
      </c>
      <c r="P968" s="50">
        <f>IF(AND(CRC_War_Room_SIMs[[#This Row],[Excluded]] = 0, OR(CRC_War_Room_SIMs[[#This Row],[SLA Miss]] &lt;&gt; "", ISNUMBER(SEARCH("SLA", CRC_War_Room_SIMs[[#This Row],[Labels]])))), 1, 0)</f>
        <v>0</v>
      </c>
    </row>
    <row r="969" spans="1:16" x14ac:dyDescent="0.25">
      <c r="A969" t="s">
        <v>3599</v>
      </c>
      <c r="B969" t="s">
        <v>3600</v>
      </c>
      <c r="C969" t="s">
        <v>3601</v>
      </c>
      <c r="E969" t="s">
        <v>2473</v>
      </c>
      <c r="H96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969" s="49">
        <f ca="1">IFERROR(WEEKNUM(CRC_War_Room_SIMs[[#This Row],[Ops Date]]), "N/A")</f>
        <v>29</v>
      </c>
      <c r="J96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6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96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969" s="50">
        <f>IF(AND(CRC_War_Room_SIMs[[#This Row],[CI]] = 0, CRC_War_Room_SIMs[[#This Row],[Miss]] = 1), 1, 0)</f>
        <v>0</v>
      </c>
      <c r="N969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969" s="49">
        <f>IF(AND(CRC_War_Room_SIMs[[#This Row],[Excluded]] = 0, OR(CRC_War_Room_SIMs[[#This Row],[False Resolution Miss]] &lt;&gt; "", ISNUMBER(SEARCH("False Resolution", CRC_War_Room_SIMs[[#This Row],[Labels]])))), 1, 0)</f>
        <v>0</v>
      </c>
      <c r="P969" s="50">
        <f>IF(AND(CRC_War_Room_SIMs[[#This Row],[Excluded]] = 0, OR(CRC_War_Room_SIMs[[#This Row],[SLA Miss]] &lt;&gt; "", ISNUMBER(SEARCH("SLA", CRC_War_Room_SIMs[[#This Row],[Labels]])))), 1, 0)</f>
        <v>0</v>
      </c>
    </row>
    <row r="970" spans="1:16" x14ac:dyDescent="0.25">
      <c r="A970" t="s">
        <v>3602</v>
      </c>
      <c r="B970" t="s">
        <v>3603</v>
      </c>
      <c r="C970" t="s">
        <v>3601</v>
      </c>
      <c r="E970" t="s">
        <v>3569</v>
      </c>
      <c r="H97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970" s="49">
        <f ca="1">IFERROR(WEEKNUM(CRC_War_Room_SIMs[[#This Row],[Ops Date]]), "N/A")</f>
        <v>29</v>
      </c>
      <c r="J97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7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97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970" s="50">
        <f>IF(AND(CRC_War_Room_SIMs[[#This Row],[CI]] = 0, CRC_War_Room_SIMs[[#This Row],[Miss]] = 1), 1, 0)</f>
        <v>0</v>
      </c>
      <c r="N970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970" s="49">
        <f>IF(AND(CRC_War_Room_SIMs[[#This Row],[Excluded]] = 0, OR(CRC_War_Room_SIMs[[#This Row],[False Resolution Miss]] &lt;&gt; "", ISNUMBER(SEARCH("False Resolution", CRC_War_Room_SIMs[[#This Row],[Labels]])))), 1, 0)</f>
        <v>0</v>
      </c>
      <c r="P970" s="50">
        <f>IF(AND(CRC_War_Room_SIMs[[#This Row],[Excluded]] = 0, OR(CRC_War_Room_SIMs[[#This Row],[SLA Miss]] &lt;&gt; "", ISNUMBER(SEARCH("SLA", CRC_War_Room_SIMs[[#This Row],[Labels]])))), 1, 0)</f>
        <v>0</v>
      </c>
    </row>
    <row r="971" spans="1:16" x14ac:dyDescent="0.25">
      <c r="A971" t="s">
        <v>3604</v>
      </c>
      <c r="B971" t="s">
        <v>3605</v>
      </c>
      <c r="C971" t="s">
        <v>3601</v>
      </c>
      <c r="E971" t="s">
        <v>2898</v>
      </c>
      <c r="H97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971" s="49">
        <f ca="1">IFERROR(WEEKNUM(CRC_War_Room_SIMs[[#This Row],[Ops Date]]), "N/A")</f>
        <v>29</v>
      </c>
      <c r="J97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7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97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971" s="50">
        <f>IF(AND(CRC_War_Room_SIMs[[#This Row],[CI]] = 0, CRC_War_Room_SIMs[[#This Row],[Miss]] = 1), 1, 0)</f>
        <v>0</v>
      </c>
      <c r="N971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971" s="49">
        <f>IF(AND(CRC_War_Room_SIMs[[#This Row],[Excluded]] = 0, OR(CRC_War_Room_SIMs[[#This Row],[False Resolution Miss]] &lt;&gt; "", ISNUMBER(SEARCH("False Resolution", CRC_War_Room_SIMs[[#This Row],[Labels]])))), 1, 0)</f>
        <v>0</v>
      </c>
      <c r="P971" s="50">
        <f>IF(AND(CRC_War_Room_SIMs[[#This Row],[Excluded]] = 0, OR(CRC_War_Room_SIMs[[#This Row],[SLA Miss]] &lt;&gt; "", ISNUMBER(SEARCH("SLA", CRC_War_Room_SIMs[[#This Row],[Labels]])))), 1, 0)</f>
        <v>0</v>
      </c>
    </row>
    <row r="972" spans="1:16" x14ac:dyDescent="0.25">
      <c r="A972" t="s">
        <v>3606</v>
      </c>
      <c r="B972" t="s">
        <v>3607</v>
      </c>
      <c r="C972" t="s">
        <v>3601</v>
      </c>
      <c r="H97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972" s="49">
        <f ca="1">IFERROR(WEEKNUM(CRC_War_Room_SIMs[[#This Row],[Ops Date]]), "N/A")</f>
        <v>29</v>
      </c>
      <c r="J97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7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97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972" s="50">
        <f>IF(AND(CRC_War_Room_SIMs[[#This Row],[CI]] = 0, CRC_War_Room_SIMs[[#This Row],[Miss]] = 1), 1, 0)</f>
        <v>0</v>
      </c>
      <c r="N97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72" s="49">
        <f>IF(AND(CRC_War_Room_SIMs[[#This Row],[Excluded]] = 0, OR(CRC_War_Room_SIMs[[#This Row],[False Resolution Miss]] &lt;&gt; "", ISNUMBER(SEARCH("False Resolution", CRC_War_Room_SIMs[[#This Row],[Labels]])))), 1, 0)</f>
        <v>0</v>
      </c>
      <c r="P972" s="50">
        <f>IF(AND(CRC_War_Room_SIMs[[#This Row],[Excluded]] = 0, OR(CRC_War_Room_SIMs[[#This Row],[SLA Miss]] &lt;&gt; "", ISNUMBER(SEARCH("SLA", CRC_War_Room_SIMs[[#This Row],[Labels]])))), 1, 0)</f>
        <v>0</v>
      </c>
    </row>
    <row r="973" spans="1:16" x14ac:dyDescent="0.25">
      <c r="A973" t="s">
        <v>3608</v>
      </c>
      <c r="B973" t="s">
        <v>3609</v>
      </c>
      <c r="C973" t="s">
        <v>3610</v>
      </c>
      <c r="H97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73" s="49">
        <f ca="1">IFERROR(WEEKNUM(CRC_War_Room_SIMs[[#This Row],[Ops Date]]), "N/A")</f>
        <v>29</v>
      </c>
      <c r="J97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7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7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73" s="50">
        <f>IF(AND(CRC_War_Room_SIMs[[#This Row],[CI]] = 0, CRC_War_Room_SIMs[[#This Row],[Miss]] = 1), 1, 0)</f>
        <v>0</v>
      </c>
      <c r="N97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73" s="49">
        <f>IF(AND(CRC_War_Room_SIMs[[#This Row],[Excluded]] = 0, OR(CRC_War_Room_SIMs[[#This Row],[False Resolution Miss]] &lt;&gt; "", ISNUMBER(SEARCH("False Resolution", CRC_War_Room_SIMs[[#This Row],[Labels]])))), 1, 0)</f>
        <v>0</v>
      </c>
      <c r="P973" s="50">
        <f>IF(AND(CRC_War_Room_SIMs[[#This Row],[Excluded]] = 0, OR(CRC_War_Room_SIMs[[#This Row],[SLA Miss]] &lt;&gt; "", ISNUMBER(SEARCH("SLA", CRC_War_Room_SIMs[[#This Row],[Labels]])))), 1, 0)</f>
        <v>0</v>
      </c>
    </row>
    <row r="974" spans="1:16" x14ac:dyDescent="0.25">
      <c r="A974" t="s">
        <v>3611</v>
      </c>
      <c r="B974" t="s">
        <v>3612</v>
      </c>
      <c r="C974" t="s">
        <v>3610</v>
      </c>
      <c r="H97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74" s="49">
        <f ca="1">IFERROR(WEEKNUM(CRC_War_Room_SIMs[[#This Row],[Ops Date]]), "N/A")</f>
        <v>29</v>
      </c>
      <c r="J97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7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7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74" s="50">
        <f>IF(AND(CRC_War_Room_SIMs[[#This Row],[CI]] = 0, CRC_War_Room_SIMs[[#This Row],[Miss]] = 1), 1, 0)</f>
        <v>0</v>
      </c>
      <c r="N97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74" s="49">
        <f>IF(AND(CRC_War_Room_SIMs[[#This Row],[Excluded]] = 0, OR(CRC_War_Room_SIMs[[#This Row],[False Resolution Miss]] &lt;&gt; "", ISNUMBER(SEARCH("False Resolution", CRC_War_Room_SIMs[[#This Row],[Labels]])))), 1, 0)</f>
        <v>0</v>
      </c>
      <c r="P974" s="50">
        <f>IF(AND(CRC_War_Room_SIMs[[#This Row],[Excluded]] = 0, OR(CRC_War_Room_SIMs[[#This Row],[SLA Miss]] &lt;&gt; "", ISNUMBER(SEARCH("SLA", CRC_War_Room_SIMs[[#This Row],[Labels]])))), 1, 0)</f>
        <v>0</v>
      </c>
    </row>
    <row r="975" spans="1:16" x14ac:dyDescent="0.25">
      <c r="A975" t="s">
        <v>3613</v>
      </c>
      <c r="B975" t="s">
        <v>3614</v>
      </c>
      <c r="C975" t="s">
        <v>3610</v>
      </c>
      <c r="H97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75" s="49">
        <f ca="1">IFERROR(WEEKNUM(CRC_War_Room_SIMs[[#This Row],[Ops Date]]), "N/A")</f>
        <v>29</v>
      </c>
      <c r="J97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7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7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75" s="50">
        <f>IF(AND(CRC_War_Room_SIMs[[#This Row],[CI]] = 0, CRC_War_Room_SIMs[[#This Row],[Miss]] = 1), 1, 0)</f>
        <v>0</v>
      </c>
      <c r="N97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75" s="49">
        <f>IF(AND(CRC_War_Room_SIMs[[#This Row],[Excluded]] = 0, OR(CRC_War_Room_SIMs[[#This Row],[False Resolution Miss]] &lt;&gt; "", ISNUMBER(SEARCH("False Resolution", CRC_War_Room_SIMs[[#This Row],[Labels]])))), 1, 0)</f>
        <v>0</v>
      </c>
      <c r="P975" s="50">
        <f>IF(AND(CRC_War_Room_SIMs[[#This Row],[Excluded]] = 0, OR(CRC_War_Room_SIMs[[#This Row],[SLA Miss]] &lt;&gt; "", ISNUMBER(SEARCH("SLA", CRC_War_Room_SIMs[[#This Row],[Labels]])))), 1, 0)</f>
        <v>0</v>
      </c>
    </row>
    <row r="976" spans="1:16" x14ac:dyDescent="0.25">
      <c r="A976" t="s">
        <v>3615</v>
      </c>
      <c r="B976" t="s">
        <v>3616</v>
      </c>
      <c r="C976" t="s">
        <v>3610</v>
      </c>
      <c r="H97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76" s="49">
        <f ca="1">IFERROR(WEEKNUM(CRC_War_Room_SIMs[[#This Row],[Ops Date]]), "N/A")</f>
        <v>29</v>
      </c>
      <c r="J97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7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7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76" s="50">
        <f>IF(AND(CRC_War_Room_SIMs[[#This Row],[CI]] = 0, CRC_War_Room_SIMs[[#This Row],[Miss]] = 1), 1, 0)</f>
        <v>0</v>
      </c>
      <c r="N97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76" s="49">
        <f>IF(AND(CRC_War_Room_SIMs[[#This Row],[Excluded]] = 0, OR(CRC_War_Room_SIMs[[#This Row],[False Resolution Miss]] &lt;&gt; "", ISNUMBER(SEARCH("False Resolution", CRC_War_Room_SIMs[[#This Row],[Labels]])))), 1, 0)</f>
        <v>0</v>
      </c>
      <c r="P976" s="50">
        <f>IF(AND(CRC_War_Room_SIMs[[#This Row],[Excluded]] = 0, OR(CRC_War_Room_SIMs[[#This Row],[SLA Miss]] &lt;&gt; "", ISNUMBER(SEARCH("SLA", CRC_War_Room_SIMs[[#This Row],[Labels]])))), 1, 0)</f>
        <v>0</v>
      </c>
    </row>
    <row r="977" spans="1:16" x14ac:dyDescent="0.25">
      <c r="A977" t="s">
        <v>3617</v>
      </c>
      <c r="B977" t="s">
        <v>3616</v>
      </c>
      <c r="C977" t="s">
        <v>3610</v>
      </c>
      <c r="H97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77" s="49">
        <f ca="1">IFERROR(WEEKNUM(CRC_War_Room_SIMs[[#This Row],[Ops Date]]), "N/A")</f>
        <v>29</v>
      </c>
      <c r="J97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7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7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77" s="50">
        <f>IF(AND(CRC_War_Room_SIMs[[#This Row],[CI]] = 0, CRC_War_Room_SIMs[[#This Row],[Miss]] = 1), 1, 0)</f>
        <v>0</v>
      </c>
      <c r="N97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77" s="49">
        <f>IF(AND(CRC_War_Room_SIMs[[#This Row],[Excluded]] = 0, OR(CRC_War_Room_SIMs[[#This Row],[False Resolution Miss]] &lt;&gt; "", ISNUMBER(SEARCH("False Resolution", CRC_War_Room_SIMs[[#This Row],[Labels]])))), 1, 0)</f>
        <v>0</v>
      </c>
      <c r="P977" s="50">
        <f>IF(AND(CRC_War_Room_SIMs[[#This Row],[Excluded]] = 0, OR(CRC_War_Room_SIMs[[#This Row],[SLA Miss]] &lt;&gt; "", ISNUMBER(SEARCH("SLA", CRC_War_Room_SIMs[[#This Row],[Labels]])))), 1, 0)</f>
        <v>0</v>
      </c>
    </row>
    <row r="978" spans="1:16" x14ac:dyDescent="0.25">
      <c r="A978" t="s">
        <v>3618</v>
      </c>
      <c r="B978" t="s">
        <v>3616</v>
      </c>
      <c r="C978" t="s">
        <v>3610</v>
      </c>
      <c r="H97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78" s="49">
        <f ca="1">IFERROR(WEEKNUM(CRC_War_Room_SIMs[[#This Row],[Ops Date]]), "N/A")</f>
        <v>29</v>
      </c>
      <c r="J97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7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7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78" s="50">
        <f>IF(AND(CRC_War_Room_SIMs[[#This Row],[CI]] = 0, CRC_War_Room_SIMs[[#This Row],[Miss]] = 1), 1, 0)</f>
        <v>0</v>
      </c>
      <c r="N97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78" s="49">
        <f>IF(AND(CRC_War_Room_SIMs[[#This Row],[Excluded]] = 0, OR(CRC_War_Room_SIMs[[#This Row],[False Resolution Miss]] &lt;&gt; "", ISNUMBER(SEARCH("False Resolution", CRC_War_Room_SIMs[[#This Row],[Labels]])))), 1, 0)</f>
        <v>0</v>
      </c>
      <c r="P978" s="50">
        <f>IF(AND(CRC_War_Room_SIMs[[#This Row],[Excluded]] = 0, OR(CRC_War_Room_SIMs[[#This Row],[SLA Miss]] &lt;&gt; "", ISNUMBER(SEARCH("SLA", CRC_War_Room_SIMs[[#This Row],[Labels]])))), 1, 0)</f>
        <v>0</v>
      </c>
    </row>
    <row r="979" spans="1:16" x14ac:dyDescent="0.25">
      <c r="A979" t="s">
        <v>3619</v>
      </c>
      <c r="B979" t="s">
        <v>3303</v>
      </c>
      <c r="C979" t="s">
        <v>3610</v>
      </c>
      <c r="H97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79" s="49">
        <f ca="1">IFERROR(WEEKNUM(CRC_War_Room_SIMs[[#This Row],[Ops Date]]), "N/A")</f>
        <v>29</v>
      </c>
      <c r="J97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7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7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79" s="50">
        <f>IF(AND(CRC_War_Room_SIMs[[#This Row],[CI]] = 0, CRC_War_Room_SIMs[[#This Row],[Miss]] = 1), 1, 0)</f>
        <v>0</v>
      </c>
      <c r="N97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79" s="49">
        <f>IF(AND(CRC_War_Room_SIMs[[#This Row],[Excluded]] = 0, OR(CRC_War_Room_SIMs[[#This Row],[False Resolution Miss]] &lt;&gt; "", ISNUMBER(SEARCH("False Resolution", CRC_War_Room_SIMs[[#This Row],[Labels]])))), 1, 0)</f>
        <v>0</v>
      </c>
      <c r="P979" s="50">
        <f>IF(AND(CRC_War_Room_SIMs[[#This Row],[Excluded]] = 0, OR(CRC_War_Room_SIMs[[#This Row],[SLA Miss]] &lt;&gt; "", ISNUMBER(SEARCH("SLA", CRC_War_Room_SIMs[[#This Row],[Labels]])))), 1, 0)</f>
        <v>0</v>
      </c>
    </row>
    <row r="980" spans="1:16" x14ac:dyDescent="0.25">
      <c r="A980" t="s">
        <v>3620</v>
      </c>
      <c r="B980" t="s">
        <v>3303</v>
      </c>
      <c r="C980" t="s">
        <v>3610</v>
      </c>
      <c r="H98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80" s="49">
        <f ca="1">IFERROR(WEEKNUM(CRC_War_Room_SIMs[[#This Row],[Ops Date]]), "N/A")</f>
        <v>29</v>
      </c>
      <c r="J98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8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8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80" s="50">
        <f>IF(AND(CRC_War_Room_SIMs[[#This Row],[CI]] = 0, CRC_War_Room_SIMs[[#This Row],[Miss]] = 1), 1, 0)</f>
        <v>0</v>
      </c>
      <c r="N98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80" s="49">
        <f>IF(AND(CRC_War_Room_SIMs[[#This Row],[Excluded]] = 0, OR(CRC_War_Room_SIMs[[#This Row],[False Resolution Miss]] &lt;&gt; "", ISNUMBER(SEARCH("False Resolution", CRC_War_Room_SIMs[[#This Row],[Labels]])))), 1, 0)</f>
        <v>0</v>
      </c>
      <c r="P980" s="50">
        <f>IF(AND(CRC_War_Room_SIMs[[#This Row],[Excluded]] = 0, OR(CRC_War_Room_SIMs[[#This Row],[SLA Miss]] &lt;&gt; "", ISNUMBER(SEARCH("SLA", CRC_War_Room_SIMs[[#This Row],[Labels]])))), 1, 0)</f>
        <v>0</v>
      </c>
    </row>
    <row r="981" spans="1:16" x14ac:dyDescent="0.25">
      <c r="A981" t="s">
        <v>3621</v>
      </c>
      <c r="B981" t="s">
        <v>3622</v>
      </c>
      <c r="C981" t="s">
        <v>3610</v>
      </c>
      <c r="H98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81" s="49">
        <f ca="1">IFERROR(WEEKNUM(CRC_War_Room_SIMs[[#This Row],[Ops Date]]), "N/A")</f>
        <v>29</v>
      </c>
      <c r="J98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8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8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81" s="50">
        <f>IF(AND(CRC_War_Room_SIMs[[#This Row],[CI]] = 0, CRC_War_Room_SIMs[[#This Row],[Miss]] = 1), 1, 0)</f>
        <v>0</v>
      </c>
      <c r="N98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81" s="49">
        <f>IF(AND(CRC_War_Room_SIMs[[#This Row],[Excluded]] = 0, OR(CRC_War_Room_SIMs[[#This Row],[False Resolution Miss]] &lt;&gt; "", ISNUMBER(SEARCH("False Resolution", CRC_War_Room_SIMs[[#This Row],[Labels]])))), 1, 0)</f>
        <v>0</v>
      </c>
      <c r="P981" s="50">
        <f>IF(AND(CRC_War_Room_SIMs[[#This Row],[Excluded]] = 0, OR(CRC_War_Room_SIMs[[#This Row],[SLA Miss]] &lt;&gt; "", ISNUMBER(SEARCH("SLA", CRC_War_Room_SIMs[[#This Row],[Labels]])))), 1, 0)</f>
        <v>0</v>
      </c>
    </row>
    <row r="982" spans="1:16" x14ac:dyDescent="0.25">
      <c r="A982" t="s">
        <v>3623</v>
      </c>
      <c r="B982" t="s">
        <v>3622</v>
      </c>
      <c r="C982" t="s">
        <v>3610</v>
      </c>
      <c r="H98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82" s="49">
        <f ca="1">IFERROR(WEEKNUM(CRC_War_Room_SIMs[[#This Row],[Ops Date]]), "N/A")</f>
        <v>29</v>
      </c>
      <c r="J98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8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8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82" s="50">
        <f>IF(AND(CRC_War_Room_SIMs[[#This Row],[CI]] = 0, CRC_War_Room_SIMs[[#This Row],[Miss]] = 1), 1, 0)</f>
        <v>0</v>
      </c>
      <c r="N98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82" s="49">
        <f>IF(AND(CRC_War_Room_SIMs[[#This Row],[Excluded]] = 0, OR(CRC_War_Room_SIMs[[#This Row],[False Resolution Miss]] &lt;&gt; "", ISNUMBER(SEARCH("False Resolution", CRC_War_Room_SIMs[[#This Row],[Labels]])))), 1, 0)</f>
        <v>0</v>
      </c>
      <c r="P982" s="50">
        <f>IF(AND(CRC_War_Room_SIMs[[#This Row],[Excluded]] = 0, OR(CRC_War_Room_SIMs[[#This Row],[SLA Miss]] &lt;&gt; "", ISNUMBER(SEARCH("SLA", CRC_War_Room_SIMs[[#This Row],[Labels]])))), 1, 0)</f>
        <v>0</v>
      </c>
    </row>
    <row r="983" spans="1:16" x14ac:dyDescent="0.25">
      <c r="A983" t="s">
        <v>3624</v>
      </c>
      <c r="B983" t="s">
        <v>3622</v>
      </c>
      <c r="C983" t="s">
        <v>3610</v>
      </c>
      <c r="H98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83" s="49">
        <f ca="1">IFERROR(WEEKNUM(CRC_War_Room_SIMs[[#This Row],[Ops Date]]), "N/A")</f>
        <v>29</v>
      </c>
      <c r="J98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8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8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83" s="50">
        <f>IF(AND(CRC_War_Room_SIMs[[#This Row],[CI]] = 0, CRC_War_Room_SIMs[[#This Row],[Miss]] = 1), 1, 0)</f>
        <v>0</v>
      </c>
      <c r="N98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83" s="49">
        <f>IF(AND(CRC_War_Room_SIMs[[#This Row],[Excluded]] = 0, OR(CRC_War_Room_SIMs[[#This Row],[False Resolution Miss]] &lt;&gt; "", ISNUMBER(SEARCH("False Resolution", CRC_War_Room_SIMs[[#This Row],[Labels]])))), 1, 0)</f>
        <v>0</v>
      </c>
      <c r="P983" s="50">
        <f>IF(AND(CRC_War_Room_SIMs[[#This Row],[Excluded]] = 0, OR(CRC_War_Room_SIMs[[#This Row],[SLA Miss]] &lt;&gt; "", ISNUMBER(SEARCH("SLA", CRC_War_Room_SIMs[[#This Row],[Labels]])))), 1, 0)</f>
        <v>0</v>
      </c>
    </row>
    <row r="984" spans="1:16" x14ac:dyDescent="0.25">
      <c r="A984" t="s">
        <v>3625</v>
      </c>
      <c r="B984" t="s">
        <v>3622</v>
      </c>
      <c r="C984" t="s">
        <v>3610</v>
      </c>
      <c r="H98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84" s="49">
        <f ca="1">IFERROR(WEEKNUM(CRC_War_Room_SIMs[[#This Row],[Ops Date]]), "N/A")</f>
        <v>29</v>
      </c>
      <c r="J98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8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8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84" s="50">
        <f>IF(AND(CRC_War_Room_SIMs[[#This Row],[CI]] = 0, CRC_War_Room_SIMs[[#This Row],[Miss]] = 1), 1, 0)</f>
        <v>0</v>
      </c>
      <c r="N98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84" s="49">
        <f>IF(AND(CRC_War_Room_SIMs[[#This Row],[Excluded]] = 0, OR(CRC_War_Room_SIMs[[#This Row],[False Resolution Miss]] &lt;&gt; "", ISNUMBER(SEARCH("False Resolution", CRC_War_Room_SIMs[[#This Row],[Labels]])))), 1, 0)</f>
        <v>0</v>
      </c>
      <c r="P984" s="50">
        <f>IF(AND(CRC_War_Room_SIMs[[#This Row],[Excluded]] = 0, OR(CRC_War_Room_SIMs[[#This Row],[SLA Miss]] &lt;&gt; "", ISNUMBER(SEARCH("SLA", CRC_War_Room_SIMs[[#This Row],[Labels]])))), 1, 0)</f>
        <v>0</v>
      </c>
    </row>
    <row r="985" spans="1:16" x14ac:dyDescent="0.25">
      <c r="A985" t="s">
        <v>3626</v>
      </c>
      <c r="B985" t="s">
        <v>3622</v>
      </c>
      <c r="C985" t="s">
        <v>3610</v>
      </c>
      <c r="H98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85" s="49">
        <f ca="1">IFERROR(WEEKNUM(CRC_War_Room_SIMs[[#This Row],[Ops Date]]), "N/A")</f>
        <v>29</v>
      </c>
      <c r="J98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8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8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85" s="50">
        <f>IF(AND(CRC_War_Room_SIMs[[#This Row],[CI]] = 0, CRC_War_Room_SIMs[[#This Row],[Miss]] = 1), 1, 0)</f>
        <v>0</v>
      </c>
      <c r="N98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85" s="49">
        <f>IF(AND(CRC_War_Room_SIMs[[#This Row],[Excluded]] = 0, OR(CRC_War_Room_SIMs[[#This Row],[False Resolution Miss]] &lt;&gt; "", ISNUMBER(SEARCH("False Resolution", CRC_War_Room_SIMs[[#This Row],[Labels]])))), 1, 0)</f>
        <v>0</v>
      </c>
      <c r="P985" s="50">
        <f>IF(AND(CRC_War_Room_SIMs[[#This Row],[Excluded]] = 0, OR(CRC_War_Room_SIMs[[#This Row],[SLA Miss]] &lt;&gt; "", ISNUMBER(SEARCH("SLA", CRC_War_Room_SIMs[[#This Row],[Labels]])))), 1, 0)</f>
        <v>0</v>
      </c>
    </row>
    <row r="986" spans="1:16" x14ac:dyDescent="0.25">
      <c r="A986" t="s">
        <v>3627</v>
      </c>
      <c r="B986" t="s">
        <v>3622</v>
      </c>
      <c r="C986" t="s">
        <v>3610</v>
      </c>
      <c r="H98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86" s="49">
        <f ca="1">IFERROR(WEEKNUM(CRC_War_Room_SIMs[[#This Row],[Ops Date]]), "N/A")</f>
        <v>29</v>
      </c>
      <c r="J98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8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8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86" s="50">
        <f>IF(AND(CRC_War_Room_SIMs[[#This Row],[CI]] = 0, CRC_War_Room_SIMs[[#This Row],[Miss]] = 1), 1, 0)</f>
        <v>0</v>
      </c>
      <c r="N98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86" s="49">
        <f>IF(AND(CRC_War_Room_SIMs[[#This Row],[Excluded]] = 0, OR(CRC_War_Room_SIMs[[#This Row],[False Resolution Miss]] &lt;&gt; "", ISNUMBER(SEARCH("False Resolution", CRC_War_Room_SIMs[[#This Row],[Labels]])))), 1, 0)</f>
        <v>0</v>
      </c>
      <c r="P986" s="50">
        <f>IF(AND(CRC_War_Room_SIMs[[#This Row],[Excluded]] = 0, OR(CRC_War_Room_SIMs[[#This Row],[SLA Miss]] &lt;&gt; "", ISNUMBER(SEARCH("SLA", CRC_War_Room_SIMs[[#This Row],[Labels]])))), 1, 0)</f>
        <v>0</v>
      </c>
    </row>
    <row r="987" spans="1:16" x14ac:dyDescent="0.25">
      <c r="A987" t="s">
        <v>3628</v>
      </c>
      <c r="B987" t="s">
        <v>3609</v>
      </c>
      <c r="C987" t="s">
        <v>3610</v>
      </c>
      <c r="H98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87" s="49">
        <f ca="1">IFERROR(WEEKNUM(CRC_War_Room_SIMs[[#This Row],[Ops Date]]), "N/A")</f>
        <v>29</v>
      </c>
      <c r="J98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8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8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87" s="50">
        <f>IF(AND(CRC_War_Room_SIMs[[#This Row],[CI]] = 0, CRC_War_Room_SIMs[[#This Row],[Miss]] = 1), 1, 0)</f>
        <v>0</v>
      </c>
      <c r="N98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87" s="49">
        <f>IF(AND(CRC_War_Room_SIMs[[#This Row],[Excluded]] = 0, OR(CRC_War_Room_SIMs[[#This Row],[False Resolution Miss]] &lt;&gt; "", ISNUMBER(SEARCH("False Resolution", CRC_War_Room_SIMs[[#This Row],[Labels]])))), 1, 0)</f>
        <v>0</v>
      </c>
      <c r="P987" s="50">
        <f>IF(AND(CRC_War_Room_SIMs[[#This Row],[Excluded]] = 0, OR(CRC_War_Room_SIMs[[#This Row],[SLA Miss]] &lt;&gt; "", ISNUMBER(SEARCH("SLA", CRC_War_Room_SIMs[[#This Row],[Labels]])))), 1, 0)</f>
        <v>0</v>
      </c>
    </row>
    <row r="988" spans="1:16" x14ac:dyDescent="0.25">
      <c r="A988" t="s">
        <v>3629</v>
      </c>
      <c r="B988" t="s">
        <v>3609</v>
      </c>
      <c r="C988" t="s">
        <v>3610</v>
      </c>
      <c r="H98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88" s="49">
        <f ca="1">IFERROR(WEEKNUM(CRC_War_Room_SIMs[[#This Row],[Ops Date]]), "N/A")</f>
        <v>29</v>
      </c>
      <c r="J98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8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8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88" s="50">
        <f>IF(AND(CRC_War_Room_SIMs[[#This Row],[CI]] = 0, CRC_War_Room_SIMs[[#This Row],[Miss]] = 1), 1, 0)</f>
        <v>0</v>
      </c>
      <c r="N98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88" s="49">
        <f>IF(AND(CRC_War_Room_SIMs[[#This Row],[Excluded]] = 0, OR(CRC_War_Room_SIMs[[#This Row],[False Resolution Miss]] &lt;&gt; "", ISNUMBER(SEARCH("False Resolution", CRC_War_Room_SIMs[[#This Row],[Labels]])))), 1, 0)</f>
        <v>0</v>
      </c>
      <c r="P988" s="50">
        <f>IF(AND(CRC_War_Room_SIMs[[#This Row],[Excluded]] = 0, OR(CRC_War_Room_SIMs[[#This Row],[SLA Miss]] &lt;&gt; "", ISNUMBER(SEARCH("SLA", CRC_War_Room_SIMs[[#This Row],[Labels]])))), 1, 0)</f>
        <v>0</v>
      </c>
    </row>
    <row r="989" spans="1:16" x14ac:dyDescent="0.25">
      <c r="A989" t="s">
        <v>3630</v>
      </c>
      <c r="B989" t="s">
        <v>3609</v>
      </c>
      <c r="C989" t="s">
        <v>3610</v>
      </c>
      <c r="H98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89" s="49">
        <f ca="1">IFERROR(WEEKNUM(CRC_War_Room_SIMs[[#This Row],[Ops Date]]), "N/A")</f>
        <v>29</v>
      </c>
      <c r="J98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8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8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89" s="50">
        <f>IF(AND(CRC_War_Room_SIMs[[#This Row],[CI]] = 0, CRC_War_Room_SIMs[[#This Row],[Miss]] = 1), 1, 0)</f>
        <v>0</v>
      </c>
      <c r="N98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89" s="49">
        <f>IF(AND(CRC_War_Room_SIMs[[#This Row],[Excluded]] = 0, OR(CRC_War_Room_SIMs[[#This Row],[False Resolution Miss]] &lt;&gt; "", ISNUMBER(SEARCH("False Resolution", CRC_War_Room_SIMs[[#This Row],[Labels]])))), 1, 0)</f>
        <v>0</v>
      </c>
      <c r="P989" s="50">
        <f>IF(AND(CRC_War_Room_SIMs[[#This Row],[Excluded]] = 0, OR(CRC_War_Room_SIMs[[#This Row],[SLA Miss]] &lt;&gt; "", ISNUMBER(SEARCH("SLA", CRC_War_Room_SIMs[[#This Row],[Labels]])))), 1, 0)</f>
        <v>0</v>
      </c>
    </row>
    <row r="990" spans="1:16" x14ac:dyDescent="0.25">
      <c r="A990" t="s">
        <v>3631</v>
      </c>
      <c r="B990" t="s">
        <v>3609</v>
      </c>
      <c r="C990" t="s">
        <v>3610</v>
      </c>
      <c r="H99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90" s="49">
        <f ca="1">IFERROR(WEEKNUM(CRC_War_Room_SIMs[[#This Row],[Ops Date]]), "N/A")</f>
        <v>29</v>
      </c>
      <c r="J99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9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9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90" s="50">
        <f>IF(AND(CRC_War_Room_SIMs[[#This Row],[CI]] = 0, CRC_War_Room_SIMs[[#This Row],[Miss]] = 1), 1, 0)</f>
        <v>0</v>
      </c>
      <c r="N99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90" s="49">
        <f>IF(AND(CRC_War_Room_SIMs[[#This Row],[Excluded]] = 0, OR(CRC_War_Room_SIMs[[#This Row],[False Resolution Miss]] &lt;&gt; "", ISNUMBER(SEARCH("False Resolution", CRC_War_Room_SIMs[[#This Row],[Labels]])))), 1, 0)</f>
        <v>0</v>
      </c>
      <c r="P990" s="50">
        <f>IF(AND(CRC_War_Room_SIMs[[#This Row],[Excluded]] = 0, OR(CRC_War_Room_SIMs[[#This Row],[SLA Miss]] &lt;&gt; "", ISNUMBER(SEARCH("SLA", CRC_War_Room_SIMs[[#This Row],[Labels]])))), 1, 0)</f>
        <v>0</v>
      </c>
    </row>
    <row r="991" spans="1:16" x14ac:dyDescent="0.25">
      <c r="A991" t="s">
        <v>3632</v>
      </c>
      <c r="B991" t="s">
        <v>3609</v>
      </c>
      <c r="C991" t="s">
        <v>3610</v>
      </c>
      <c r="H99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91" s="49">
        <f ca="1">IFERROR(WEEKNUM(CRC_War_Room_SIMs[[#This Row],[Ops Date]]), "N/A")</f>
        <v>29</v>
      </c>
      <c r="J99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9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9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91" s="50">
        <f>IF(AND(CRC_War_Room_SIMs[[#This Row],[CI]] = 0, CRC_War_Room_SIMs[[#This Row],[Miss]] = 1), 1, 0)</f>
        <v>0</v>
      </c>
      <c r="N99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91" s="49">
        <f>IF(AND(CRC_War_Room_SIMs[[#This Row],[Excluded]] = 0, OR(CRC_War_Room_SIMs[[#This Row],[False Resolution Miss]] &lt;&gt; "", ISNUMBER(SEARCH("False Resolution", CRC_War_Room_SIMs[[#This Row],[Labels]])))), 1, 0)</f>
        <v>0</v>
      </c>
      <c r="P991" s="50">
        <f>IF(AND(CRC_War_Room_SIMs[[#This Row],[Excluded]] = 0, OR(CRC_War_Room_SIMs[[#This Row],[SLA Miss]] &lt;&gt; "", ISNUMBER(SEARCH("SLA", CRC_War_Room_SIMs[[#This Row],[Labels]])))), 1, 0)</f>
        <v>0</v>
      </c>
    </row>
    <row r="992" spans="1:16" x14ac:dyDescent="0.25">
      <c r="A992" t="s">
        <v>3633</v>
      </c>
      <c r="B992" t="s">
        <v>3609</v>
      </c>
      <c r="C992" t="s">
        <v>3610</v>
      </c>
      <c r="H99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92" s="49">
        <f ca="1">IFERROR(WEEKNUM(CRC_War_Room_SIMs[[#This Row],[Ops Date]]), "N/A")</f>
        <v>29</v>
      </c>
      <c r="J99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9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9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92" s="50">
        <f>IF(AND(CRC_War_Room_SIMs[[#This Row],[CI]] = 0, CRC_War_Room_SIMs[[#This Row],[Miss]] = 1), 1, 0)</f>
        <v>0</v>
      </c>
      <c r="N99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92" s="49">
        <f>IF(AND(CRC_War_Room_SIMs[[#This Row],[Excluded]] = 0, OR(CRC_War_Room_SIMs[[#This Row],[False Resolution Miss]] &lt;&gt; "", ISNUMBER(SEARCH("False Resolution", CRC_War_Room_SIMs[[#This Row],[Labels]])))), 1, 0)</f>
        <v>0</v>
      </c>
      <c r="P992" s="50">
        <f>IF(AND(CRC_War_Room_SIMs[[#This Row],[Excluded]] = 0, OR(CRC_War_Room_SIMs[[#This Row],[SLA Miss]] &lt;&gt; "", ISNUMBER(SEARCH("SLA", CRC_War_Room_SIMs[[#This Row],[Labels]])))), 1, 0)</f>
        <v>0</v>
      </c>
    </row>
    <row r="993" spans="1:16" x14ac:dyDescent="0.25">
      <c r="A993" t="s">
        <v>3634</v>
      </c>
      <c r="B993" t="s">
        <v>3609</v>
      </c>
      <c r="C993" t="s">
        <v>3610</v>
      </c>
      <c r="H99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93" s="49">
        <f ca="1">IFERROR(WEEKNUM(CRC_War_Room_SIMs[[#This Row],[Ops Date]]), "N/A")</f>
        <v>29</v>
      </c>
      <c r="J99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9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9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93" s="50">
        <f>IF(AND(CRC_War_Room_SIMs[[#This Row],[CI]] = 0, CRC_War_Room_SIMs[[#This Row],[Miss]] = 1), 1, 0)</f>
        <v>0</v>
      </c>
      <c r="N99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93" s="49">
        <f>IF(AND(CRC_War_Room_SIMs[[#This Row],[Excluded]] = 0, OR(CRC_War_Room_SIMs[[#This Row],[False Resolution Miss]] &lt;&gt; "", ISNUMBER(SEARCH("False Resolution", CRC_War_Room_SIMs[[#This Row],[Labels]])))), 1, 0)</f>
        <v>0</v>
      </c>
      <c r="P993" s="50">
        <f>IF(AND(CRC_War_Room_SIMs[[#This Row],[Excluded]] = 0, OR(CRC_War_Room_SIMs[[#This Row],[SLA Miss]] &lt;&gt; "", ISNUMBER(SEARCH("SLA", CRC_War_Room_SIMs[[#This Row],[Labels]])))), 1, 0)</f>
        <v>0</v>
      </c>
    </row>
    <row r="994" spans="1:16" x14ac:dyDescent="0.25">
      <c r="A994" t="s">
        <v>3635</v>
      </c>
      <c r="B994" t="s">
        <v>3609</v>
      </c>
      <c r="C994" t="s">
        <v>3610</v>
      </c>
      <c r="H99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94" s="49">
        <f ca="1">IFERROR(WEEKNUM(CRC_War_Room_SIMs[[#This Row],[Ops Date]]), "N/A")</f>
        <v>29</v>
      </c>
      <c r="J99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9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9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94" s="50">
        <f>IF(AND(CRC_War_Room_SIMs[[#This Row],[CI]] = 0, CRC_War_Room_SIMs[[#This Row],[Miss]] = 1), 1, 0)</f>
        <v>0</v>
      </c>
      <c r="N99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94" s="49">
        <f>IF(AND(CRC_War_Room_SIMs[[#This Row],[Excluded]] = 0, OR(CRC_War_Room_SIMs[[#This Row],[False Resolution Miss]] &lt;&gt; "", ISNUMBER(SEARCH("False Resolution", CRC_War_Room_SIMs[[#This Row],[Labels]])))), 1, 0)</f>
        <v>0</v>
      </c>
      <c r="P994" s="50">
        <f>IF(AND(CRC_War_Room_SIMs[[#This Row],[Excluded]] = 0, OR(CRC_War_Room_SIMs[[#This Row],[SLA Miss]] &lt;&gt; "", ISNUMBER(SEARCH("SLA", CRC_War_Room_SIMs[[#This Row],[Labels]])))), 1, 0)</f>
        <v>0</v>
      </c>
    </row>
    <row r="995" spans="1:16" x14ac:dyDescent="0.25">
      <c r="A995" t="s">
        <v>3636</v>
      </c>
      <c r="B995" t="s">
        <v>3612</v>
      </c>
      <c r="C995" t="s">
        <v>3610</v>
      </c>
      <c r="H99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95" s="49">
        <f ca="1">IFERROR(WEEKNUM(CRC_War_Room_SIMs[[#This Row],[Ops Date]]), "N/A")</f>
        <v>29</v>
      </c>
      <c r="J99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9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9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95" s="50">
        <f>IF(AND(CRC_War_Room_SIMs[[#This Row],[CI]] = 0, CRC_War_Room_SIMs[[#This Row],[Miss]] = 1), 1, 0)</f>
        <v>0</v>
      </c>
      <c r="N99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95" s="49">
        <f>IF(AND(CRC_War_Room_SIMs[[#This Row],[Excluded]] = 0, OR(CRC_War_Room_SIMs[[#This Row],[False Resolution Miss]] &lt;&gt; "", ISNUMBER(SEARCH("False Resolution", CRC_War_Room_SIMs[[#This Row],[Labels]])))), 1, 0)</f>
        <v>0</v>
      </c>
      <c r="P995" s="50">
        <f>IF(AND(CRC_War_Room_SIMs[[#This Row],[Excluded]] = 0, OR(CRC_War_Room_SIMs[[#This Row],[SLA Miss]] &lt;&gt; "", ISNUMBER(SEARCH("SLA", CRC_War_Room_SIMs[[#This Row],[Labels]])))), 1, 0)</f>
        <v>0</v>
      </c>
    </row>
    <row r="996" spans="1:16" x14ac:dyDescent="0.25">
      <c r="A996" t="s">
        <v>3637</v>
      </c>
      <c r="B996" t="s">
        <v>3612</v>
      </c>
      <c r="C996" t="s">
        <v>3610</v>
      </c>
      <c r="H99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96" s="49">
        <f ca="1">IFERROR(WEEKNUM(CRC_War_Room_SIMs[[#This Row],[Ops Date]]), "N/A")</f>
        <v>29</v>
      </c>
      <c r="J99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9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9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96" s="50">
        <f>IF(AND(CRC_War_Room_SIMs[[#This Row],[CI]] = 0, CRC_War_Room_SIMs[[#This Row],[Miss]] = 1), 1, 0)</f>
        <v>0</v>
      </c>
      <c r="N99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96" s="49">
        <f>IF(AND(CRC_War_Room_SIMs[[#This Row],[Excluded]] = 0, OR(CRC_War_Room_SIMs[[#This Row],[False Resolution Miss]] &lt;&gt; "", ISNUMBER(SEARCH("False Resolution", CRC_War_Room_SIMs[[#This Row],[Labels]])))), 1, 0)</f>
        <v>0</v>
      </c>
      <c r="P996" s="50">
        <f>IF(AND(CRC_War_Room_SIMs[[#This Row],[Excluded]] = 0, OR(CRC_War_Room_SIMs[[#This Row],[SLA Miss]] &lt;&gt; "", ISNUMBER(SEARCH("SLA", CRC_War_Room_SIMs[[#This Row],[Labels]])))), 1, 0)</f>
        <v>0</v>
      </c>
    </row>
    <row r="997" spans="1:16" x14ac:dyDescent="0.25">
      <c r="A997" t="s">
        <v>3638</v>
      </c>
      <c r="B997" t="s">
        <v>3612</v>
      </c>
      <c r="C997" t="s">
        <v>3610</v>
      </c>
      <c r="H99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97" s="49">
        <f ca="1">IFERROR(WEEKNUM(CRC_War_Room_SIMs[[#This Row],[Ops Date]]), "N/A")</f>
        <v>29</v>
      </c>
      <c r="J99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9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9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97" s="50">
        <f>IF(AND(CRC_War_Room_SIMs[[#This Row],[CI]] = 0, CRC_War_Room_SIMs[[#This Row],[Miss]] = 1), 1, 0)</f>
        <v>0</v>
      </c>
      <c r="N99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97" s="49">
        <f>IF(AND(CRC_War_Room_SIMs[[#This Row],[Excluded]] = 0, OR(CRC_War_Room_SIMs[[#This Row],[False Resolution Miss]] &lt;&gt; "", ISNUMBER(SEARCH("False Resolution", CRC_War_Room_SIMs[[#This Row],[Labels]])))), 1, 0)</f>
        <v>0</v>
      </c>
      <c r="P997" s="50">
        <f>IF(AND(CRC_War_Room_SIMs[[#This Row],[Excluded]] = 0, OR(CRC_War_Room_SIMs[[#This Row],[SLA Miss]] &lt;&gt; "", ISNUMBER(SEARCH("SLA", CRC_War_Room_SIMs[[#This Row],[Labels]])))), 1, 0)</f>
        <v>0</v>
      </c>
    </row>
    <row r="998" spans="1:16" x14ac:dyDescent="0.25">
      <c r="A998" t="s">
        <v>3639</v>
      </c>
      <c r="B998" t="s">
        <v>3612</v>
      </c>
      <c r="C998" t="s">
        <v>3610</v>
      </c>
      <c r="H99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98" s="49">
        <f ca="1">IFERROR(WEEKNUM(CRC_War_Room_SIMs[[#This Row],[Ops Date]]), "N/A")</f>
        <v>29</v>
      </c>
      <c r="J99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9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9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98" s="50">
        <f>IF(AND(CRC_War_Room_SIMs[[#This Row],[CI]] = 0, CRC_War_Room_SIMs[[#This Row],[Miss]] = 1), 1, 0)</f>
        <v>0</v>
      </c>
      <c r="N99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98" s="49">
        <f>IF(AND(CRC_War_Room_SIMs[[#This Row],[Excluded]] = 0, OR(CRC_War_Room_SIMs[[#This Row],[False Resolution Miss]] &lt;&gt; "", ISNUMBER(SEARCH("False Resolution", CRC_War_Room_SIMs[[#This Row],[Labels]])))), 1, 0)</f>
        <v>0</v>
      </c>
      <c r="P998" s="50">
        <f>IF(AND(CRC_War_Room_SIMs[[#This Row],[Excluded]] = 0, OR(CRC_War_Room_SIMs[[#This Row],[SLA Miss]] &lt;&gt; "", ISNUMBER(SEARCH("SLA", CRC_War_Room_SIMs[[#This Row],[Labels]])))), 1, 0)</f>
        <v>0</v>
      </c>
    </row>
    <row r="999" spans="1:16" x14ac:dyDescent="0.25">
      <c r="A999" t="s">
        <v>3640</v>
      </c>
      <c r="B999" t="s">
        <v>3614</v>
      </c>
      <c r="C999" t="s">
        <v>3610</v>
      </c>
      <c r="H99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999" s="49">
        <f ca="1">IFERROR(WEEKNUM(CRC_War_Room_SIMs[[#This Row],[Ops Date]]), "N/A")</f>
        <v>29</v>
      </c>
      <c r="J99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99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99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999" s="50">
        <f>IF(AND(CRC_War_Room_SIMs[[#This Row],[CI]] = 0, CRC_War_Room_SIMs[[#This Row],[Miss]] = 1), 1, 0)</f>
        <v>0</v>
      </c>
      <c r="N99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999" s="49">
        <f>IF(AND(CRC_War_Room_SIMs[[#This Row],[Excluded]] = 0, OR(CRC_War_Room_SIMs[[#This Row],[False Resolution Miss]] &lt;&gt; "", ISNUMBER(SEARCH("False Resolution", CRC_War_Room_SIMs[[#This Row],[Labels]])))), 1, 0)</f>
        <v>0</v>
      </c>
      <c r="P999" s="50">
        <f>IF(AND(CRC_War_Room_SIMs[[#This Row],[Excluded]] = 0, OR(CRC_War_Room_SIMs[[#This Row],[SLA Miss]] &lt;&gt; "", ISNUMBER(SEARCH("SLA", CRC_War_Room_SIMs[[#This Row],[Labels]])))), 1, 0)</f>
        <v>0</v>
      </c>
    </row>
    <row r="1000" spans="1:16" x14ac:dyDescent="0.25">
      <c r="A1000" t="s">
        <v>3641</v>
      </c>
      <c r="B1000" t="s">
        <v>3614</v>
      </c>
      <c r="C1000" t="s">
        <v>3610</v>
      </c>
      <c r="H100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00" s="49">
        <f ca="1">IFERROR(WEEKNUM(CRC_War_Room_SIMs[[#This Row],[Ops Date]]), "N/A")</f>
        <v>29</v>
      </c>
      <c r="J100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0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0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00" s="50">
        <f>IF(AND(CRC_War_Room_SIMs[[#This Row],[CI]] = 0, CRC_War_Room_SIMs[[#This Row],[Miss]] = 1), 1, 0)</f>
        <v>0</v>
      </c>
      <c r="N100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0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00" s="50">
        <f>IF(AND(CRC_War_Room_SIMs[[#This Row],[Excluded]] = 0, OR(CRC_War_Room_SIMs[[#This Row],[SLA Miss]] &lt;&gt; "", ISNUMBER(SEARCH("SLA", CRC_War_Room_SIMs[[#This Row],[Labels]])))), 1, 0)</f>
        <v>0</v>
      </c>
    </row>
    <row r="1001" spans="1:16" x14ac:dyDescent="0.25">
      <c r="A1001" t="s">
        <v>3642</v>
      </c>
      <c r="B1001" t="s">
        <v>3614</v>
      </c>
      <c r="C1001" t="s">
        <v>3610</v>
      </c>
      <c r="H100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01" s="49">
        <f ca="1">IFERROR(WEEKNUM(CRC_War_Room_SIMs[[#This Row],[Ops Date]]), "N/A")</f>
        <v>29</v>
      </c>
      <c r="J100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0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0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01" s="50">
        <f>IF(AND(CRC_War_Room_SIMs[[#This Row],[CI]] = 0, CRC_War_Room_SIMs[[#This Row],[Miss]] = 1), 1, 0)</f>
        <v>0</v>
      </c>
      <c r="N100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0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01" s="50">
        <f>IF(AND(CRC_War_Room_SIMs[[#This Row],[Excluded]] = 0, OR(CRC_War_Room_SIMs[[#This Row],[SLA Miss]] &lt;&gt; "", ISNUMBER(SEARCH("SLA", CRC_War_Room_SIMs[[#This Row],[Labels]])))), 1, 0)</f>
        <v>0</v>
      </c>
    </row>
    <row r="1002" spans="1:16" x14ac:dyDescent="0.25">
      <c r="A1002" t="s">
        <v>3643</v>
      </c>
      <c r="B1002" t="s">
        <v>3614</v>
      </c>
      <c r="C1002" t="s">
        <v>3610</v>
      </c>
      <c r="H100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02" s="49">
        <f ca="1">IFERROR(WEEKNUM(CRC_War_Room_SIMs[[#This Row],[Ops Date]]), "N/A")</f>
        <v>29</v>
      </c>
      <c r="J100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0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0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02" s="50">
        <f>IF(AND(CRC_War_Room_SIMs[[#This Row],[CI]] = 0, CRC_War_Room_SIMs[[#This Row],[Miss]] = 1), 1, 0)</f>
        <v>0</v>
      </c>
      <c r="N100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0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02" s="50">
        <f>IF(AND(CRC_War_Room_SIMs[[#This Row],[Excluded]] = 0, OR(CRC_War_Room_SIMs[[#This Row],[SLA Miss]] &lt;&gt; "", ISNUMBER(SEARCH("SLA", CRC_War_Room_SIMs[[#This Row],[Labels]])))), 1, 0)</f>
        <v>0</v>
      </c>
    </row>
    <row r="1003" spans="1:16" x14ac:dyDescent="0.25">
      <c r="A1003" t="s">
        <v>3644</v>
      </c>
      <c r="B1003" t="s">
        <v>3614</v>
      </c>
      <c r="C1003" t="s">
        <v>3610</v>
      </c>
      <c r="H100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03" s="49">
        <f ca="1">IFERROR(WEEKNUM(CRC_War_Room_SIMs[[#This Row],[Ops Date]]), "N/A")</f>
        <v>29</v>
      </c>
      <c r="J100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0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0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03" s="50">
        <f>IF(AND(CRC_War_Room_SIMs[[#This Row],[CI]] = 0, CRC_War_Room_SIMs[[#This Row],[Miss]] = 1), 1, 0)</f>
        <v>0</v>
      </c>
      <c r="N100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0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03" s="50">
        <f>IF(AND(CRC_War_Room_SIMs[[#This Row],[Excluded]] = 0, OR(CRC_War_Room_SIMs[[#This Row],[SLA Miss]] &lt;&gt; "", ISNUMBER(SEARCH("SLA", CRC_War_Room_SIMs[[#This Row],[Labels]])))), 1, 0)</f>
        <v>0</v>
      </c>
    </row>
    <row r="1004" spans="1:16" x14ac:dyDescent="0.25">
      <c r="A1004" t="s">
        <v>3645</v>
      </c>
      <c r="B1004" t="s">
        <v>3614</v>
      </c>
      <c r="C1004" t="s">
        <v>3610</v>
      </c>
      <c r="H100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04" s="49">
        <f ca="1">IFERROR(WEEKNUM(CRC_War_Room_SIMs[[#This Row],[Ops Date]]), "N/A")</f>
        <v>29</v>
      </c>
      <c r="J100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0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0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04" s="50">
        <f>IF(AND(CRC_War_Room_SIMs[[#This Row],[CI]] = 0, CRC_War_Room_SIMs[[#This Row],[Miss]] = 1), 1, 0)</f>
        <v>0</v>
      </c>
      <c r="N100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0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04" s="50">
        <f>IF(AND(CRC_War_Room_SIMs[[#This Row],[Excluded]] = 0, OR(CRC_War_Room_SIMs[[#This Row],[SLA Miss]] &lt;&gt; "", ISNUMBER(SEARCH("SLA", CRC_War_Room_SIMs[[#This Row],[Labels]])))), 1, 0)</f>
        <v>0</v>
      </c>
    </row>
    <row r="1005" spans="1:16" x14ac:dyDescent="0.25">
      <c r="A1005" t="s">
        <v>3646</v>
      </c>
      <c r="B1005" t="s">
        <v>3614</v>
      </c>
      <c r="C1005" t="s">
        <v>3610</v>
      </c>
      <c r="H100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05" s="49">
        <f ca="1">IFERROR(WEEKNUM(CRC_War_Room_SIMs[[#This Row],[Ops Date]]), "N/A")</f>
        <v>29</v>
      </c>
      <c r="J100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0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0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05" s="50">
        <f>IF(AND(CRC_War_Room_SIMs[[#This Row],[CI]] = 0, CRC_War_Room_SIMs[[#This Row],[Miss]] = 1), 1, 0)</f>
        <v>0</v>
      </c>
      <c r="N100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0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05" s="50">
        <f>IF(AND(CRC_War_Room_SIMs[[#This Row],[Excluded]] = 0, OR(CRC_War_Room_SIMs[[#This Row],[SLA Miss]] &lt;&gt; "", ISNUMBER(SEARCH("SLA", CRC_War_Room_SIMs[[#This Row],[Labels]])))), 1, 0)</f>
        <v>0</v>
      </c>
    </row>
    <row r="1006" spans="1:16" x14ac:dyDescent="0.25">
      <c r="A1006" t="s">
        <v>3647</v>
      </c>
      <c r="B1006" t="s">
        <v>3303</v>
      </c>
      <c r="C1006" t="s">
        <v>3610</v>
      </c>
      <c r="H100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06" s="49">
        <f ca="1">IFERROR(WEEKNUM(CRC_War_Room_SIMs[[#This Row],[Ops Date]]), "N/A")</f>
        <v>29</v>
      </c>
      <c r="J100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0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0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06" s="50">
        <f>IF(AND(CRC_War_Room_SIMs[[#This Row],[CI]] = 0, CRC_War_Room_SIMs[[#This Row],[Miss]] = 1), 1, 0)</f>
        <v>0</v>
      </c>
      <c r="N100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0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06" s="50">
        <f>IF(AND(CRC_War_Room_SIMs[[#This Row],[Excluded]] = 0, OR(CRC_War_Room_SIMs[[#This Row],[SLA Miss]] &lt;&gt; "", ISNUMBER(SEARCH("SLA", CRC_War_Room_SIMs[[#This Row],[Labels]])))), 1, 0)</f>
        <v>0</v>
      </c>
    </row>
    <row r="1007" spans="1:16" x14ac:dyDescent="0.25">
      <c r="A1007" t="s">
        <v>3648</v>
      </c>
      <c r="B1007" t="s">
        <v>3303</v>
      </c>
      <c r="C1007" t="s">
        <v>3610</v>
      </c>
      <c r="H100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07" s="49">
        <f ca="1">IFERROR(WEEKNUM(CRC_War_Room_SIMs[[#This Row],[Ops Date]]), "N/A")</f>
        <v>29</v>
      </c>
      <c r="J100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0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0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07" s="50">
        <f>IF(AND(CRC_War_Room_SIMs[[#This Row],[CI]] = 0, CRC_War_Room_SIMs[[#This Row],[Miss]] = 1), 1, 0)</f>
        <v>0</v>
      </c>
      <c r="N100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0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07" s="50">
        <f>IF(AND(CRC_War_Room_SIMs[[#This Row],[Excluded]] = 0, OR(CRC_War_Room_SIMs[[#This Row],[SLA Miss]] &lt;&gt; "", ISNUMBER(SEARCH("SLA", CRC_War_Room_SIMs[[#This Row],[Labels]])))), 1, 0)</f>
        <v>0</v>
      </c>
    </row>
    <row r="1008" spans="1:16" x14ac:dyDescent="0.25">
      <c r="A1008" t="s">
        <v>3649</v>
      </c>
      <c r="B1008" t="s">
        <v>3303</v>
      </c>
      <c r="C1008" t="s">
        <v>3610</v>
      </c>
      <c r="H100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08" s="49">
        <f ca="1">IFERROR(WEEKNUM(CRC_War_Room_SIMs[[#This Row],[Ops Date]]), "N/A")</f>
        <v>29</v>
      </c>
      <c r="J100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0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0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08" s="50">
        <f>IF(AND(CRC_War_Room_SIMs[[#This Row],[CI]] = 0, CRC_War_Room_SIMs[[#This Row],[Miss]] = 1), 1, 0)</f>
        <v>0</v>
      </c>
      <c r="N100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0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08" s="50">
        <f>IF(AND(CRC_War_Room_SIMs[[#This Row],[Excluded]] = 0, OR(CRC_War_Room_SIMs[[#This Row],[SLA Miss]] &lt;&gt; "", ISNUMBER(SEARCH("SLA", CRC_War_Room_SIMs[[#This Row],[Labels]])))), 1, 0)</f>
        <v>0</v>
      </c>
    </row>
    <row r="1009" spans="1:16" x14ac:dyDescent="0.25">
      <c r="A1009" t="s">
        <v>3650</v>
      </c>
      <c r="B1009" t="s">
        <v>3303</v>
      </c>
      <c r="C1009" t="s">
        <v>3610</v>
      </c>
      <c r="H100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09" s="49">
        <f ca="1">IFERROR(WEEKNUM(CRC_War_Room_SIMs[[#This Row],[Ops Date]]), "N/A")</f>
        <v>29</v>
      </c>
      <c r="J100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0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0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09" s="50">
        <f>IF(AND(CRC_War_Room_SIMs[[#This Row],[CI]] = 0, CRC_War_Room_SIMs[[#This Row],[Miss]] = 1), 1, 0)</f>
        <v>0</v>
      </c>
      <c r="N100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0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09" s="50">
        <f>IF(AND(CRC_War_Room_SIMs[[#This Row],[Excluded]] = 0, OR(CRC_War_Room_SIMs[[#This Row],[SLA Miss]] &lt;&gt; "", ISNUMBER(SEARCH("SLA", CRC_War_Room_SIMs[[#This Row],[Labels]])))), 1, 0)</f>
        <v>0</v>
      </c>
    </row>
    <row r="1010" spans="1:16" x14ac:dyDescent="0.25">
      <c r="A1010" t="s">
        <v>3651</v>
      </c>
      <c r="B1010" t="s">
        <v>3303</v>
      </c>
      <c r="C1010" t="s">
        <v>3610</v>
      </c>
      <c r="H101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10" s="49">
        <f ca="1">IFERROR(WEEKNUM(CRC_War_Room_SIMs[[#This Row],[Ops Date]]), "N/A")</f>
        <v>29</v>
      </c>
      <c r="J101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1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1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10" s="50">
        <f>IF(AND(CRC_War_Room_SIMs[[#This Row],[CI]] = 0, CRC_War_Room_SIMs[[#This Row],[Miss]] = 1), 1, 0)</f>
        <v>0</v>
      </c>
      <c r="N101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1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10" s="50">
        <f>IF(AND(CRC_War_Room_SIMs[[#This Row],[Excluded]] = 0, OR(CRC_War_Room_SIMs[[#This Row],[SLA Miss]] &lt;&gt; "", ISNUMBER(SEARCH("SLA", CRC_War_Room_SIMs[[#This Row],[Labels]])))), 1, 0)</f>
        <v>0</v>
      </c>
    </row>
    <row r="1011" spans="1:16" x14ac:dyDescent="0.25">
      <c r="A1011" t="s">
        <v>3652</v>
      </c>
      <c r="B1011" t="s">
        <v>3303</v>
      </c>
      <c r="C1011" t="s">
        <v>3610</v>
      </c>
      <c r="H101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11" s="49">
        <f ca="1">IFERROR(WEEKNUM(CRC_War_Room_SIMs[[#This Row],[Ops Date]]), "N/A")</f>
        <v>29</v>
      </c>
      <c r="J101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1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1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11" s="50">
        <f>IF(AND(CRC_War_Room_SIMs[[#This Row],[CI]] = 0, CRC_War_Room_SIMs[[#This Row],[Miss]] = 1), 1, 0)</f>
        <v>0</v>
      </c>
      <c r="N101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1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11" s="50">
        <f>IF(AND(CRC_War_Room_SIMs[[#This Row],[Excluded]] = 0, OR(CRC_War_Room_SIMs[[#This Row],[SLA Miss]] &lt;&gt; "", ISNUMBER(SEARCH("SLA", CRC_War_Room_SIMs[[#This Row],[Labels]])))), 1, 0)</f>
        <v>0</v>
      </c>
    </row>
    <row r="1012" spans="1:16" x14ac:dyDescent="0.25">
      <c r="A1012" t="s">
        <v>3653</v>
      </c>
      <c r="B1012" t="s">
        <v>3616</v>
      </c>
      <c r="C1012" t="s">
        <v>3610</v>
      </c>
      <c r="H101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12" s="49">
        <f ca="1">IFERROR(WEEKNUM(CRC_War_Room_SIMs[[#This Row],[Ops Date]]), "N/A")</f>
        <v>29</v>
      </c>
      <c r="J101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1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1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12" s="50">
        <f>IF(AND(CRC_War_Room_SIMs[[#This Row],[CI]] = 0, CRC_War_Room_SIMs[[#This Row],[Miss]] = 1), 1, 0)</f>
        <v>0</v>
      </c>
      <c r="N101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1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12" s="50">
        <f>IF(AND(CRC_War_Room_SIMs[[#This Row],[Excluded]] = 0, OR(CRC_War_Room_SIMs[[#This Row],[SLA Miss]] &lt;&gt; "", ISNUMBER(SEARCH("SLA", CRC_War_Room_SIMs[[#This Row],[Labels]])))), 1, 0)</f>
        <v>0</v>
      </c>
    </row>
    <row r="1013" spans="1:16" x14ac:dyDescent="0.25">
      <c r="A1013" t="s">
        <v>3654</v>
      </c>
      <c r="B1013" t="s">
        <v>3616</v>
      </c>
      <c r="C1013" t="s">
        <v>3610</v>
      </c>
      <c r="H101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13" s="49">
        <f ca="1">IFERROR(WEEKNUM(CRC_War_Room_SIMs[[#This Row],[Ops Date]]), "N/A")</f>
        <v>29</v>
      </c>
      <c r="J101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1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1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13" s="50">
        <f>IF(AND(CRC_War_Room_SIMs[[#This Row],[CI]] = 0, CRC_War_Room_SIMs[[#This Row],[Miss]] = 1), 1, 0)</f>
        <v>0</v>
      </c>
      <c r="N101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1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13" s="50">
        <f>IF(AND(CRC_War_Room_SIMs[[#This Row],[Excluded]] = 0, OR(CRC_War_Room_SIMs[[#This Row],[SLA Miss]] &lt;&gt; "", ISNUMBER(SEARCH("SLA", CRC_War_Room_SIMs[[#This Row],[Labels]])))), 1, 0)</f>
        <v>0</v>
      </c>
    </row>
    <row r="1014" spans="1:16" x14ac:dyDescent="0.25">
      <c r="A1014" t="s">
        <v>3655</v>
      </c>
      <c r="B1014" t="s">
        <v>3616</v>
      </c>
      <c r="C1014" t="s">
        <v>3610</v>
      </c>
      <c r="H101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14" s="49">
        <f ca="1">IFERROR(WEEKNUM(CRC_War_Room_SIMs[[#This Row],[Ops Date]]), "N/A")</f>
        <v>29</v>
      </c>
      <c r="J101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1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1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14" s="50">
        <f>IF(AND(CRC_War_Room_SIMs[[#This Row],[CI]] = 0, CRC_War_Room_SIMs[[#This Row],[Miss]] = 1), 1, 0)</f>
        <v>0</v>
      </c>
      <c r="N101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1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14" s="50">
        <f>IF(AND(CRC_War_Room_SIMs[[#This Row],[Excluded]] = 0, OR(CRC_War_Room_SIMs[[#This Row],[SLA Miss]] &lt;&gt; "", ISNUMBER(SEARCH("SLA", CRC_War_Room_SIMs[[#This Row],[Labels]])))), 1, 0)</f>
        <v>0</v>
      </c>
    </row>
    <row r="1015" spans="1:16" x14ac:dyDescent="0.25">
      <c r="A1015" t="s">
        <v>3656</v>
      </c>
      <c r="B1015" t="s">
        <v>3616</v>
      </c>
      <c r="C1015" t="s">
        <v>3610</v>
      </c>
      <c r="H101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15" s="49">
        <f ca="1">IFERROR(WEEKNUM(CRC_War_Room_SIMs[[#This Row],[Ops Date]]), "N/A")</f>
        <v>29</v>
      </c>
      <c r="J101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1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1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15" s="50">
        <f>IF(AND(CRC_War_Room_SIMs[[#This Row],[CI]] = 0, CRC_War_Room_SIMs[[#This Row],[Miss]] = 1), 1, 0)</f>
        <v>0</v>
      </c>
      <c r="N101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1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15" s="50">
        <f>IF(AND(CRC_War_Room_SIMs[[#This Row],[Excluded]] = 0, OR(CRC_War_Room_SIMs[[#This Row],[SLA Miss]] &lt;&gt; "", ISNUMBER(SEARCH("SLA", CRC_War_Room_SIMs[[#This Row],[Labels]])))), 1, 0)</f>
        <v>0</v>
      </c>
    </row>
    <row r="1016" spans="1:16" x14ac:dyDescent="0.25">
      <c r="A1016" t="s">
        <v>3657</v>
      </c>
      <c r="B1016" t="s">
        <v>3616</v>
      </c>
      <c r="C1016" t="s">
        <v>3610</v>
      </c>
      <c r="H101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16" s="49">
        <f ca="1">IFERROR(WEEKNUM(CRC_War_Room_SIMs[[#This Row],[Ops Date]]), "N/A")</f>
        <v>29</v>
      </c>
      <c r="J101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1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1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16" s="50">
        <f>IF(AND(CRC_War_Room_SIMs[[#This Row],[CI]] = 0, CRC_War_Room_SIMs[[#This Row],[Miss]] = 1), 1, 0)</f>
        <v>0</v>
      </c>
      <c r="N101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1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16" s="50">
        <f>IF(AND(CRC_War_Room_SIMs[[#This Row],[Excluded]] = 0, OR(CRC_War_Room_SIMs[[#This Row],[SLA Miss]] &lt;&gt; "", ISNUMBER(SEARCH("SLA", CRC_War_Room_SIMs[[#This Row],[Labels]])))), 1, 0)</f>
        <v>0</v>
      </c>
    </row>
    <row r="1017" spans="1:16" x14ac:dyDescent="0.25">
      <c r="A1017" t="s">
        <v>3658</v>
      </c>
      <c r="B1017" t="s">
        <v>3616</v>
      </c>
      <c r="C1017" t="s">
        <v>3610</v>
      </c>
      <c r="H101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17" s="49">
        <f ca="1">IFERROR(WEEKNUM(CRC_War_Room_SIMs[[#This Row],[Ops Date]]), "N/A")</f>
        <v>29</v>
      </c>
      <c r="J101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1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1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17" s="50">
        <f>IF(AND(CRC_War_Room_SIMs[[#This Row],[CI]] = 0, CRC_War_Room_SIMs[[#This Row],[Miss]] = 1), 1, 0)</f>
        <v>0</v>
      </c>
      <c r="N101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1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17" s="50">
        <f>IF(AND(CRC_War_Room_SIMs[[#This Row],[Excluded]] = 0, OR(CRC_War_Room_SIMs[[#This Row],[SLA Miss]] &lt;&gt; "", ISNUMBER(SEARCH("SLA", CRC_War_Room_SIMs[[#This Row],[Labels]])))), 1, 0)</f>
        <v>0</v>
      </c>
    </row>
    <row r="1018" spans="1:16" x14ac:dyDescent="0.25">
      <c r="A1018" t="s">
        <v>3659</v>
      </c>
      <c r="B1018" t="s">
        <v>3616</v>
      </c>
      <c r="C1018" t="s">
        <v>3610</v>
      </c>
      <c r="H101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18" s="49">
        <f ca="1">IFERROR(WEEKNUM(CRC_War_Room_SIMs[[#This Row],[Ops Date]]), "N/A")</f>
        <v>29</v>
      </c>
      <c r="J101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1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1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18" s="50">
        <f>IF(AND(CRC_War_Room_SIMs[[#This Row],[CI]] = 0, CRC_War_Room_SIMs[[#This Row],[Miss]] = 1), 1, 0)</f>
        <v>0</v>
      </c>
      <c r="N101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1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18" s="50">
        <f>IF(AND(CRC_War_Room_SIMs[[#This Row],[Excluded]] = 0, OR(CRC_War_Room_SIMs[[#This Row],[SLA Miss]] &lt;&gt; "", ISNUMBER(SEARCH("SLA", CRC_War_Room_SIMs[[#This Row],[Labels]])))), 1, 0)</f>
        <v>0</v>
      </c>
    </row>
    <row r="1019" spans="1:16" x14ac:dyDescent="0.25">
      <c r="A1019" t="s">
        <v>3660</v>
      </c>
      <c r="B1019" t="s">
        <v>3661</v>
      </c>
      <c r="C1019" t="s">
        <v>3610</v>
      </c>
      <c r="H101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19" s="49">
        <f ca="1">IFERROR(WEEKNUM(CRC_War_Room_SIMs[[#This Row],[Ops Date]]), "N/A")</f>
        <v>29</v>
      </c>
      <c r="J101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1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1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19" s="50">
        <f>IF(AND(CRC_War_Room_SIMs[[#This Row],[CI]] = 0, CRC_War_Room_SIMs[[#This Row],[Miss]] = 1), 1, 0)</f>
        <v>0</v>
      </c>
      <c r="N101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1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19" s="50">
        <f>IF(AND(CRC_War_Room_SIMs[[#This Row],[Excluded]] = 0, OR(CRC_War_Room_SIMs[[#This Row],[SLA Miss]] &lt;&gt; "", ISNUMBER(SEARCH("SLA", CRC_War_Room_SIMs[[#This Row],[Labels]])))), 1, 0)</f>
        <v>0</v>
      </c>
    </row>
    <row r="1020" spans="1:16" x14ac:dyDescent="0.25">
      <c r="A1020" t="s">
        <v>3662</v>
      </c>
      <c r="B1020" t="s">
        <v>3661</v>
      </c>
      <c r="C1020" t="s">
        <v>3610</v>
      </c>
      <c r="H102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20" s="49">
        <f ca="1">IFERROR(WEEKNUM(CRC_War_Room_SIMs[[#This Row],[Ops Date]]), "N/A")</f>
        <v>29</v>
      </c>
      <c r="J102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2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2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20" s="50">
        <f>IF(AND(CRC_War_Room_SIMs[[#This Row],[CI]] = 0, CRC_War_Room_SIMs[[#This Row],[Miss]] = 1), 1, 0)</f>
        <v>0</v>
      </c>
      <c r="N102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2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20" s="50">
        <f>IF(AND(CRC_War_Room_SIMs[[#This Row],[Excluded]] = 0, OR(CRC_War_Room_SIMs[[#This Row],[SLA Miss]] &lt;&gt; "", ISNUMBER(SEARCH("SLA", CRC_War_Room_SIMs[[#This Row],[Labels]])))), 1, 0)</f>
        <v>0</v>
      </c>
    </row>
    <row r="1021" spans="1:16" x14ac:dyDescent="0.25">
      <c r="A1021" t="s">
        <v>3663</v>
      </c>
      <c r="B1021" t="s">
        <v>3661</v>
      </c>
      <c r="C1021" t="s">
        <v>3610</v>
      </c>
      <c r="H102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21" s="49">
        <f ca="1">IFERROR(WEEKNUM(CRC_War_Room_SIMs[[#This Row],[Ops Date]]), "N/A")</f>
        <v>29</v>
      </c>
      <c r="J102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2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2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21" s="50">
        <f>IF(AND(CRC_War_Room_SIMs[[#This Row],[CI]] = 0, CRC_War_Room_SIMs[[#This Row],[Miss]] = 1), 1, 0)</f>
        <v>0</v>
      </c>
      <c r="N102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2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21" s="50">
        <f>IF(AND(CRC_War_Room_SIMs[[#This Row],[Excluded]] = 0, OR(CRC_War_Room_SIMs[[#This Row],[SLA Miss]] &lt;&gt; "", ISNUMBER(SEARCH("SLA", CRC_War_Room_SIMs[[#This Row],[Labels]])))), 1, 0)</f>
        <v>0</v>
      </c>
    </row>
    <row r="1022" spans="1:16" x14ac:dyDescent="0.25">
      <c r="A1022" t="s">
        <v>3664</v>
      </c>
      <c r="B1022" t="s">
        <v>3661</v>
      </c>
      <c r="C1022" t="s">
        <v>3610</v>
      </c>
      <c r="H102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22" s="49">
        <f ca="1">IFERROR(WEEKNUM(CRC_War_Room_SIMs[[#This Row],[Ops Date]]), "N/A")</f>
        <v>29</v>
      </c>
      <c r="J102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2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2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22" s="50">
        <f>IF(AND(CRC_War_Room_SIMs[[#This Row],[CI]] = 0, CRC_War_Room_SIMs[[#This Row],[Miss]] = 1), 1, 0)</f>
        <v>0</v>
      </c>
      <c r="N102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2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22" s="50">
        <f>IF(AND(CRC_War_Room_SIMs[[#This Row],[Excluded]] = 0, OR(CRC_War_Room_SIMs[[#This Row],[SLA Miss]] &lt;&gt; "", ISNUMBER(SEARCH("SLA", CRC_War_Room_SIMs[[#This Row],[Labels]])))), 1, 0)</f>
        <v>0</v>
      </c>
    </row>
    <row r="1023" spans="1:16" x14ac:dyDescent="0.25">
      <c r="A1023" t="s">
        <v>3665</v>
      </c>
      <c r="B1023" t="s">
        <v>3666</v>
      </c>
      <c r="C1023" t="s">
        <v>3610</v>
      </c>
      <c r="H102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23" s="49">
        <f ca="1">IFERROR(WEEKNUM(CRC_War_Room_SIMs[[#This Row],[Ops Date]]), "N/A")</f>
        <v>29</v>
      </c>
      <c r="J102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2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2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23" s="50">
        <f>IF(AND(CRC_War_Room_SIMs[[#This Row],[CI]] = 0, CRC_War_Room_SIMs[[#This Row],[Miss]] = 1), 1, 0)</f>
        <v>0</v>
      </c>
      <c r="N102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2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23" s="50">
        <f>IF(AND(CRC_War_Room_SIMs[[#This Row],[Excluded]] = 0, OR(CRC_War_Room_SIMs[[#This Row],[SLA Miss]] &lt;&gt; "", ISNUMBER(SEARCH("SLA", CRC_War_Room_SIMs[[#This Row],[Labels]])))), 1, 0)</f>
        <v>0</v>
      </c>
    </row>
    <row r="1024" spans="1:16" x14ac:dyDescent="0.25">
      <c r="A1024" t="s">
        <v>3667</v>
      </c>
      <c r="B1024" t="s">
        <v>3666</v>
      </c>
      <c r="C1024" t="s">
        <v>3610</v>
      </c>
      <c r="H102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24" s="49">
        <f ca="1">IFERROR(WEEKNUM(CRC_War_Room_SIMs[[#This Row],[Ops Date]]), "N/A")</f>
        <v>29</v>
      </c>
      <c r="J102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2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2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24" s="50">
        <f>IF(AND(CRC_War_Room_SIMs[[#This Row],[CI]] = 0, CRC_War_Room_SIMs[[#This Row],[Miss]] = 1), 1, 0)</f>
        <v>0</v>
      </c>
      <c r="N102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2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24" s="50">
        <f>IF(AND(CRC_War_Room_SIMs[[#This Row],[Excluded]] = 0, OR(CRC_War_Room_SIMs[[#This Row],[SLA Miss]] &lt;&gt; "", ISNUMBER(SEARCH("SLA", CRC_War_Room_SIMs[[#This Row],[Labels]])))), 1, 0)</f>
        <v>0</v>
      </c>
    </row>
    <row r="1025" spans="1:16" x14ac:dyDescent="0.25">
      <c r="A1025" t="s">
        <v>3668</v>
      </c>
      <c r="B1025" t="s">
        <v>3666</v>
      </c>
      <c r="C1025" t="s">
        <v>3610</v>
      </c>
      <c r="H102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25" s="49">
        <f ca="1">IFERROR(WEEKNUM(CRC_War_Room_SIMs[[#This Row],[Ops Date]]), "N/A")</f>
        <v>29</v>
      </c>
      <c r="J102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2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2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25" s="50">
        <f>IF(AND(CRC_War_Room_SIMs[[#This Row],[CI]] = 0, CRC_War_Room_SIMs[[#This Row],[Miss]] = 1), 1, 0)</f>
        <v>0</v>
      </c>
      <c r="N102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2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25" s="50">
        <f>IF(AND(CRC_War_Room_SIMs[[#This Row],[Excluded]] = 0, OR(CRC_War_Room_SIMs[[#This Row],[SLA Miss]] &lt;&gt; "", ISNUMBER(SEARCH("SLA", CRC_War_Room_SIMs[[#This Row],[Labels]])))), 1, 0)</f>
        <v>0</v>
      </c>
    </row>
    <row r="1026" spans="1:16" x14ac:dyDescent="0.25">
      <c r="A1026" t="s">
        <v>3669</v>
      </c>
      <c r="B1026" t="s">
        <v>3666</v>
      </c>
      <c r="C1026" t="s">
        <v>3610</v>
      </c>
      <c r="H102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26" s="49">
        <f ca="1">IFERROR(WEEKNUM(CRC_War_Room_SIMs[[#This Row],[Ops Date]]), "N/A")</f>
        <v>29</v>
      </c>
      <c r="J102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2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2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26" s="50">
        <f>IF(AND(CRC_War_Room_SIMs[[#This Row],[CI]] = 0, CRC_War_Room_SIMs[[#This Row],[Miss]] = 1), 1, 0)</f>
        <v>0</v>
      </c>
      <c r="N102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2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26" s="50">
        <f>IF(AND(CRC_War_Room_SIMs[[#This Row],[Excluded]] = 0, OR(CRC_War_Room_SIMs[[#This Row],[SLA Miss]] &lt;&gt; "", ISNUMBER(SEARCH("SLA", CRC_War_Room_SIMs[[#This Row],[Labels]])))), 1, 0)</f>
        <v>0</v>
      </c>
    </row>
    <row r="1027" spans="1:16" x14ac:dyDescent="0.25">
      <c r="A1027" t="s">
        <v>3670</v>
      </c>
      <c r="B1027" t="s">
        <v>3666</v>
      </c>
      <c r="C1027" t="s">
        <v>3610</v>
      </c>
      <c r="H102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27" s="49">
        <f ca="1">IFERROR(WEEKNUM(CRC_War_Room_SIMs[[#This Row],[Ops Date]]), "N/A")</f>
        <v>29</v>
      </c>
      <c r="J102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2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2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27" s="50">
        <f>IF(AND(CRC_War_Room_SIMs[[#This Row],[CI]] = 0, CRC_War_Room_SIMs[[#This Row],[Miss]] = 1), 1, 0)</f>
        <v>0</v>
      </c>
      <c r="N102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2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27" s="50">
        <f>IF(AND(CRC_War_Room_SIMs[[#This Row],[Excluded]] = 0, OR(CRC_War_Room_SIMs[[#This Row],[SLA Miss]] &lt;&gt; "", ISNUMBER(SEARCH("SLA", CRC_War_Room_SIMs[[#This Row],[Labels]])))), 1, 0)</f>
        <v>0</v>
      </c>
    </row>
    <row r="1028" spans="1:16" x14ac:dyDescent="0.25">
      <c r="A1028" t="s">
        <v>3671</v>
      </c>
      <c r="B1028" t="s">
        <v>3666</v>
      </c>
      <c r="C1028" t="s">
        <v>3610</v>
      </c>
      <c r="H102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28" s="49">
        <f ca="1">IFERROR(WEEKNUM(CRC_War_Room_SIMs[[#This Row],[Ops Date]]), "N/A")</f>
        <v>29</v>
      </c>
      <c r="J102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2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2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28" s="50">
        <f>IF(AND(CRC_War_Room_SIMs[[#This Row],[CI]] = 0, CRC_War_Room_SIMs[[#This Row],[Miss]] = 1), 1, 0)</f>
        <v>0</v>
      </c>
      <c r="N102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2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28" s="50">
        <f>IF(AND(CRC_War_Room_SIMs[[#This Row],[Excluded]] = 0, OR(CRC_War_Room_SIMs[[#This Row],[SLA Miss]] &lt;&gt; "", ISNUMBER(SEARCH("SLA", CRC_War_Room_SIMs[[#This Row],[Labels]])))), 1, 0)</f>
        <v>0</v>
      </c>
    </row>
    <row r="1029" spans="1:16" x14ac:dyDescent="0.25">
      <c r="A1029" t="s">
        <v>3672</v>
      </c>
      <c r="B1029" t="s">
        <v>3666</v>
      </c>
      <c r="C1029" t="s">
        <v>3610</v>
      </c>
      <c r="H102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29" s="49">
        <f ca="1">IFERROR(WEEKNUM(CRC_War_Room_SIMs[[#This Row],[Ops Date]]), "N/A")</f>
        <v>29</v>
      </c>
      <c r="J102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2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2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29" s="50">
        <f>IF(AND(CRC_War_Room_SIMs[[#This Row],[CI]] = 0, CRC_War_Room_SIMs[[#This Row],[Miss]] = 1), 1, 0)</f>
        <v>0</v>
      </c>
      <c r="N102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2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29" s="50">
        <f>IF(AND(CRC_War_Room_SIMs[[#This Row],[Excluded]] = 0, OR(CRC_War_Room_SIMs[[#This Row],[SLA Miss]] &lt;&gt; "", ISNUMBER(SEARCH("SLA", CRC_War_Room_SIMs[[#This Row],[Labels]])))), 1, 0)</f>
        <v>0</v>
      </c>
    </row>
    <row r="1030" spans="1:16" x14ac:dyDescent="0.25">
      <c r="A1030" t="s">
        <v>3673</v>
      </c>
      <c r="B1030" t="s">
        <v>3666</v>
      </c>
      <c r="C1030" t="s">
        <v>3610</v>
      </c>
      <c r="H103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30" s="49">
        <f ca="1">IFERROR(WEEKNUM(CRC_War_Room_SIMs[[#This Row],[Ops Date]]), "N/A")</f>
        <v>29</v>
      </c>
      <c r="J103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3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3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30" s="50">
        <f>IF(AND(CRC_War_Room_SIMs[[#This Row],[CI]] = 0, CRC_War_Room_SIMs[[#This Row],[Miss]] = 1), 1, 0)</f>
        <v>0</v>
      </c>
      <c r="N103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3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30" s="50">
        <f>IF(AND(CRC_War_Room_SIMs[[#This Row],[Excluded]] = 0, OR(CRC_War_Room_SIMs[[#This Row],[SLA Miss]] &lt;&gt; "", ISNUMBER(SEARCH("SLA", CRC_War_Room_SIMs[[#This Row],[Labels]])))), 1, 0)</f>
        <v>0</v>
      </c>
    </row>
    <row r="1031" spans="1:16" x14ac:dyDescent="0.25">
      <c r="A1031" t="s">
        <v>3674</v>
      </c>
      <c r="B1031" t="s">
        <v>3666</v>
      </c>
      <c r="C1031" t="s">
        <v>3610</v>
      </c>
      <c r="H103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31" s="49">
        <f ca="1">IFERROR(WEEKNUM(CRC_War_Room_SIMs[[#This Row],[Ops Date]]), "N/A")</f>
        <v>29</v>
      </c>
      <c r="J103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3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3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31" s="50">
        <f>IF(AND(CRC_War_Room_SIMs[[#This Row],[CI]] = 0, CRC_War_Room_SIMs[[#This Row],[Miss]] = 1), 1, 0)</f>
        <v>0</v>
      </c>
      <c r="N103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3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31" s="50">
        <f>IF(AND(CRC_War_Room_SIMs[[#This Row],[Excluded]] = 0, OR(CRC_War_Room_SIMs[[#This Row],[SLA Miss]] &lt;&gt; "", ISNUMBER(SEARCH("SLA", CRC_War_Room_SIMs[[#This Row],[Labels]])))), 1, 0)</f>
        <v>0</v>
      </c>
    </row>
    <row r="1032" spans="1:16" x14ac:dyDescent="0.25">
      <c r="A1032" t="s">
        <v>3675</v>
      </c>
      <c r="B1032" t="s">
        <v>3666</v>
      </c>
      <c r="C1032" t="s">
        <v>3610</v>
      </c>
      <c r="H103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45489</v>
      </c>
      <c r="I1032" s="49">
        <f ca="1">IFERROR(WEEKNUM(CRC_War_Room_SIMs[[#This Row],[Ops Date]]), "N/A")</f>
        <v>29</v>
      </c>
      <c r="J103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3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3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32" s="50">
        <f>IF(AND(CRC_War_Room_SIMs[[#This Row],[CI]] = 0, CRC_War_Room_SIMs[[#This Row],[Miss]] = 1), 1, 0)</f>
        <v>0</v>
      </c>
      <c r="N103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3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32" s="50">
        <f>IF(AND(CRC_War_Room_SIMs[[#This Row],[Excluded]] = 0, OR(CRC_War_Room_SIMs[[#This Row],[SLA Miss]] &lt;&gt; "", ISNUMBER(SEARCH("SLA", CRC_War_Room_SIMs[[#This Row],[Labels]])))), 1, 0)</f>
        <v>0</v>
      </c>
    </row>
    <row r="1033" spans="1:16" x14ac:dyDescent="0.25">
      <c r="A1033" t="s">
        <v>3676</v>
      </c>
      <c r="B1033" t="s">
        <v>3600</v>
      </c>
      <c r="C1033" t="s">
        <v>3677</v>
      </c>
      <c r="H103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33" s="49">
        <f ca="1">IFERROR(WEEKNUM(CRC_War_Room_SIMs[[#This Row],[Ops Date]]), "N/A")</f>
        <v>29</v>
      </c>
      <c r="J103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3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3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33" s="50">
        <f>IF(AND(CRC_War_Room_SIMs[[#This Row],[CI]] = 0, CRC_War_Room_SIMs[[#This Row],[Miss]] = 1), 1, 0)</f>
        <v>0</v>
      </c>
      <c r="N103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3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33" s="50">
        <f>IF(AND(CRC_War_Room_SIMs[[#This Row],[Excluded]] = 0, OR(CRC_War_Room_SIMs[[#This Row],[SLA Miss]] &lt;&gt; "", ISNUMBER(SEARCH("SLA", CRC_War_Room_SIMs[[#This Row],[Labels]])))), 1, 0)</f>
        <v>0</v>
      </c>
    </row>
    <row r="1034" spans="1:16" x14ac:dyDescent="0.25">
      <c r="A1034" t="s">
        <v>3678</v>
      </c>
      <c r="B1034" t="s">
        <v>3600</v>
      </c>
      <c r="C1034" t="s">
        <v>3677</v>
      </c>
      <c r="H103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34" s="49">
        <f ca="1">IFERROR(WEEKNUM(CRC_War_Room_SIMs[[#This Row],[Ops Date]]), "N/A")</f>
        <v>29</v>
      </c>
      <c r="J103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3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3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34" s="50">
        <f>IF(AND(CRC_War_Room_SIMs[[#This Row],[CI]] = 0, CRC_War_Room_SIMs[[#This Row],[Miss]] = 1), 1, 0)</f>
        <v>0</v>
      </c>
      <c r="N103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3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34" s="50">
        <f>IF(AND(CRC_War_Room_SIMs[[#This Row],[Excluded]] = 0, OR(CRC_War_Room_SIMs[[#This Row],[SLA Miss]] &lt;&gt; "", ISNUMBER(SEARCH("SLA", CRC_War_Room_SIMs[[#This Row],[Labels]])))), 1, 0)</f>
        <v>0</v>
      </c>
    </row>
    <row r="1035" spans="1:16" x14ac:dyDescent="0.25">
      <c r="A1035" t="s">
        <v>3679</v>
      </c>
      <c r="B1035" t="s">
        <v>3600</v>
      </c>
      <c r="C1035" t="s">
        <v>3677</v>
      </c>
      <c r="H103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35" s="49">
        <f ca="1">IFERROR(WEEKNUM(CRC_War_Room_SIMs[[#This Row],[Ops Date]]), "N/A")</f>
        <v>29</v>
      </c>
      <c r="J103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3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3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35" s="50">
        <f>IF(AND(CRC_War_Room_SIMs[[#This Row],[CI]] = 0, CRC_War_Room_SIMs[[#This Row],[Miss]] = 1), 1, 0)</f>
        <v>0</v>
      </c>
      <c r="N103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3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35" s="50">
        <f>IF(AND(CRC_War_Room_SIMs[[#This Row],[Excluded]] = 0, OR(CRC_War_Room_SIMs[[#This Row],[SLA Miss]] &lt;&gt; "", ISNUMBER(SEARCH("SLA", CRC_War_Room_SIMs[[#This Row],[Labels]])))), 1, 0)</f>
        <v>0</v>
      </c>
    </row>
    <row r="1036" spans="1:16" x14ac:dyDescent="0.25">
      <c r="A1036" t="s">
        <v>3680</v>
      </c>
      <c r="B1036" t="s">
        <v>3603</v>
      </c>
      <c r="C1036" t="s">
        <v>3677</v>
      </c>
      <c r="H103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36" s="49">
        <f ca="1">IFERROR(WEEKNUM(CRC_War_Room_SIMs[[#This Row],[Ops Date]]), "N/A")</f>
        <v>29</v>
      </c>
      <c r="J103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3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3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36" s="50">
        <f>IF(AND(CRC_War_Room_SIMs[[#This Row],[CI]] = 0, CRC_War_Room_SIMs[[#This Row],[Miss]] = 1), 1, 0)</f>
        <v>0</v>
      </c>
      <c r="N103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3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36" s="50">
        <f>IF(AND(CRC_War_Room_SIMs[[#This Row],[Excluded]] = 0, OR(CRC_War_Room_SIMs[[#This Row],[SLA Miss]] &lt;&gt; "", ISNUMBER(SEARCH("SLA", CRC_War_Room_SIMs[[#This Row],[Labels]])))), 1, 0)</f>
        <v>0</v>
      </c>
    </row>
    <row r="1037" spans="1:16" x14ac:dyDescent="0.25">
      <c r="A1037" t="s">
        <v>3681</v>
      </c>
      <c r="B1037" t="s">
        <v>3607</v>
      </c>
      <c r="C1037" t="s">
        <v>3677</v>
      </c>
      <c r="H103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37" s="49">
        <f ca="1">IFERROR(WEEKNUM(CRC_War_Room_SIMs[[#This Row],[Ops Date]]), "N/A")</f>
        <v>29</v>
      </c>
      <c r="J103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3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3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37" s="50">
        <f>IF(AND(CRC_War_Room_SIMs[[#This Row],[CI]] = 0, CRC_War_Room_SIMs[[#This Row],[Miss]] = 1), 1, 0)</f>
        <v>0</v>
      </c>
      <c r="N103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3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37" s="50">
        <f>IF(AND(CRC_War_Room_SIMs[[#This Row],[Excluded]] = 0, OR(CRC_War_Room_SIMs[[#This Row],[SLA Miss]] &lt;&gt; "", ISNUMBER(SEARCH("SLA", CRC_War_Room_SIMs[[#This Row],[Labels]])))), 1, 0)</f>
        <v>0</v>
      </c>
    </row>
    <row r="1038" spans="1:16" x14ac:dyDescent="0.25">
      <c r="A1038" t="s">
        <v>3682</v>
      </c>
      <c r="B1038" t="s">
        <v>3607</v>
      </c>
      <c r="C1038" t="s">
        <v>3677</v>
      </c>
      <c r="H103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38" s="49">
        <f ca="1">IFERROR(WEEKNUM(CRC_War_Room_SIMs[[#This Row],[Ops Date]]), "N/A")</f>
        <v>29</v>
      </c>
      <c r="J103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3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3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38" s="50">
        <f>IF(AND(CRC_War_Room_SIMs[[#This Row],[CI]] = 0, CRC_War_Room_SIMs[[#This Row],[Miss]] = 1), 1, 0)</f>
        <v>0</v>
      </c>
      <c r="N103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3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38" s="50">
        <f>IF(AND(CRC_War_Room_SIMs[[#This Row],[Excluded]] = 0, OR(CRC_War_Room_SIMs[[#This Row],[SLA Miss]] &lt;&gt; "", ISNUMBER(SEARCH("SLA", CRC_War_Room_SIMs[[#This Row],[Labels]])))), 1, 0)</f>
        <v>0</v>
      </c>
    </row>
    <row r="1039" spans="1:16" x14ac:dyDescent="0.25">
      <c r="A1039" t="s">
        <v>3683</v>
      </c>
      <c r="B1039" t="s">
        <v>3605</v>
      </c>
      <c r="C1039" t="s">
        <v>3677</v>
      </c>
      <c r="H103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39" s="49">
        <f ca="1">IFERROR(WEEKNUM(CRC_War_Room_SIMs[[#This Row],[Ops Date]]), "N/A")</f>
        <v>29</v>
      </c>
      <c r="J103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3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3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39" s="50">
        <f>IF(AND(CRC_War_Room_SIMs[[#This Row],[CI]] = 0, CRC_War_Room_SIMs[[#This Row],[Miss]] = 1), 1, 0)</f>
        <v>0</v>
      </c>
      <c r="N103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3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39" s="50">
        <f>IF(AND(CRC_War_Room_SIMs[[#This Row],[Excluded]] = 0, OR(CRC_War_Room_SIMs[[#This Row],[SLA Miss]] &lt;&gt; "", ISNUMBER(SEARCH("SLA", CRC_War_Room_SIMs[[#This Row],[Labels]])))), 1, 0)</f>
        <v>0</v>
      </c>
    </row>
    <row r="1040" spans="1:16" x14ac:dyDescent="0.25">
      <c r="A1040" t="s">
        <v>3684</v>
      </c>
      <c r="B1040" t="s">
        <v>3605</v>
      </c>
      <c r="C1040" t="s">
        <v>3677</v>
      </c>
      <c r="H104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40" s="49">
        <f ca="1">IFERROR(WEEKNUM(CRC_War_Room_SIMs[[#This Row],[Ops Date]]), "N/A")</f>
        <v>29</v>
      </c>
      <c r="J104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4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4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40" s="50">
        <f>IF(AND(CRC_War_Room_SIMs[[#This Row],[CI]] = 0, CRC_War_Room_SIMs[[#This Row],[Miss]] = 1), 1, 0)</f>
        <v>0</v>
      </c>
      <c r="N104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4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40" s="50">
        <f>IF(AND(CRC_War_Room_SIMs[[#This Row],[Excluded]] = 0, OR(CRC_War_Room_SIMs[[#This Row],[SLA Miss]] &lt;&gt; "", ISNUMBER(SEARCH("SLA", CRC_War_Room_SIMs[[#This Row],[Labels]])))), 1, 0)</f>
        <v>0</v>
      </c>
    </row>
    <row r="1041" spans="1:16" x14ac:dyDescent="0.25">
      <c r="A1041" t="s">
        <v>3685</v>
      </c>
      <c r="B1041" t="s">
        <v>3686</v>
      </c>
      <c r="C1041" t="s">
        <v>3677</v>
      </c>
      <c r="H104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41" s="49">
        <f ca="1">IFERROR(WEEKNUM(CRC_War_Room_SIMs[[#This Row],[Ops Date]]), "N/A")</f>
        <v>29</v>
      </c>
      <c r="J104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4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4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41" s="50">
        <f>IF(AND(CRC_War_Room_SIMs[[#This Row],[CI]] = 0, CRC_War_Room_SIMs[[#This Row],[Miss]] = 1), 1, 0)</f>
        <v>0</v>
      </c>
      <c r="N104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4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41" s="50">
        <f>IF(AND(CRC_War_Room_SIMs[[#This Row],[Excluded]] = 0, OR(CRC_War_Room_SIMs[[#This Row],[SLA Miss]] &lt;&gt; "", ISNUMBER(SEARCH("SLA", CRC_War_Room_SIMs[[#This Row],[Labels]])))), 1, 0)</f>
        <v>0</v>
      </c>
    </row>
    <row r="1042" spans="1:16" x14ac:dyDescent="0.25">
      <c r="A1042" t="s">
        <v>3687</v>
      </c>
      <c r="B1042" t="s">
        <v>3688</v>
      </c>
      <c r="C1042" t="s">
        <v>3677</v>
      </c>
      <c r="H104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42" s="49">
        <f ca="1">IFERROR(WEEKNUM(CRC_War_Room_SIMs[[#This Row],[Ops Date]]), "N/A")</f>
        <v>29</v>
      </c>
      <c r="J104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4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4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42" s="50">
        <f>IF(AND(CRC_War_Room_SIMs[[#This Row],[CI]] = 0, CRC_War_Room_SIMs[[#This Row],[Miss]] = 1), 1, 0)</f>
        <v>0</v>
      </c>
      <c r="N104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4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42" s="50">
        <f>IF(AND(CRC_War_Room_SIMs[[#This Row],[Excluded]] = 0, OR(CRC_War_Room_SIMs[[#This Row],[SLA Miss]] &lt;&gt; "", ISNUMBER(SEARCH("SLA", CRC_War_Room_SIMs[[#This Row],[Labels]])))), 1, 0)</f>
        <v>0</v>
      </c>
    </row>
    <row r="1043" spans="1:16" x14ac:dyDescent="0.25">
      <c r="A1043" t="s">
        <v>3689</v>
      </c>
      <c r="B1043" t="s">
        <v>3607</v>
      </c>
      <c r="C1043" t="s">
        <v>3677</v>
      </c>
      <c r="H104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43" s="49">
        <f ca="1">IFERROR(WEEKNUM(CRC_War_Room_SIMs[[#This Row],[Ops Date]]), "N/A")</f>
        <v>29</v>
      </c>
      <c r="J104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4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4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43" s="50">
        <f>IF(AND(CRC_War_Room_SIMs[[#This Row],[CI]] = 0, CRC_War_Room_SIMs[[#This Row],[Miss]] = 1), 1, 0)</f>
        <v>0</v>
      </c>
      <c r="N104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4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43" s="50">
        <f>IF(AND(CRC_War_Room_SIMs[[#This Row],[Excluded]] = 0, OR(CRC_War_Room_SIMs[[#This Row],[SLA Miss]] &lt;&gt; "", ISNUMBER(SEARCH("SLA", CRC_War_Room_SIMs[[#This Row],[Labels]])))), 1, 0)</f>
        <v>0</v>
      </c>
    </row>
    <row r="1044" spans="1:16" x14ac:dyDescent="0.25">
      <c r="A1044" t="s">
        <v>3690</v>
      </c>
      <c r="B1044" t="s">
        <v>3605</v>
      </c>
      <c r="C1044" t="s">
        <v>3677</v>
      </c>
      <c r="H104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44" s="49">
        <f ca="1">IFERROR(WEEKNUM(CRC_War_Room_SIMs[[#This Row],[Ops Date]]), "N/A")</f>
        <v>29</v>
      </c>
      <c r="J104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4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4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44" s="50">
        <f>IF(AND(CRC_War_Room_SIMs[[#This Row],[CI]] = 0, CRC_War_Room_SIMs[[#This Row],[Miss]] = 1), 1, 0)</f>
        <v>0</v>
      </c>
      <c r="N104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4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44" s="50">
        <f>IF(AND(CRC_War_Room_SIMs[[#This Row],[Excluded]] = 0, OR(CRC_War_Room_SIMs[[#This Row],[SLA Miss]] &lt;&gt; "", ISNUMBER(SEARCH("SLA", CRC_War_Room_SIMs[[#This Row],[Labels]])))), 1, 0)</f>
        <v>0</v>
      </c>
    </row>
    <row r="1045" spans="1:16" x14ac:dyDescent="0.25">
      <c r="A1045" t="s">
        <v>3691</v>
      </c>
      <c r="B1045" t="s">
        <v>3600</v>
      </c>
      <c r="C1045" t="s">
        <v>3677</v>
      </c>
      <c r="H104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45" s="49">
        <f ca="1">IFERROR(WEEKNUM(CRC_War_Room_SIMs[[#This Row],[Ops Date]]), "N/A")</f>
        <v>29</v>
      </c>
      <c r="J104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4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4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45" s="50">
        <f>IF(AND(CRC_War_Room_SIMs[[#This Row],[CI]] = 0, CRC_War_Room_SIMs[[#This Row],[Miss]] = 1), 1, 0)</f>
        <v>0</v>
      </c>
      <c r="N104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4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45" s="50">
        <f>IF(AND(CRC_War_Room_SIMs[[#This Row],[Excluded]] = 0, OR(CRC_War_Room_SIMs[[#This Row],[SLA Miss]] &lt;&gt; "", ISNUMBER(SEARCH("SLA", CRC_War_Room_SIMs[[#This Row],[Labels]])))), 1, 0)</f>
        <v>0</v>
      </c>
    </row>
    <row r="1046" spans="1:16" x14ac:dyDescent="0.25">
      <c r="A1046" t="s">
        <v>3692</v>
      </c>
      <c r="B1046" t="s">
        <v>3603</v>
      </c>
      <c r="C1046" t="s">
        <v>3677</v>
      </c>
      <c r="H104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46" s="49">
        <f ca="1">IFERROR(WEEKNUM(CRC_War_Room_SIMs[[#This Row],[Ops Date]]), "N/A")</f>
        <v>29</v>
      </c>
      <c r="J104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4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4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46" s="50">
        <f>IF(AND(CRC_War_Room_SIMs[[#This Row],[CI]] = 0, CRC_War_Room_SIMs[[#This Row],[Miss]] = 1), 1, 0)</f>
        <v>0</v>
      </c>
      <c r="N104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4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46" s="50">
        <f>IF(AND(CRC_War_Room_SIMs[[#This Row],[Excluded]] = 0, OR(CRC_War_Room_SIMs[[#This Row],[SLA Miss]] &lt;&gt; "", ISNUMBER(SEARCH("SLA", CRC_War_Room_SIMs[[#This Row],[Labels]])))), 1, 0)</f>
        <v>0</v>
      </c>
    </row>
    <row r="1047" spans="1:16" x14ac:dyDescent="0.25">
      <c r="A1047" t="s">
        <v>3693</v>
      </c>
      <c r="B1047" t="s">
        <v>3607</v>
      </c>
      <c r="C1047" t="s">
        <v>3677</v>
      </c>
      <c r="H104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47" s="49">
        <f ca="1">IFERROR(WEEKNUM(CRC_War_Room_SIMs[[#This Row],[Ops Date]]), "N/A")</f>
        <v>29</v>
      </c>
      <c r="J104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4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4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47" s="50">
        <f>IF(AND(CRC_War_Room_SIMs[[#This Row],[CI]] = 0, CRC_War_Room_SIMs[[#This Row],[Miss]] = 1), 1, 0)</f>
        <v>0</v>
      </c>
      <c r="N104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4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47" s="50">
        <f>IF(AND(CRC_War_Room_SIMs[[#This Row],[Excluded]] = 0, OR(CRC_War_Room_SIMs[[#This Row],[SLA Miss]] &lt;&gt; "", ISNUMBER(SEARCH("SLA", CRC_War_Room_SIMs[[#This Row],[Labels]])))), 1, 0)</f>
        <v>0</v>
      </c>
    </row>
    <row r="1048" spans="1:16" x14ac:dyDescent="0.25">
      <c r="A1048" t="s">
        <v>3694</v>
      </c>
      <c r="B1048" t="s">
        <v>3605</v>
      </c>
      <c r="C1048" t="s">
        <v>3677</v>
      </c>
      <c r="H104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48" s="49">
        <f ca="1">IFERROR(WEEKNUM(CRC_War_Room_SIMs[[#This Row],[Ops Date]]), "N/A")</f>
        <v>29</v>
      </c>
      <c r="J104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4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4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48" s="50">
        <f>IF(AND(CRC_War_Room_SIMs[[#This Row],[CI]] = 0, CRC_War_Room_SIMs[[#This Row],[Miss]] = 1), 1, 0)</f>
        <v>0</v>
      </c>
      <c r="N104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4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48" s="50">
        <f>IF(AND(CRC_War_Room_SIMs[[#This Row],[Excluded]] = 0, OR(CRC_War_Room_SIMs[[#This Row],[SLA Miss]] &lt;&gt; "", ISNUMBER(SEARCH("SLA", CRC_War_Room_SIMs[[#This Row],[Labels]])))), 1, 0)</f>
        <v>0</v>
      </c>
    </row>
    <row r="1049" spans="1:16" x14ac:dyDescent="0.25">
      <c r="A1049" t="s">
        <v>3695</v>
      </c>
      <c r="B1049" t="s">
        <v>3607</v>
      </c>
      <c r="C1049" t="s">
        <v>3677</v>
      </c>
      <c r="H104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49" s="49">
        <f ca="1">IFERROR(WEEKNUM(CRC_War_Room_SIMs[[#This Row],[Ops Date]]), "N/A")</f>
        <v>29</v>
      </c>
      <c r="J104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4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4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49" s="50">
        <f>IF(AND(CRC_War_Room_SIMs[[#This Row],[CI]] = 0, CRC_War_Room_SIMs[[#This Row],[Miss]] = 1), 1, 0)</f>
        <v>0</v>
      </c>
      <c r="N104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4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49" s="50">
        <f>IF(AND(CRC_War_Room_SIMs[[#This Row],[Excluded]] = 0, OR(CRC_War_Room_SIMs[[#This Row],[SLA Miss]] &lt;&gt; "", ISNUMBER(SEARCH("SLA", CRC_War_Room_SIMs[[#This Row],[Labels]])))), 1, 0)</f>
        <v>0</v>
      </c>
    </row>
    <row r="1050" spans="1:16" x14ac:dyDescent="0.25">
      <c r="A1050" t="s">
        <v>3696</v>
      </c>
      <c r="B1050" t="s">
        <v>3605</v>
      </c>
      <c r="C1050" t="s">
        <v>3677</v>
      </c>
      <c r="H105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50" s="49">
        <f ca="1">IFERROR(WEEKNUM(CRC_War_Room_SIMs[[#This Row],[Ops Date]]), "N/A")</f>
        <v>29</v>
      </c>
      <c r="J105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5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5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50" s="50">
        <f>IF(AND(CRC_War_Room_SIMs[[#This Row],[CI]] = 0, CRC_War_Room_SIMs[[#This Row],[Miss]] = 1), 1, 0)</f>
        <v>0</v>
      </c>
      <c r="N105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5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50" s="50">
        <f>IF(AND(CRC_War_Room_SIMs[[#This Row],[Excluded]] = 0, OR(CRC_War_Room_SIMs[[#This Row],[SLA Miss]] &lt;&gt; "", ISNUMBER(SEARCH("SLA", CRC_War_Room_SIMs[[#This Row],[Labels]])))), 1, 0)</f>
        <v>0</v>
      </c>
    </row>
    <row r="1051" spans="1:16" x14ac:dyDescent="0.25">
      <c r="A1051" t="s">
        <v>3697</v>
      </c>
      <c r="B1051" t="s">
        <v>3600</v>
      </c>
      <c r="C1051" t="s">
        <v>3677</v>
      </c>
      <c r="H105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51" s="49">
        <f ca="1">IFERROR(WEEKNUM(CRC_War_Room_SIMs[[#This Row],[Ops Date]]), "N/A")</f>
        <v>29</v>
      </c>
      <c r="J105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5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5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51" s="50">
        <f>IF(AND(CRC_War_Room_SIMs[[#This Row],[CI]] = 0, CRC_War_Room_SIMs[[#This Row],[Miss]] = 1), 1, 0)</f>
        <v>0</v>
      </c>
      <c r="N105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5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51" s="50">
        <f>IF(AND(CRC_War_Room_SIMs[[#This Row],[Excluded]] = 0, OR(CRC_War_Room_SIMs[[#This Row],[SLA Miss]] &lt;&gt; "", ISNUMBER(SEARCH("SLA", CRC_War_Room_SIMs[[#This Row],[Labels]])))), 1, 0)</f>
        <v>0</v>
      </c>
    </row>
    <row r="1052" spans="1:16" x14ac:dyDescent="0.25">
      <c r="A1052" t="s">
        <v>3698</v>
      </c>
      <c r="B1052" t="s">
        <v>3607</v>
      </c>
      <c r="C1052" t="s">
        <v>3677</v>
      </c>
      <c r="H105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52" s="49">
        <f ca="1">IFERROR(WEEKNUM(CRC_War_Room_SIMs[[#This Row],[Ops Date]]), "N/A")</f>
        <v>29</v>
      </c>
      <c r="J105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5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5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52" s="50">
        <f>IF(AND(CRC_War_Room_SIMs[[#This Row],[CI]] = 0, CRC_War_Room_SIMs[[#This Row],[Miss]] = 1), 1, 0)</f>
        <v>0</v>
      </c>
      <c r="N105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5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52" s="50">
        <f>IF(AND(CRC_War_Room_SIMs[[#This Row],[Excluded]] = 0, OR(CRC_War_Room_SIMs[[#This Row],[SLA Miss]] &lt;&gt; "", ISNUMBER(SEARCH("SLA", CRC_War_Room_SIMs[[#This Row],[Labels]])))), 1, 0)</f>
        <v>0</v>
      </c>
    </row>
    <row r="1053" spans="1:16" x14ac:dyDescent="0.25">
      <c r="A1053" t="s">
        <v>3699</v>
      </c>
      <c r="B1053" t="s">
        <v>3605</v>
      </c>
      <c r="C1053" t="s">
        <v>3677</v>
      </c>
      <c r="H105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53" s="49">
        <f ca="1">IFERROR(WEEKNUM(CRC_War_Room_SIMs[[#This Row],[Ops Date]]), "N/A")</f>
        <v>29</v>
      </c>
      <c r="J105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5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5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53" s="50">
        <f>IF(AND(CRC_War_Room_SIMs[[#This Row],[CI]] = 0, CRC_War_Room_SIMs[[#This Row],[Miss]] = 1), 1, 0)</f>
        <v>0</v>
      </c>
      <c r="N105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5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53" s="50">
        <f>IF(AND(CRC_War_Room_SIMs[[#This Row],[Excluded]] = 0, OR(CRC_War_Room_SIMs[[#This Row],[SLA Miss]] &lt;&gt; "", ISNUMBER(SEARCH("SLA", CRC_War_Room_SIMs[[#This Row],[Labels]])))), 1, 0)</f>
        <v>0</v>
      </c>
    </row>
    <row r="1054" spans="1:16" x14ac:dyDescent="0.25">
      <c r="A1054" t="s">
        <v>3700</v>
      </c>
      <c r="B1054" t="s">
        <v>3600</v>
      </c>
      <c r="C1054" t="s">
        <v>3677</v>
      </c>
      <c r="H105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54" s="49">
        <f ca="1">IFERROR(WEEKNUM(CRC_War_Room_SIMs[[#This Row],[Ops Date]]), "N/A")</f>
        <v>29</v>
      </c>
      <c r="J105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5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5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54" s="50">
        <f>IF(AND(CRC_War_Room_SIMs[[#This Row],[CI]] = 0, CRC_War_Room_SIMs[[#This Row],[Miss]] = 1), 1, 0)</f>
        <v>0</v>
      </c>
      <c r="N105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5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54" s="50">
        <f>IF(AND(CRC_War_Room_SIMs[[#This Row],[Excluded]] = 0, OR(CRC_War_Room_SIMs[[#This Row],[SLA Miss]] &lt;&gt; "", ISNUMBER(SEARCH("SLA", CRC_War_Room_SIMs[[#This Row],[Labels]])))), 1, 0)</f>
        <v>0</v>
      </c>
    </row>
    <row r="1055" spans="1:16" x14ac:dyDescent="0.25">
      <c r="A1055" t="s">
        <v>3701</v>
      </c>
      <c r="B1055" t="s">
        <v>3603</v>
      </c>
      <c r="C1055" t="s">
        <v>3677</v>
      </c>
      <c r="H105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55" s="49">
        <f ca="1">IFERROR(WEEKNUM(CRC_War_Room_SIMs[[#This Row],[Ops Date]]), "N/A")</f>
        <v>29</v>
      </c>
      <c r="J105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5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5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55" s="50">
        <f>IF(AND(CRC_War_Room_SIMs[[#This Row],[CI]] = 0, CRC_War_Room_SIMs[[#This Row],[Miss]] = 1), 1, 0)</f>
        <v>0</v>
      </c>
      <c r="N105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5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55" s="50">
        <f>IF(AND(CRC_War_Room_SIMs[[#This Row],[Excluded]] = 0, OR(CRC_War_Room_SIMs[[#This Row],[SLA Miss]] &lt;&gt; "", ISNUMBER(SEARCH("SLA", CRC_War_Room_SIMs[[#This Row],[Labels]])))), 1, 0)</f>
        <v>0</v>
      </c>
    </row>
    <row r="1056" spans="1:16" x14ac:dyDescent="0.25">
      <c r="A1056" t="s">
        <v>3702</v>
      </c>
      <c r="B1056" t="s">
        <v>3607</v>
      </c>
      <c r="C1056" t="s">
        <v>3677</v>
      </c>
      <c r="H105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56" s="49">
        <f ca="1">IFERROR(WEEKNUM(CRC_War_Room_SIMs[[#This Row],[Ops Date]]), "N/A")</f>
        <v>29</v>
      </c>
      <c r="J105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5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5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56" s="50">
        <f>IF(AND(CRC_War_Room_SIMs[[#This Row],[CI]] = 0, CRC_War_Room_SIMs[[#This Row],[Miss]] = 1), 1, 0)</f>
        <v>0</v>
      </c>
      <c r="N105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5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56" s="50">
        <f>IF(AND(CRC_War_Room_SIMs[[#This Row],[Excluded]] = 0, OR(CRC_War_Room_SIMs[[#This Row],[SLA Miss]] &lt;&gt; "", ISNUMBER(SEARCH("SLA", CRC_War_Room_SIMs[[#This Row],[Labels]])))), 1, 0)</f>
        <v>0</v>
      </c>
    </row>
    <row r="1057" spans="1:16" x14ac:dyDescent="0.25">
      <c r="A1057" t="s">
        <v>3703</v>
      </c>
      <c r="B1057" t="s">
        <v>3605</v>
      </c>
      <c r="C1057" t="s">
        <v>3677</v>
      </c>
      <c r="H105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57" s="49">
        <f ca="1">IFERROR(WEEKNUM(CRC_War_Room_SIMs[[#This Row],[Ops Date]]), "N/A")</f>
        <v>29</v>
      </c>
      <c r="J105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5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5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57" s="50">
        <f>IF(AND(CRC_War_Room_SIMs[[#This Row],[CI]] = 0, CRC_War_Room_SIMs[[#This Row],[Miss]] = 1), 1, 0)</f>
        <v>0</v>
      </c>
      <c r="N105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5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57" s="50">
        <f>IF(AND(CRC_War_Room_SIMs[[#This Row],[Excluded]] = 0, OR(CRC_War_Room_SIMs[[#This Row],[SLA Miss]] &lt;&gt; "", ISNUMBER(SEARCH("SLA", CRC_War_Room_SIMs[[#This Row],[Labels]])))), 1, 0)</f>
        <v>0</v>
      </c>
    </row>
    <row r="1058" spans="1:16" x14ac:dyDescent="0.25">
      <c r="A1058" t="s">
        <v>3704</v>
      </c>
      <c r="B1058" t="s">
        <v>3600</v>
      </c>
      <c r="C1058" t="s">
        <v>3677</v>
      </c>
      <c r="H105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58" s="49">
        <f ca="1">IFERROR(WEEKNUM(CRC_War_Room_SIMs[[#This Row],[Ops Date]]), "N/A")</f>
        <v>29</v>
      </c>
      <c r="J105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5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5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58" s="50">
        <f>IF(AND(CRC_War_Room_SIMs[[#This Row],[CI]] = 0, CRC_War_Room_SIMs[[#This Row],[Miss]] = 1), 1, 0)</f>
        <v>0</v>
      </c>
      <c r="N105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5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58" s="50">
        <f>IF(AND(CRC_War_Room_SIMs[[#This Row],[Excluded]] = 0, OR(CRC_War_Room_SIMs[[#This Row],[SLA Miss]] &lt;&gt; "", ISNUMBER(SEARCH("SLA", CRC_War_Room_SIMs[[#This Row],[Labels]])))), 1, 0)</f>
        <v>0</v>
      </c>
    </row>
    <row r="1059" spans="1:16" x14ac:dyDescent="0.25">
      <c r="A1059" t="s">
        <v>3705</v>
      </c>
      <c r="B1059" t="s">
        <v>3603</v>
      </c>
      <c r="C1059" t="s">
        <v>3677</v>
      </c>
      <c r="H105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59" s="49">
        <f ca="1">IFERROR(WEEKNUM(CRC_War_Room_SIMs[[#This Row],[Ops Date]]), "N/A")</f>
        <v>29</v>
      </c>
      <c r="J105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5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5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59" s="50">
        <f>IF(AND(CRC_War_Room_SIMs[[#This Row],[CI]] = 0, CRC_War_Room_SIMs[[#This Row],[Miss]] = 1), 1, 0)</f>
        <v>0</v>
      </c>
      <c r="N105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5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59" s="50">
        <f>IF(AND(CRC_War_Room_SIMs[[#This Row],[Excluded]] = 0, OR(CRC_War_Room_SIMs[[#This Row],[SLA Miss]] &lt;&gt; "", ISNUMBER(SEARCH("SLA", CRC_War_Room_SIMs[[#This Row],[Labels]])))), 1, 0)</f>
        <v>0</v>
      </c>
    </row>
    <row r="1060" spans="1:16" x14ac:dyDescent="0.25">
      <c r="A1060" t="s">
        <v>3706</v>
      </c>
      <c r="B1060" t="s">
        <v>3607</v>
      </c>
      <c r="C1060" t="s">
        <v>3677</v>
      </c>
      <c r="H106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60" s="49">
        <f ca="1">IFERROR(WEEKNUM(CRC_War_Room_SIMs[[#This Row],[Ops Date]]), "N/A")</f>
        <v>29</v>
      </c>
      <c r="J106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6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6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60" s="50">
        <f>IF(AND(CRC_War_Room_SIMs[[#This Row],[CI]] = 0, CRC_War_Room_SIMs[[#This Row],[Miss]] = 1), 1, 0)</f>
        <v>0</v>
      </c>
      <c r="N106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6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60" s="50">
        <f>IF(AND(CRC_War_Room_SIMs[[#This Row],[Excluded]] = 0, OR(CRC_War_Room_SIMs[[#This Row],[SLA Miss]] &lt;&gt; "", ISNUMBER(SEARCH("SLA", CRC_War_Room_SIMs[[#This Row],[Labels]])))), 1, 0)</f>
        <v>0</v>
      </c>
    </row>
    <row r="1061" spans="1:16" x14ac:dyDescent="0.25">
      <c r="A1061" t="s">
        <v>3707</v>
      </c>
      <c r="B1061" t="s">
        <v>3605</v>
      </c>
      <c r="C1061" t="s">
        <v>3677</v>
      </c>
      <c r="H106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61" s="49">
        <f ca="1">IFERROR(WEEKNUM(CRC_War_Room_SIMs[[#This Row],[Ops Date]]), "N/A")</f>
        <v>29</v>
      </c>
      <c r="J106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6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6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61" s="50">
        <f>IF(AND(CRC_War_Room_SIMs[[#This Row],[CI]] = 0, CRC_War_Room_SIMs[[#This Row],[Miss]] = 1), 1, 0)</f>
        <v>0</v>
      </c>
      <c r="N106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6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61" s="50">
        <f>IF(AND(CRC_War_Room_SIMs[[#This Row],[Excluded]] = 0, OR(CRC_War_Room_SIMs[[#This Row],[SLA Miss]] &lt;&gt; "", ISNUMBER(SEARCH("SLA", CRC_War_Room_SIMs[[#This Row],[Labels]])))), 1, 0)</f>
        <v>0</v>
      </c>
    </row>
    <row r="1062" spans="1:16" x14ac:dyDescent="0.25">
      <c r="A1062" t="s">
        <v>3708</v>
      </c>
      <c r="B1062" t="s">
        <v>3603</v>
      </c>
      <c r="C1062" t="s">
        <v>3677</v>
      </c>
      <c r="H106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62" s="49">
        <f ca="1">IFERROR(WEEKNUM(CRC_War_Room_SIMs[[#This Row],[Ops Date]]), "N/A")</f>
        <v>29</v>
      </c>
      <c r="J106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6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6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62" s="50">
        <f>IF(AND(CRC_War_Room_SIMs[[#This Row],[CI]] = 0, CRC_War_Room_SIMs[[#This Row],[Miss]] = 1), 1, 0)</f>
        <v>0</v>
      </c>
      <c r="N106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6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62" s="50">
        <f>IF(AND(CRC_War_Room_SIMs[[#This Row],[Excluded]] = 0, OR(CRC_War_Room_SIMs[[#This Row],[SLA Miss]] &lt;&gt; "", ISNUMBER(SEARCH("SLA", CRC_War_Room_SIMs[[#This Row],[Labels]])))), 1, 0)</f>
        <v>0</v>
      </c>
    </row>
    <row r="1063" spans="1:16" x14ac:dyDescent="0.25">
      <c r="A1063" t="s">
        <v>3709</v>
      </c>
      <c r="B1063" t="s">
        <v>3607</v>
      </c>
      <c r="C1063" t="s">
        <v>3677</v>
      </c>
      <c r="H106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63" s="49">
        <f ca="1">IFERROR(WEEKNUM(CRC_War_Room_SIMs[[#This Row],[Ops Date]]), "N/A")</f>
        <v>29</v>
      </c>
      <c r="J106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6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6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63" s="50">
        <f>IF(AND(CRC_War_Room_SIMs[[#This Row],[CI]] = 0, CRC_War_Room_SIMs[[#This Row],[Miss]] = 1), 1, 0)</f>
        <v>0</v>
      </c>
      <c r="N106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6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63" s="50">
        <f>IF(AND(CRC_War_Room_SIMs[[#This Row],[Excluded]] = 0, OR(CRC_War_Room_SIMs[[#This Row],[SLA Miss]] &lt;&gt; "", ISNUMBER(SEARCH("SLA", CRC_War_Room_SIMs[[#This Row],[Labels]])))), 1, 0)</f>
        <v>0</v>
      </c>
    </row>
    <row r="1064" spans="1:16" x14ac:dyDescent="0.25">
      <c r="A1064" t="s">
        <v>3710</v>
      </c>
      <c r="B1064" t="s">
        <v>3605</v>
      </c>
      <c r="C1064" t="s">
        <v>3677</v>
      </c>
      <c r="H106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64" s="49">
        <f ca="1">IFERROR(WEEKNUM(CRC_War_Room_SIMs[[#This Row],[Ops Date]]), "N/A")</f>
        <v>29</v>
      </c>
      <c r="J106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6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6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64" s="50">
        <f>IF(AND(CRC_War_Room_SIMs[[#This Row],[CI]] = 0, CRC_War_Room_SIMs[[#This Row],[Miss]] = 1), 1, 0)</f>
        <v>0</v>
      </c>
      <c r="N106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6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64" s="50">
        <f>IF(AND(CRC_War_Room_SIMs[[#This Row],[Excluded]] = 0, OR(CRC_War_Room_SIMs[[#This Row],[SLA Miss]] &lt;&gt; "", ISNUMBER(SEARCH("SLA", CRC_War_Room_SIMs[[#This Row],[Labels]])))), 1, 0)</f>
        <v>0</v>
      </c>
    </row>
    <row r="1065" spans="1:16" x14ac:dyDescent="0.25">
      <c r="A1065" t="s">
        <v>3711</v>
      </c>
      <c r="B1065" t="s">
        <v>3603</v>
      </c>
      <c r="C1065" t="s">
        <v>3677</v>
      </c>
      <c r="H106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65" s="49">
        <f ca="1">IFERROR(WEEKNUM(CRC_War_Room_SIMs[[#This Row],[Ops Date]]), "N/A")</f>
        <v>29</v>
      </c>
      <c r="J106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6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6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65" s="50">
        <f>IF(AND(CRC_War_Room_SIMs[[#This Row],[CI]] = 0, CRC_War_Room_SIMs[[#This Row],[Miss]] = 1), 1, 0)</f>
        <v>0</v>
      </c>
      <c r="N106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6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65" s="50">
        <f>IF(AND(CRC_War_Room_SIMs[[#This Row],[Excluded]] = 0, OR(CRC_War_Room_SIMs[[#This Row],[SLA Miss]] &lt;&gt; "", ISNUMBER(SEARCH("SLA", CRC_War_Room_SIMs[[#This Row],[Labels]])))), 1, 0)</f>
        <v>0</v>
      </c>
    </row>
    <row r="1066" spans="1:16" x14ac:dyDescent="0.25">
      <c r="A1066" t="s">
        <v>3712</v>
      </c>
      <c r="B1066" t="s">
        <v>3607</v>
      </c>
      <c r="C1066" t="s">
        <v>3677</v>
      </c>
      <c r="H106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66" s="49">
        <f ca="1">IFERROR(WEEKNUM(CRC_War_Room_SIMs[[#This Row],[Ops Date]]), "N/A")</f>
        <v>29</v>
      </c>
      <c r="J106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6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6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66" s="50">
        <f>IF(AND(CRC_War_Room_SIMs[[#This Row],[CI]] = 0, CRC_War_Room_SIMs[[#This Row],[Miss]] = 1), 1, 0)</f>
        <v>0</v>
      </c>
      <c r="N106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6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66" s="50">
        <f>IF(AND(CRC_War_Room_SIMs[[#This Row],[Excluded]] = 0, OR(CRC_War_Room_SIMs[[#This Row],[SLA Miss]] &lt;&gt; "", ISNUMBER(SEARCH("SLA", CRC_War_Room_SIMs[[#This Row],[Labels]])))), 1, 0)</f>
        <v>0</v>
      </c>
    </row>
    <row r="1067" spans="1:16" x14ac:dyDescent="0.25">
      <c r="A1067" t="s">
        <v>3713</v>
      </c>
      <c r="B1067" t="s">
        <v>3605</v>
      </c>
      <c r="C1067" t="s">
        <v>3677</v>
      </c>
      <c r="H106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67" s="49">
        <f ca="1">IFERROR(WEEKNUM(CRC_War_Room_SIMs[[#This Row],[Ops Date]]), "N/A")</f>
        <v>29</v>
      </c>
      <c r="J106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6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6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67" s="50">
        <f>IF(AND(CRC_War_Room_SIMs[[#This Row],[CI]] = 0, CRC_War_Room_SIMs[[#This Row],[Miss]] = 1), 1, 0)</f>
        <v>0</v>
      </c>
      <c r="N106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6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67" s="50">
        <f>IF(AND(CRC_War_Room_SIMs[[#This Row],[Excluded]] = 0, OR(CRC_War_Room_SIMs[[#This Row],[SLA Miss]] &lt;&gt; "", ISNUMBER(SEARCH("SLA", CRC_War_Room_SIMs[[#This Row],[Labels]])))), 1, 0)</f>
        <v>0</v>
      </c>
    </row>
    <row r="1068" spans="1:16" x14ac:dyDescent="0.25">
      <c r="A1068" t="s">
        <v>3714</v>
      </c>
      <c r="B1068" t="s">
        <v>3607</v>
      </c>
      <c r="C1068" t="s">
        <v>3677</v>
      </c>
      <c r="H106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68" s="49">
        <f ca="1">IFERROR(WEEKNUM(CRC_War_Room_SIMs[[#This Row],[Ops Date]]), "N/A")</f>
        <v>29</v>
      </c>
      <c r="J106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6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6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68" s="50">
        <f>IF(AND(CRC_War_Room_SIMs[[#This Row],[CI]] = 0, CRC_War_Room_SIMs[[#This Row],[Miss]] = 1), 1, 0)</f>
        <v>0</v>
      </c>
      <c r="N106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6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68" s="50">
        <f>IF(AND(CRC_War_Room_SIMs[[#This Row],[Excluded]] = 0, OR(CRC_War_Room_SIMs[[#This Row],[SLA Miss]] &lt;&gt; "", ISNUMBER(SEARCH("SLA", CRC_War_Room_SIMs[[#This Row],[Labels]])))), 1, 0)</f>
        <v>0</v>
      </c>
    </row>
    <row r="1069" spans="1:16" x14ac:dyDescent="0.25">
      <c r="A1069" t="s">
        <v>3715</v>
      </c>
      <c r="B1069" t="s">
        <v>3605</v>
      </c>
      <c r="C1069" t="s">
        <v>3677</v>
      </c>
      <c r="H106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69" s="49">
        <f ca="1">IFERROR(WEEKNUM(CRC_War_Room_SIMs[[#This Row],[Ops Date]]), "N/A")</f>
        <v>29</v>
      </c>
      <c r="J106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6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6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69" s="50">
        <f>IF(AND(CRC_War_Room_SIMs[[#This Row],[CI]] = 0, CRC_War_Room_SIMs[[#This Row],[Miss]] = 1), 1, 0)</f>
        <v>0</v>
      </c>
      <c r="N106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6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69" s="50">
        <f>IF(AND(CRC_War_Room_SIMs[[#This Row],[Excluded]] = 0, OR(CRC_War_Room_SIMs[[#This Row],[SLA Miss]] &lt;&gt; "", ISNUMBER(SEARCH("SLA", CRC_War_Room_SIMs[[#This Row],[Labels]])))), 1, 0)</f>
        <v>0</v>
      </c>
    </row>
    <row r="1070" spans="1:16" x14ac:dyDescent="0.25">
      <c r="A1070" t="s">
        <v>3716</v>
      </c>
      <c r="B1070" t="s">
        <v>3603</v>
      </c>
      <c r="C1070" t="s">
        <v>3677</v>
      </c>
      <c r="H107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70" s="49">
        <f ca="1">IFERROR(WEEKNUM(CRC_War_Room_SIMs[[#This Row],[Ops Date]]), "N/A")</f>
        <v>29</v>
      </c>
      <c r="J107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7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7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70" s="50">
        <f>IF(AND(CRC_War_Room_SIMs[[#This Row],[CI]] = 0, CRC_War_Room_SIMs[[#This Row],[Miss]] = 1), 1, 0)</f>
        <v>0</v>
      </c>
      <c r="N107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7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70" s="50">
        <f>IF(AND(CRC_War_Room_SIMs[[#This Row],[Excluded]] = 0, OR(CRC_War_Room_SIMs[[#This Row],[SLA Miss]] &lt;&gt; "", ISNUMBER(SEARCH("SLA", CRC_War_Room_SIMs[[#This Row],[Labels]])))), 1, 0)</f>
        <v>0</v>
      </c>
    </row>
    <row r="1071" spans="1:16" x14ac:dyDescent="0.25">
      <c r="A1071" t="s">
        <v>3717</v>
      </c>
      <c r="B1071" t="s">
        <v>3607</v>
      </c>
      <c r="C1071" t="s">
        <v>3677</v>
      </c>
      <c r="H107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71" s="49">
        <f ca="1">IFERROR(WEEKNUM(CRC_War_Room_SIMs[[#This Row],[Ops Date]]), "N/A")</f>
        <v>29</v>
      </c>
      <c r="J107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7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7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71" s="50">
        <f>IF(AND(CRC_War_Room_SIMs[[#This Row],[CI]] = 0, CRC_War_Room_SIMs[[#This Row],[Miss]] = 1), 1, 0)</f>
        <v>0</v>
      </c>
      <c r="N107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7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71" s="50">
        <f>IF(AND(CRC_War_Room_SIMs[[#This Row],[Excluded]] = 0, OR(CRC_War_Room_SIMs[[#This Row],[SLA Miss]] &lt;&gt; "", ISNUMBER(SEARCH("SLA", CRC_War_Room_SIMs[[#This Row],[Labels]])))), 1, 0)</f>
        <v>0</v>
      </c>
    </row>
    <row r="1072" spans="1:16" x14ac:dyDescent="0.25">
      <c r="A1072" t="s">
        <v>3718</v>
      </c>
      <c r="B1072" t="s">
        <v>3605</v>
      </c>
      <c r="C1072" t="s">
        <v>3677</v>
      </c>
      <c r="H107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72" s="49">
        <f ca="1">IFERROR(WEEKNUM(CRC_War_Room_SIMs[[#This Row],[Ops Date]]), "N/A")</f>
        <v>29</v>
      </c>
      <c r="J107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7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7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72" s="50">
        <f>IF(AND(CRC_War_Room_SIMs[[#This Row],[CI]] = 0, CRC_War_Room_SIMs[[#This Row],[Miss]] = 1), 1, 0)</f>
        <v>0</v>
      </c>
      <c r="N107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7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72" s="50">
        <f>IF(AND(CRC_War_Room_SIMs[[#This Row],[Excluded]] = 0, OR(CRC_War_Room_SIMs[[#This Row],[SLA Miss]] &lt;&gt; "", ISNUMBER(SEARCH("SLA", CRC_War_Room_SIMs[[#This Row],[Labels]])))), 1, 0)</f>
        <v>0</v>
      </c>
    </row>
    <row r="1073" spans="1:16" x14ac:dyDescent="0.25">
      <c r="A1073" t="s">
        <v>3719</v>
      </c>
      <c r="B1073" t="s">
        <v>3603</v>
      </c>
      <c r="C1073" t="s">
        <v>3677</v>
      </c>
      <c r="H107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73" s="49">
        <f ca="1">IFERROR(WEEKNUM(CRC_War_Room_SIMs[[#This Row],[Ops Date]]), "N/A")</f>
        <v>29</v>
      </c>
      <c r="J107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7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7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73" s="50">
        <f>IF(AND(CRC_War_Room_SIMs[[#This Row],[CI]] = 0, CRC_War_Room_SIMs[[#This Row],[Miss]] = 1), 1, 0)</f>
        <v>0</v>
      </c>
      <c r="N107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7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73" s="50">
        <f>IF(AND(CRC_War_Room_SIMs[[#This Row],[Excluded]] = 0, OR(CRC_War_Room_SIMs[[#This Row],[SLA Miss]] &lt;&gt; "", ISNUMBER(SEARCH("SLA", CRC_War_Room_SIMs[[#This Row],[Labels]])))), 1, 0)</f>
        <v>0</v>
      </c>
    </row>
    <row r="1074" spans="1:16" x14ac:dyDescent="0.25">
      <c r="A1074" t="s">
        <v>3720</v>
      </c>
      <c r="B1074" t="s">
        <v>3607</v>
      </c>
      <c r="C1074" t="s">
        <v>3677</v>
      </c>
      <c r="H107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74" s="49">
        <f ca="1">IFERROR(WEEKNUM(CRC_War_Room_SIMs[[#This Row],[Ops Date]]), "N/A")</f>
        <v>29</v>
      </c>
      <c r="J107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7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7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74" s="50">
        <f>IF(AND(CRC_War_Room_SIMs[[#This Row],[CI]] = 0, CRC_War_Room_SIMs[[#This Row],[Miss]] = 1), 1, 0)</f>
        <v>0</v>
      </c>
      <c r="N107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7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74" s="50">
        <f>IF(AND(CRC_War_Room_SIMs[[#This Row],[Excluded]] = 0, OR(CRC_War_Room_SIMs[[#This Row],[SLA Miss]] &lt;&gt; "", ISNUMBER(SEARCH("SLA", CRC_War_Room_SIMs[[#This Row],[Labels]])))), 1, 0)</f>
        <v>0</v>
      </c>
    </row>
    <row r="1075" spans="1:16" x14ac:dyDescent="0.25">
      <c r="A1075" t="s">
        <v>3721</v>
      </c>
      <c r="B1075" t="s">
        <v>3605</v>
      </c>
      <c r="C1075" t="s">
        <v>3677</v>
      </c>
      <c r="H107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75" s="49">
        <f ca="1">IFERROR(WEEKNUM(CRC_War_Room_SIMs[[#This Row],[Ops Date]]), "N/A")</f>
        <v>29</v>
      </c>
      <c r="J107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7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7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75" s="50">
        <f>IF(AND(CRC_War_Room_SIMs[[#This Row],[CI]] = 0, CRC_War_Room_SIMs[[#This Row],[Miss]] = 1), 1, 0)</f>
        <v>0</v>
      </c>
      <c r="N107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7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75" s="50">
        <f>IF(AND(CRC_War_Room_SIMs[[#This Row],[Excluded]] = 0, OR(CRC_War_Room_SIMs[[#This Row],[SLA Miss]] &lt;&gt; "", ISNUMBER(SEARCH("SLA", CRC_War_Room_SIMs[[#This Row],[Labels]])))), 1, 0)</f>
        <v>0</v>
      </c>
    </row>
    <row r="1076" spans="1:16" x14ac:dyDescent="0.25">
      <c r="A1076" t="s">
        <v>3722</v>
      </c>
      <c r="B1076" t="s">
        <v>3603</v>
      </c>
      <c r="C1076" t="s">
        <v>3677</v>
      </c>
      <c r="H107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76" s="49">
        <f ca="1">IFERROR(WEEKNUM(CRC_War_Room_SIMs[[#This Row],[Ops Date]]), "N/A")</f>
        <v>29</v>
      </c>
      <c r="J107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7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7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76" s="50">
        <f>IF(AND(CRC_War_Room_SIMs[[#This Row],[CI]] = 0, CRC_War_Room_SIMs[[#This Row],[Miss]] = 1), 1, 0)</f>
        <v>0</v>
      </c>
      <c r="N107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7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76" s="50">
        <f>IF(AND(CRC_War_Room_SIMs[[#This Row],[Excluded]] = 0, OR(CRC_War_Room_SIMs[[#This Row],[SLA Miss]] &lt;&gt; "", ISNUMBER(SEARCH("SLA", CRC_War_Room_SIMs[[#This Row],[Labels]])))), 1, 0)</f>
        <v>0</v>
      </c>
    </row>
    <row r="1077" spans="1:16" x14ac:dyDescent="0.25">
      <c r="A1077" t="s">
        <v>3723</v>
      </c>
      <c r="B1077" t="s">
        <v>3607</v>
      </c>
      <c r="C1077" t="s">
        <v>3677</v>
      </c>
      <c r="H107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77" s="49">
        <f ca="1">IFERROR(WEEKNUM(CRC_War_Room_SIMs[[#This Row],[Ops Date]]), "N/A")</f>
        <v>29</v>
      </c>
      <c r="J107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7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7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77" s="50">
        <f>IF(AND(CRC_War_Room_SIMs[[#This Row],[CI]] = 0, CRC_War_Room_SIMs[[#This Row],[Miss]] = 1), 1, 0)</f>
        <v>0</v>
      </c>
      <c r="N107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7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77" s="50">
        <f>IF(AND(CRC_War_Room_SIMs[[#This Row],[Excluded]] = 0, OR(CRC_War_Room_SIMs[[#This Row],[SLA Miss]] &lt;&gt; "", ISNUMBER(SEARCH("SLA", CRC_War_Room_SIMs[[#This Row],[Labels]])))), 1, 0)</f>
        <v>0</v>
      </c>
    </row>
    <row r="1078" spans="1:16" x14ac:dyDescent="0.25">
      <c r="A1078" t="s">
        <v>3724</v>
      </c>
      <c r="B1078" t="s">
        <v>3605</v>
      </c>
      <c r="C1078" t="s">
        <v>3677</v>
      </c>
      <c r="H107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78" s="49">
        <f ca="1">IFERROR(WEEKNUM(CRC_War_Room_SIMs[[#This Row],[Ops Date]]), "N/A")</f>
        <v>29</v>
      </c>
      <c r="J107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7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7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78" s="50">
        <f>IF(AND(CRC_War_Room_SIMs[[#This Row],[CI]] = 0, CRC_War_Room_SIMs[[#This Row],[Miss]] = 1), 1, 0)</f>
        <v>0</v>
      </c>
      <c r="N107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7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78" s="50">
        <f>IF(AND(CRC_War_Room_SIMs[[#This Row],[Excluded]] = 0, OR(CRC_War_Room_SIMs[[#This Row],[SLA Miss]] &lt;&gt; "", ISNUMBER(SEARCH("SLA", CRC_War_Room_SIMs[[#This Row],[Labels]])))), 1, 0)</f>
        <v>0</v>
      </c>
    </row>
    <row r="1079" spans="1:16" x14ac:dyDescent="0.25">
      <c r="A1079" t="s">
        <v>3725</v>
      </c>
      <c r="B1079" t="s">
        <v>3603</v>
      </c>
      <c r="C1079" t="s">
        <v>3677</v>
      </c>
      <c r="H107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79" s="49">
        <f ca="1">IFERROR(WEEKNUM(CRC_War_Room_SIMs[[#This Row],[Ops Date]]), "N/A")</f>
        <v>29</v>
      </c>
      <c r="J107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7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7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79" s="50">
        <f>IF(AND(CRC_War_Room_SIMs[[#This Row],[CI]] = 0, CRC_War_Room_SIMs[[#This Row],[Miss]] = 1), 1, 0)</f>
        <v>0</v>
      </c>
      <c r="N107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7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79" s="50">
        <f>IF(AND(CRC_War_Room_SIMs[[#This Row],[Excluded]] = 0, OR(CRC_War_Room_SIMs[[#This Row],[SLA Miss]] &lt;&gt; "", ISNUMBER(SEARCH("SLA", CRC_War_Room_SIMs[[#This Row],[Labels]])))), 1, 0)</f>
        <v>0</v>
      </c>
    </row>
    <row r="1080" spans="1:16" x14ac:dyDescent="0.25">
      <c r="A1080" t="s">
        <v>3726</v>
      </c>
      <c r="B1080" t="s">
        <v>3607</v>
      </c>
      <c r="C1080" t="s">
        <v>3677</v>
      </c>
      <c r="H108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80" s="49">
        <f ca="1">IFERROR(WEEKNUM(CRC_War_Room_SIMs[[#This Row],[Ops Date]]), "N/A")</f>
        <v>29</v>
      </c>
      <c r="J108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8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8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80" s="50">
        <f>IF(AND(CRC_War_Room_SIMs[[#This Row],[CI]] = 0, CRC_War_Room_SIMs[[#This Row],[Miss]] = 1), 1, 0)</f>
        <v>0</v>
      </c>
      <c r="N108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8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80" s="50">
        <f>IF(AND(CRC_War_Room_SIMs[[#This Row],[Excluded]] = 0, OR(CRC_War_Room_SIMs[[#This Row],[SLA Miss]] &lt;&gt; "", ISNUMBER(SEARCH("SLA", CRC_War_Room_SIMs[[#This Row],[Labels]])))), 1, 0)</f>
        <v>0</v>
      </c>
    </row>
    <row r="1081" spans="1:16" x14ac:dyDescent="0.25">
      <c r="A1081" t="s">
        <v>3727</v>
      </c>
      <c r="B1081" t="s">
        <v>3728</v>
      </c>
      <c r="C1081" t="s">
        <v>3677</v>
      </c>
      <c r="H108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81" s="49">
        <f ca="1">IFERROR(WEEKNUM(CRC_War_Room_SIMs[[#This Row],[Ops Date]]), "N/A")</f>
        <v>29</v>
      </c>
      <c r="J108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8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8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81" s="50">
        <f>IF(AND(CRC_War_Room_SIMs[[#This Row],[CI]] = 0, CRC_War_Room_SIMs[[#This Row],[Miss]] = 1), 1, 0)</f>
        <v>0</v>
      </c>
      <c r="N108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8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81" s="50">
        <f>IF(AND(CRC_War_Room_SIMs[[#This Row],[Excluded]] = 0, OR(CRC_War_Room_SIMs[[#This Row],[SLA Miss]] &lt;&gt; "", ISNUMBER(SEARCH("SLA", CRC_War_Room_SIMs[[#This Row],[Labels]])))), 1, 0)</f>
        <v>0</v>
      </c>
    </row>
    <row r="1082" spans="1:16" x14ac:dyDescent="0.25">
      <c r="A1082" t="s">
        <v>3729</v>
      </c>
      <c r="B1082" t="s">
        <v>3605</v>
      </c>
      <c r="C1082" t="s">
        <v>3677</v>
      </c>
      <c r="H108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82" s="49">
        <f ca="1">IFERROR(WEEKNUM(CRC_War_Room_SIMs[[#This Row],[Ops Date]]), "N/A")</f>
        <v>29</v>
      </c>
      <c r="J108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8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8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82" s="50">
        <f>IF(AND(CRC_War_Room_SIMs[[#This Row],[CI]] = 0, CRC_War_Room_SIMs[[#This Row],[Miss]] = 1), 1, 0)</f>
        <v>0</v>
      </c>
      <c r="N108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8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82" s="50">
        <f>IF(AND(CRC_War_Room_SIMs[[#This Row],[Excluded]] = 0, OR(CRC_War_Room_SIMs[[#This Row],[SLA Miss]] &lt;&gt; "", ISNUMBER(SEARCH("SLA", CRC_War_Room_SIMs[[#This Row],[Labels]])))), 1, 0)</f>
        <v>0</v>
      </c>
    </row>
    <row r="1083" spans="1:16" x14ac:dyDescent="0.25">
      <c r="A1083" t="s">
        <v>3730</v>
      </c>
      <c r="B1083" t="s">
        <v>3603</v>
      </c>
      <c r="C1083" t="s">
        <v>3677</v>
      </c>
      <c r="H108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83" s="49">
        <f ca="1">IFERROR(WEEKNUM(CRC_War_Room_SIMs[[#This Row],[Ops Date]]), "N/A")</f>
        <v>29</v>
      </c>
      <c r="J108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8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8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83" s="50">
        <f>IF(AND(CRC_War_Room_SIMs[[#This Row],[CI]] = 0, CRC_War_Room_SIMs[[#This Row],[Miss]] = 1), 1, 0)</f>
        <v>0</v>
      </c>
      <c r="N108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8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83" s="50">
        <f>IF(AND(CRC_War_Room_SIMs[[#This Row],[Excluded]] = 0, OR(CRC_War_Room_SIMs[[#This Row],[SLA Miss]] &lt;&gt; "", ISNUMBER(SEARCH("SLA", CRC_War_Room_SIMs[[#This Row],[Labels]])))), 1, 0)</f>
        <v>0</v>
      </c>
    </row>
    <row r="1084" spans="1:16" x14ac:dyDescent="0.25">
      <c r="A1084" t="s">
        <v>3731</v>
      </c>
      <c r="B1084" t="s">
        <v>3603</v>
      </c>
      <c r="C1084" t="s">
        <v>3677</v>
      </c>
      <c r="H108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84" s="49">
        <f ca="1">IFERROR(WEEKNUM(CRC_War_Room_SIMs[[#This Row],[Ops Date]]), "N/A")</f>
        <v>29</v>
      </c>
      <c r="J108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8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8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84" s="50">
        <f>IF(AND(CRC_War_Room_SIMs[[#This Row],[CI]] = 0, CRC_War_Room_SIMs[[#This Row],[Miss]] = 1), 1, 0)</f>
        <v>0</v>
      </c>
      <c r="N108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8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84" s="50">
        <f>IF(AND(CRC_War_Room_SIMs[[#This Row],[Excluded]] = 0, OR(CRC_War_Room_SIMs[[#This Row],[SLA Miss]] &lt;&gt; "", ISNUMBER(SEARCH("SLA", CRC_War_Room_SIMs[[#This Row],[Labels]])))), 1, 0)</f>
        <v>0</v>
      </c>
    </row>
    <row r="1085" spans="1:16" x14ac:dyDescent="0.25">
      <c r="A1085" t="s">
        <v>3732</v>
      </c>
      <c r="B1085" t="s">
        <v>3607</v>
      </c>
      <c r="C1085" t="s">
        <v>3677</v>
      </c>
      <c r="H108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85" s="49">
        <f ca="1">IFERROR(WEEKNUM(CRC_War_Room_SIMs[[#This Row],[Ops Date]]), "N/A")</f>
        <v>29</v>
      </c>
      <c r="J108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8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8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85" s="50">
        <f>IF(AND(CRC_War_Room_SIMs[[#This Row],[CI]] = 0, CRC_War_Room_SIMs[[#This Row],[Miss]] = 1), 1, 0)</f>
        <v>0</v>
      </c>
      <c r="N108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8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85" s="50">
        <f>IF(AND(CRC_War_Room_SIMs[[#This Row],[Excluded]] = 0, OR(CRC_War_Room_SIMs[[#This Row],[SLA Miss]] &lt;&gt; "", ISNUMBER(SEARCH("SLA", CRC_War_Room_SIMs[[#This Row],[Labels]])))), 1, 0)</f>
        <v>0</v>
      </c>
    </row>
    <row r="1086" spans="1:16" x14ac:dyDescent="0.25">
      <c r="A1086" t="s">
        <v>3733</v>
      </c>
      <c r="B1086" t="s">
        <v>3600</v>
      </c>
      <c r="C1086" t="s">
        <v>3677</v>
      </c>
      <c r="H108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86" s="49">
        <f ca="1">IFERROR(WEEKNUM(CRC_War_Room_SIMs[[#This Row],[Ops Date]]), "N/A")</f>
        <v>29</v>
      </c>
      <c r="J108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8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8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86" s="50">
        <f>IF(AND(CRC_War_Room_SIMs[[#This Row],[CI]] = 0, CRC_War_Room_SIMs[[#This Row],[Miss]] = 1), 1, 0)</f>
        <v>0</v>
      </c>
      <c r="N108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8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86" s="50">
        <f>IF(AND(CRC_War_Room_SIMs[[#This Row],[Excluded]] = 0, OR(CRC_War_Room_SIMs[[#This Row],[SLA Miss]] &lt;&gt; "", ISNUMBER(SEARCH("SLA", CRC_War_Room_SIMs[[#This Row],[Labels]])))), 1, 0)</f>
        <v>0</v>
      </c>
    </row>
    <row r="1087" spans="1:16" x14ac:dyDescent="0.25">
      <c r="A1087" t="s">
        <v>3734</v>
      </c>
      <c r="B1087" t="s">
        <v>3605</v>
      </c>
      <c r="C1087" t="s">
        <v>3677</v>
      </c>
      <c r="H108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87" s="49">
        <f ca="1">IFERROR(WEEKNUM(CRC_War_Room_SIMs[[#This Row],[Ops Date]]), "N/A")</f>
        <v>29</v>
      </c>
      <c r="J108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8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8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87" s="50">
        <f>IF(AND(CRC_War_Room_SIMs[[#This Row],[CI]] = 0, CRC_War_Room_SIMs[[#This Row],[Miss]] = 1), 1, 0)</f>
        <v>0</v>
      </c>
      <c r="N108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8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87" s="50">
        <f>IF(AND(CRC_War_Room_SIMs[[#This Row],[Excluded]] = 0, OR(CRC_War_Room_SIMs[[#This Row],[SLA Miss]] &lt;&gt; "", ISNUMBER(SEARCH("SLA", CRC_War_Room_SIMs[[#This Row],[Labels]])))), 1, 0)</f>
        <v>0</v>
      </c>
    </row>
    <row r="1088" spans="1:16" x14ac:dyDescent="0.25">
      <c r="A1088" t="s">
        <v>3735</v>
      </c>
      <c r="B1088" t="s">
        <v>3600</v>
      </c>
      <c r="C1088" t="s">
        <v>3677</v>
      </c>
      <c r="H108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88" s="49">
        <f ca="1">IFERROR(WEEKNUM(CRC_War_Room_SIMs[[#This Row],[Ops Date]]), "N/A")</f>
        <v>29</v>
      </c>
      <c r="J108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8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8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88" s="50">
        <f>IF(AND(CRC_War_Room_SIMs[[#This Row],[CI]] = 0, CRC_War_Room_SIMs[[#This Row],[Miss]] = 1), 1, 0)</f>
        <v>0</v>
      </c>
      <c r="N108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8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88" s="50">
        <f>IF(AND(CRC_War_Room_SIMs[[#This Row],[Excluded]] = 0, OR(CRC_War_Room_SIMs[[#This Row],[SLA Miss]] &lt;&gt; "", ISNUMBER(SEARCH("SLA", CRC_War_Room_SIMs[[#This Row],[Labels]])))), 1, 0)</f>
        <v>0</v>
      </c>
    </row>
    <row r="1089" spans="1:16" x14ac:dyDescent="0.25">
      <c r="A1089" t="s">
        <v>3736</v>
      </c>
      <c r="B1089" t="s">
        <v>3600</v>
      </c>
      <c r="C1089" t="s">
        <v>3677</v>
      </c>
      <c r="H108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89" s="49">
        <f ca="1">IFERROR(WEEKNUM(CRC_War_Room_SIMs[[#This Row],[Ops Date]]), "N/A")</f>
        <v>29</v>
      </c>
      <c r="J108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8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8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89" s="50">
        <f>IF(AND(CRC_War_Room_SIMs[[#This Row],[CI]] = 0, CRC_War_Room_SIMs[[#This Row],[Miss]] = 1), 1, 0)</f>
        <v>0</v>
      </c>
      <c r="N108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8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89" s="50">
        <f>IF(AND(CRC_War_Room_SIMs[[#This Row],[Excluded]] = 0, OR(CRC_War_Room_SIMs[[#This Row],[SLA Miss]] &lt;&gt; "", ISNUMBER(SEARCH("SLA", CRC_War_Room_SIMs[[#This Row],[Labels]])))), 1, 0)</f>
        <v>0</v>
      </c>
    </row>
    <row r="1090" spans="1:16" x14ac:dyDescent="0.25">
      <c r="A1090" t="s">
        <v>3737</v>
      </c>
      <c r="B1090" t="s">
        <v>3603</v>
      </c>
      <c r="C1090" t="s">
        <v>3677</v>
      </c>
      <c r="H109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90" s="49">
        <f ca="1">IFERROR(WEEKNUM(CRC_War_Room_SIMs[[#This Row],[Ops Date]]), "N/A")</f>
        <v>29</v>
      </c>
      <c r="J109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9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9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90" s="50">
        <f>IF(AND(CRC_War_Room_SIMs[[#This Row],[CI]] = 0, CRC_War_Room_SIMs[[#This Row],[Miss]] = 1), 1, 0)</f>
        <v>0</v>
      </c>
      <c r="N109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9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90" s="50">
        <f>IF(AND(CRC_War_Room_SIMs[[#This Row],[Excluded]] = 0, OR(CRC_War_Room_SIMs[[#This Row],[SLA Miss]] &lt;&gt; "", ISNUMBER(SEARCH("SLA", CRC_War_Room_SIMs[[#This Row],[Labels]])))), 1, 0)</f>
        <v>0</v>
      </c>
    </row>
    <row r="1091" spans="1:16" x14ac:dyDescent="0.25">
      <c r="A1091" t="s">
        <v>3738</v>
      </c>
      <c r="B1091" t="s">
        <v>3739</v>
      </c>
      <c r="C1091" t="s">
        <v>3740</v>
      </c>
      <c r="H109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091" s="49">
        <f ca="1">IFERROR(WEEKNUM(CRC_War_Room_SIMs[[#This Row],[Ops Date]]), "N/A")</f>
        <v>29</v>
      </c>
      <c r="J109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9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09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091" s="50">
        <f>IF(AND(CRC_War_Room_SIMs[[#This Row],[CI]] = 0, CRC_War_Room_SIMs[[#This Row],[Miss]] = 1), 1, 0)</f>
        <v>0</v>
      </c>
      <c r="N109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9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91" s="50">
        <f>IF(AND(CRC_War_Room_SIMs[[#This Row],[Excluded]] = 0, OR(CRC_War_Room_SIMs[[#This Row],[SLA Miss]] &lt;&gt; "", ISNUMBER(SEARCH("SLA", CRC_War_Room_SIMs[[#This Row],[Labels]])))), 1, 0)</f>
        <v>0</v>
      </c>
    </row>
    <row r="1092" spans="1:16" x14ac:dyDescent="0.25">
      <c r="A1092" t="s">
        <v>3741</v>
      </c>
      <c r="B1092" t="s">
        <v>3603</v>
      </c>
      <c r="C1092" t="s">
        <v>3677</v>
      </c>
      <c r="H109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92" s="49">
        <f ca="1">IFERROR(WEEKNUM(CRC_War_Room_SIMs[[#This Row],[Ops Date]]), "N/A")</f>
        <v>29</v>
      </c>
      <c r="J109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9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9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92" s="50">
        <f>IF(AND(CRC_War_Room_SIMs[[#This Row],[CI]] = 0, CRC_War_Room_SIMs[[#This Row],[Miss]] = 1), 1, 0)</f>
        <v>0</v>
      </c>
      <c r="N109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9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92" s="50">
        <f>IF(AND(CRC_War_Room_SIMs[[#This Row],[Excluded]] = 0, OR(CRC_War_Room_SIMs[[#This Row],[SLA Miss]] &lt;&gt; "", ISNUMBER(SEARCH("SLA", CRC_War_Room_SIMs[[#This Row],[Labels]])))), 1, 0)</f>
        <v>0</v>
      </c>
    </row>
    <row r="1093" spans="1:16" x14ac:dyDescent="0.25">
      <c r="A1093" t="s">
        <v>3742</v>
      </c>
      <c r="B1093" t="s">
        <v>3607</v>
      </c>
      <c r="C1093" t="s">
        <v>3677</v>
      </c>
      <c r="H109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93" s="49">
        <f ca="1">IFERROR(WEEKNUM(CRC_War_Room_SIMs[[#This Row],[Ops Date]]), "N/A")</f>
        <v>29</v>
      </c>
      <c r="J109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9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9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93" s="50">
        <f>IF(AND(CRC_War_Room_SIMs[[#This Row],[CI]] = 0, CRC_War_Room_SIMs[[#This Row],[Miss]] = 1), 1, 0)</f>
        <v>0</v>
      </c>
      <c r="N109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9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93" s="50">
        <f>IF(AND(CRC_War_Room_SIMs[[#This Row],[Excluded]] = 0, OR(CRC_War_Room_SIMs[[#This Row],[SLA Miss]] &lt;&gt; "", ISNUMBER(SEARCH("SLA", CRC_War_Room_SIMs[[#This Row],[Labels]])))), 1, 0)</f>
        <v>0</v>
      </c>
    </row>
    <row r="1094" spans="1:16" x14ac:dyDescent="0.25">
      <c r="A1094" t="s">
        <v>3743</v>
      </c>
      <c r="B1094" t="s">
        <v>3605</v>
      </c>
      <c r="C1094" t="s">
        <v>3677</v>
      </c>
      <c r="H109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94" s="49">
        <f ca="1">IFERROR(WEEKNUM(CRC_War_Room_SIMs[[#This Row],[Ops Date]]), "N/A")</f>
        <v>29</v>
      </c>
      <c r="J109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9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9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94" s="50">
        <f>IF(AND(CRC_War_Room_SIMs[[#This Row],[CI]] = 0, CRC_War_Room_SIMs[[#This Row],[Miss]] = 1), 1, 0)</f>
        <v>0</v>
      </c>
      <c r="N109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9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94" s="50">
        <f>IF(AND(CRC_War_Room_SIMs[[#This Row],[Excluded]] = 0, OR(CRC_War_Room_SIMs[[#This Row],[SLA Miss]] &lt;&gt; "", ISNUMBER(SEARCH("SLA", CRC_War_Room_SIMs[[#This Row],[Labels]])))), 1, 0)</f>
        <v>0</v>
      </c>
    </row>
    <row r="1095" spans="1:16" x14ac:dyDescent="0.25">
      <c r="A1095" t="s">
        <v>3744</v>
      </c>
      <c r="B1095" t="s">
        <v>3600</v>
      </c>
      <c r="C1095" t="s">
        <v>3677</v>
      </c>
      <c r="H109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95" s="49">
        <f ca="1">IFERROR(WEEKNUM(CRC_War_Room_SIMs[[#This Row],[Ops Date]]), "N/A")</f>
        <v>29</v>
      </c>
      <c r="J109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9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9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95" s="50">
        <f>IF(AND(CRC_War_Room_SIMs[[#This Row],[CI]] = 0, CRC_War_Room_SIMs[[#This Row],[Miss]] = 1), 1, 0)</f>
        <v>0</v>
      </c>
      <c r="N109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9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95" s="50">
        <f>IF(AND(CRC_War_Room_SIMs[[#This Row],[Excluded]] = 0, OR(CRC_War_Room_SIMs[[#This Row],[SLA Miss]] &lt;&gt; "", ISNUMBER(SEARCH("SLA", CRC_War_Room_SIMs[[#This Row],[Labels]])))), 1, 0)</f>
        <v>0</v>
      </c>
    </row>
    <row r="1096" spans="1:16" x14ac:dyDescent="0.25">
      <c r="A1096" t="s">
        <v>3745</v>
      </c>
      <c r="B1096" t="s">
        <v>3746</v>
      </c>
      <c r="C1096" t="s">
        <v>3677</v>
      </c>
      <c r="H109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96" s="49">
        <f ca="1">IFERROR(WEEKNUM(CRC_War_Room_SIMs[[#This Row],[Ops Date]]), "N/A")</f>
        <v>29</v>
      </c>
      <c r="J109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9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9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96" s="50">
        <f>IF(AND(CRC_War_Room_SIMs[[#This Row],[CI]] = 0, CRC_War_Room_SIMs[[#This Row],[Miss]] = 1), 1, 0)</f>
        <v>0</v>
      </c>
      <c r="N109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9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96" s="50">
        <f>IF(AND(CRC_War_Room_SIMs[[#This Row],[Excluded]] = 0, OR(CRC_War_Room_SIMs[[#This Row],[SLA Miss]] &lt;&gt; "", ISNUMBER(SEARCH("SLA", CRC_War_Room_SIMs[[#This Row],[Labels]])))), 1, 0)</f>
        <v>0</v>
      </c>
    </row>
    <row r="1097" spans="1:16" x14ac:dyDescent="0.25">
      <c r="A1097" t="s">
        <v>3747</v>
      </c>
      <c r="B1097" t="s">
        <v>3688</v>
      </c>
      <c r="C1097" t="s">
        <v>3677</v>
      </c>
      <c r="H109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97" s="49">
        <f ca="1">IFERROR(WEEKNUM(CRC_War_Room_SIMs[[#This Row],[Ops Date]]), "N/A")</f>
        <v>29</v>
      </c>
      <c r="J109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9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9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97" s="50">
        <f>IF(AND(CRC_War_Room_SIMs[[#This Row],[CI]] = 0, CRC_War_Room_SIMs[[#This Row],[Miss]] = 1), 1, 0)</f>
        <v>0</v>
      </c>
      <c r="N109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9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97" s="50">
        <f>IF(AND(CRC_War_Room_SIMs[[#This Row],[Excluded]] = 0, OR(CRC_War_Room_SIMs[[#This Row],[SLA Miss]] &lt;&gt; "", ISNUMBER(SEARCH("SLA", CRC_War_Room_SIMs[[#This Row],[Labels]])))), 1, 0)</f>
        <v>0</v>
      </c>
    </row>
    <row r="1098" spans="1:16" x14ac:dyDescent="0.25">
      <c r="A1098" t="s">
        <v>3748</v>
      </c>
      <c r="B1098" t="s">
        <v>3686</v>
      </c>
      <c r="C1098" t="s">
        <v>3677</v>
      </c>
      <c r="H109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98" s="49">
        <f ca="1">IFERROR(WEEKNUM(CRC_War_Room_SIMs[[#This Row],[Ops Date]]), "N/A")</f>
        <v>29</v>
      </c>
      <c r="J109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9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9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98" s="50">
        <f>IF(AND(CRC_War_Room_SIMs[[#This Row],[CI]] = 0, CRC_War_Room_SIMs[[#This Row],[Miss]] = 1), 1, 0)</f>
        <v>0</v>
      </c>
      <c r="N109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9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98" s="50">
        <f>IF(AND(CRC_War_Room_SIMs[[#This Row],[Excluded]] = 0, OR(CRC_War_Room_SIMs[[#This Row],[SLA Miss]] &lt;&gt; "", ISNUMBER(SEARCH("SLA", CRC_War_Room_SIMs[[#This Row],[Labels]])))), 1, 0)</f>
        <v>0</v>
      </c>
    </row>
    <row r="1099" spans="1:16" x14ac:dyDescent="0.25">
      <c r="A1099" t="s">
        <v>3749</v>
      </c>
      <c r="B1099" t="s">
        <v>3746</v>
      </c>
      <c r="C1099" t="s">
        <v>3677</v>
      </c>
      <c r="H109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099" s="49">
        <f ca="1">IFERROR(WEEKNUM(CRC_War_Room_SIMs[[#This Row],[Ops Date]]), "N/A")</f>
        <v>29</v>
      </c>
      <c r="J109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09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09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099" s="50">
        <f>IF(AND(CRC_War_Room_SIMs[[#This Row],[CI]] = 0, CRC_War_Room_SIMs[[#This Row],[Miss]] = 1), 1, 0)</f>
        <v>0</v>
      </c>
      <c r="N109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09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099" s="50">
        <f>IF(AND(CRC_War_Room_SIMs[[#This Row],[Excluded]] = 0, OR(CRC_War_Room_SIMs[[#This Row],[SLA Miss]] &lt;&gt; "", ISNUMBER(SEARCH("SLA", CRC_War_Room_SIMs[[#This Row],[Labels]])))), 1, 0)</f>
        <v>0</v>
      </c>
    </row>
    <row r="1100" spans="1:16" x14ac:dyDescent="0.25">
      <c r="A1100" t="s">
        <v>3750</v>
      </c>
      <c r="B1100" t="s">
        <v>3728</v>
      </c>
      <c r="C1100" t="s">
        <v>3677</v>
      </c>
      <c r="H110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00" s="49">
        <f ca="1">IFERROR(WEEKNUM(CRC_War_Room_SIMs[[#This Row],[Ops Date]]), "N/A")</f>
        <v>29</v>
      </c>
      <c r="J110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0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0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00" s="50">
        <f>IF(AND(CRC_War_Room_SIMs[[#This Row],[CI]] = 0, CRC_War_Room_SIMs[[#This Row],[Miss]] = 1), 1, 0)</f>
        <v>0</v>
      </c>
      <c r="N110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0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00" s="50">
        <f>IF(AND(CRC_War_Room_SIMs[[#This Row],[Excluded]] = 0, OR(CRC_War_Room_SIMs[[#This Row],[SLA Miss]] &lt;&gt; "", ISNUMBER(SEARCH("SLA", CRC_War_Room_SIMs[[#This Row],[Labels]])))), 1, 0)</f>
        <v>0</v>
      </c>
    </row>
    <row r="1101" spans="1:16" x14ac:dyDescent="0.25">
      <c r="A1101" t="s">
        <v>3751</v>
      </c>
      <c r="B1101" t="s">
        <v>3688</v>
      </c>
      <c r="C1101" t="s">
        <v>3677</v>
      </c>
      <c r="H110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01" s="49">
        <f ca="1">IFERROR(WEEKNUM(CRC_War_Room_SIMs[[#This Row],[Ops Date]]), "N/A")</f>
        <v>29</v>
      </c>
      <c r="J110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0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0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01" s="50">
        <f>IF(AND(CRC_War_Room_SIMs[[#This Row],[CI]] = 0, CRC_War_Room_SIMs[[#This Row],[Miss]] = 1), 1, 0)</f>
        <v>0</v>
      </c>
      <c r="N110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0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01" s="50">
        <f>IF(AND(CRC_War_Room_SIMs[[#This Row],[Excluded]] = 0, OR(CRC_War_Room_SIMs[[#This Row],[SLA Miss]] &lt;&gt; "", ISNUMBER(SEARCH("SLA", CRC_War_Room_SIMs[[#This Row],[Labels]])))), 1, 0)</f>
        <v>0</v>
      </c>
    </row>
    <row r="1102" spans="1:16" x14ac:dyDescent="0.25">
      <c r="A1102" t="s">
        <v>3752</v>
      </c>
      <c r="B1102" t="s">
        <v>3686</v>
      </c>
      <c r="C1102" t="s">
        <v>3677</v>
      </c>
      <c r="H110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02" s="49">
        <f ca="1">IFERROR(WEEKNUM(CRC_War_Room_SIMs[[#This Row],[Ops Date]]), "N/A")</f>
        <v>29</v>
      </c>
      <c r="J110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0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0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02" s="50">
        <f>IF(AND(CRC_War_Room_SIMs[[#This Row],[CI]] = 0, CRC_War_Room_SIMs[[#This Row],[Miss]] = 1), 1, 0)</f>
        <v>0</v>
      </c>
      <c r="N110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0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02" s="50">
        <f>IF(AND(CRC_War_Room_SIMs[[#This Row],[Excluded]] = 0, OR(CRC_War_Room_SIMs[[#This Row],[SLA Miss]] &lt;&gt; "", ISNUMBER(SEARCH("SLA", CRC_War_Room_SIMs[[#This Row],[Labels]])))), 1, 0)</f>
        <v>0</v>
      </c>
    </row>
    <row r="1103" spans="1:16" x14ac:dyDescent="0.25">
      <c r="A1103" t="s">
        <v>3753</v>
      </c>
      <c r="B1103" t="s">
        <v>3728</v>
      </c>
      <c r="C1103" t="s">
        <v>3677</v>
      </c>
      <c r="H110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03" s="49">
        <f ca="1">IFERROR(WEEKNUM(CRC_War_Room_SIMs[[#This Row],[Ops Date]]), "N/A")</f>
        <v>29</v>
      </c>
      <c r="J110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0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0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03" s="50">
        <f>IF(AND(CRC_War_Room_SIMs[[#This Row],[CI]] = 0, CRC_War_Room_SIMs[[#This Row],[Miss]] = 1), 1, 0)</f>
        <v>0</v>
      </c>
      <c r="N110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0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03" s="50">
        <f>IF(AND(CRC_War_Room_SIMs[[#This Row],[Excluded]] = 0, OR(CRC_War_Room_SIMs[[#This Row],[SLA Miss]] &lt;&gt; "", ISNUMBER(SEARCH("SLA", CRC_War_Room_SIMs[[#This Row],[Labels]])))), 1, 0)</f>
        <v>0</v>
      </c>
    </row>
    <row r="1104" spans="1:16" x14ac:dyDescent="0.25">
      <c r="A1104" t="s">
        <v>3754</v>
      </c>
      <c r="B1104" t="s">
        <v>3688</v>
      </c>
      <c r="C1104" t="s">
        <v>3677</v>
      </c>
      <c r="H110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04" s="49">
        <f ca="1">IFERROR(WEEKNUM(CRC_War_Room_SIMs[[#This Row],[Ops Date]]), "N/A")</f>
        <v>29</v>
      </c>
      <c r="J110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0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0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04" s="50">
        <f>IF(AND(CRC_War_Room_SIMs[[#This Row],[CI]] = 0, CRC_War_Room_SIMs[[#This Row],[Miss]] = 1), 1, 0)</f>
        <v>0</v>
      </c>
      <c r="N110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0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04" s="50">
        <f>IF(AND(CRC_War_Room_SIMs[[#This Row],[Excluded]] = 0, OR(CRC_War_Room_SIMs[[#This Row],[SLA Miss]] &lt;&gt; "", ISNUMBER(SEARCH("SLA", CRC_War_Room_SIMs[[#This Row],[Labels]])))), 1, 0)</f>
        <v>0</v>
      </c>
    </row>
    <row r="1105" spans="1:16" x14ac:dyDescent="0.25">
      <c r="A1105" t="s">
        <v>3755</v>
      </c>
      <c r="B1105" t="s">
        <v>3728</v>
      </c>
      <c r="C1105" t="s">
        <v>3677</v>
      </c>
      <c r="H110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05" s="49">
        <f ca="1">IFERROR(WEEKNUM(CRC_War_Room_SIMs[[#This Row],[Ops Date]]), "N/A")</f>
        <v>29</v>
      </c>
      <c r="J110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0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0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05" s="50">
        <f>IF(AND(CRC_War_Room_SIMs[[#This Row],[CI]] = 0, CRC_War_Room_SIMs[[#This Row],[Miss]] = 1), 1, 0)</f>
        <v>0</v>
      </c>
      <c r="N110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0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05" s="50">
        <f>IF(AND(CRC_War_Room_SIMs[[#This Row],[Excluded]] = 0, OR(CRC_War_Room_SIMs[[#This Row],[SLA Miss]] &lt;&gt; "", ISNUMBER(SEARCH("SLA", CRC_War_Room_SIMs[[#This Row],[Labels]])))), 1, 0)</f>
        <v>0</v>
      </c>
    </row>
    <row r="1106" spans="1:16" x14ac:dyDescent="0.25">
      <c r="A1106" t="s">
        <v>3756</v>
      </c>
      <c r="B1106" t="s">
        <v>3686</v>
      </c>
      <c r="C1106" t="s">
        <v>3677</v>
      </c>
      <c r="H110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06" s="49">
        <f ca="1">IFERROR(WEEKNUM(CRC_War_Room_SIMs[[#This Row],[Ops Date]]), "N/A")</f>
        <v>29</v>
      </c>
      <c r="J110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0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0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06" s="50">
        <f>IF(AND(CRC_War_Room_SIMs[[#This Row],[CI]] = 0, CRC_War_Room_SIMs[[#This Row],[Miss]] = 1), 1, 0)</f>
        <v>0</v>
      </c>
      <c r="N110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0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06" s="50">
        <f>IF(AND(CRC_War_Room_SIMs[[#This Row],[Excluded]] = 0, OR(CRC_War_Room_SIMs[[#This Row],[SLA Miss]] &lt;&gt; "", ISNUMBER(SEARCH("SLA", CRC_War_Room_SIMs[[#This Row],[Labels]])))), 1, 0)</f>
        <v>0</v>
      </c>
    </row>
    <row r="1107" spans="1:16" x14ac:dyDescent="0.25">
      <c r="A1107" t="s">
        <v>3757</v>
      </c>
      <c r="B1107" t="s">
        <v>3688</v>
      </c>
      <c r="C1107" t="s">
        <v>3677</v>
      </c>
      <c r="H110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07" s="49">
        <f ca="1">IFERROR(WEEKNUM(CRC_War_Room_SIMs[[#This Row],[Ops Date]]), "N/A")</f>
        <v>29</v>
      </c>
      <c r="J110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0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0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07" s="50">
        <f>IF(AND(CRC_War_Room_SIMs[[#This Row],[CI]] = 0, CRC_War_Room_SIMs[[#This Row],[Miss]] = 1), 1, 0)</f>
        <v>0</v>
      </c>
      <c r="N110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0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07" s="50">
        <f>IF(AND(CRC_War_Room_SIMs[[#This Row],[Excluded]] = 0, OR(CRC_War_Room_SIMs[[#This Row],[SLA Miss]] &lt;&gt; "", ISNUMBER(SEARCH("SLA", CRC_War_Room_SIMs[[#This Row],[Labels]])))), 1, 0)</f>
        <v>0</v>
      </c>
    </row>
    <row r="1108" spans="1:16" x14ac:dyDescent="0.25">
      <c r="A1108" t="s">
        <v>3758</v>
      </c>
      <c r="B1108" t="s">
        <v>3686</v>
      </c>
      <c r="C1108" t="s">
        <v>3677</v>
      </c>
      <c r="H110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08" s="49">
        <f ca="1">IFERROR(WEEKNUM(CRC_War_Room_SIMs[[#This Row],[Ops Date]]), "N/A")</f>
        <v>29</v>
      </c>
      <c r="J110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0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0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08" s="50">
        <f>IF(AND(CRC_War_Room_SIMs[[#This Row],[CI]] = 0, CRC_War_Room_SIMs[[#This Row],[Miss]] = 1), 1, 0)</f>
        <v>0</v>
      </c>
      <c r="N110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0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08" s="50">
        <f>IF(AND(CRC_War_Room_SIMs[[#This Row],[Excluded]] = 0, OR(CRC_War_Room_SIMs[[#This Row],[SLA Miss]] &lt;&gt; "", ISNUMBER(SEARCH("SLA", CRC_War_Room_SIMs[[#This Row],[Labels]])))), 1, 0)</f>
        <v>0</v>
      </c>
    </row>
    <row r="1109" spans="1:16" x14ac:dyDescent="0.25">
      <c r="A1109" t="s">
        <v>3759</v>
      </c>
      <c r="B1109" t="s">
        <v>3728</v>
      </c>
      <c r="C1109" t="s">
        <v>3677</v>
      </c>
      <c r="H110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09" s="49">
        <f ca="1">IFERROR(WEEKNUM(CRC_War_Room_SIMs[[#This Row],[Ops Date]]), "N/A")</f>
        <v>29</v>
      </c>
      <c r="J110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0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0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09" s="50">
        <f>IF(AND(CRC_War_Room_SIMs[[#This Row],[CI]] = 0, CRC_War_Room_SIMs[[#This Row],[Miss]] = 1), 1, 0)</f>
        <v>0</v>
      </c>
      <c r="N110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0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09" s="50">
        <f>IF(AND(CRC_War_Room_SIMs[[#This Row],[Excluded]] = 0, OR(CRC_War_Room_SIMs[[#This Row],[SLA Miss]] &lt;&gt; "", ISNUMBER(SEARCH("SLA", CRC_War_Room_SIMs[[#This Row],[Labels]])))), 1, 0)</f>
        <v>0</v>
      </c>
    </row>
    <row r="1110" spans="1:16" x14ac:dyDescent="0.25">
      <c r="A1110" t="s">
        <v>3760</v>
      </c>
      <c r="B1110" t="s">
        <v>3603</v>
      </c>
      <c r="C1110" t="s">
        <v>3677</v>
      </c>
      <c r="H111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10" s="49">
        <f ca="1">IFERROR(WEEKNUM(CRC_War_Room_SIMs[[#This Row],[Ops Date]]), "N/A")</f>
        <v>29</v>
      </c>
      <c r="J111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1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1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10" s="50">
        <f>IF(AND(CRC_War_Room_SIMs[[#This Row],[CI]] = 0, CRC_War_Room_SIMs[[#This Row],[Miss]] = 1), 1, 0)</f>
        <v>0</v>
      </c>
      <c r="N111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1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10" s="50">
        <f>IF(AND(CRC_War_Room_SIMs[[#This Row],[Excluded]] = 0, OR(CRC_War_Room_SIMs[[#This Row],[SLA Miss]] &lt;&gt; "", ISNUMBER(SEARCH("SLA", CRC_War_Room_SIMs[[#This Row],[Labels]])))), 1, 0)</f>
        <v>0</v>
      </c>
    </row>
    <row r="1111" spans="1:16" x14ac:dyDescent="0.25">
      <c r="A1111" t="s">
        <v>3761</v>
      </c>
      <c r="B1111" t="s">
        <v>3688</v>
      </c>
      <c r="C1111" t="s">
        <v>3677</v>
      </c>
      <c r="H111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11" s="49">
        <f ca="1">IFERROR(WEEKNUM(CRC_War_Room_SIMs[[#This Row],[Ops Date]]), "N/A")</f>
        <v>29</v>
      </c>
      <c r="J111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1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1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11" s="50">
        <f>IF(AND(CRC_War_Room_SIMs[[#This Row],[CI]] = 0, CRC_War_Room_SIMs[[#This Row],[Miss]] = 1), 1, 0)</f>
        <v>0</v>
      </c>
      <c r="N111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1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11" s="50">
        <f>IF(AND(CRC_War_Room_SIMs[[#This Row],[Excluded]] = 0, OR(CRC_War_Room_SIMs[[#This Row],[SLA Miss]] &lt;&gt; "", ISNUMBER(SEARCH("SLA", CRC_War_Room_SIMs[[#This Row],[Labels]])))), 1, 0)</f>
        <v>0</v>
      </c>
    </row>
    <row r="1112" spans="1:16" x14ac:dyDescent="0.25">
      <c r="A1112" t="s">
        <v>3762</v>
      </c>
      <c r="B1112" t="s">
        <v>3686</v>
      </c>
      <c r="C1112" t="s">
        <v>3677</v>
      </c>
      <c r="H111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12" s="49">
        <f ca="1">IFERROR(WEEKNUM(CRC_War_Room_SIMs[[#This Row],[Ops Date]]), "N/A")</f>
        <v>29</v>
      </c>
      <c r="J111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1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1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12" s="50">
        <f>IF(AND(CRC_War_Room_SIMs[[#This Row],[CI]] = 0, CRC_War_Room_SIMs[[#This Row],[Miss]] = 1), 1, 0)</f>
        <v>0</v>
      </c>
      <c r="N111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1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12" s="50">
        <f>IF(AND(CRC_War_Room_SIMs[[#This Row],[Excluded]] = 0, OR(CRC_War_Room_SIMs[[#This Row],[SLA Miss]] &lt;&gt; "", ISNUMBER(SEARCH("SLA", CRC_War_Room_SIMs[[#This Row],[Labels]])))), 1, 0)</f>
        <v>0</v>
      </c>
    </row>
    <row r="1113" spans="1:16" x14ac:dyDescent="0.25">
      <c r="A1113" t="s">
        <v>3763</v>
      </c>
      <c r="B1113" t="s">
        <v>3603</v>
      </c>
      <c r="C1113" t="s">
        <v>3677</v>
      </c>
      <c r="H111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13" s="49">
        <f ca="1">IFERROR(WEEKNUM(CRC_War_Room_SIMs[[#This Row],[Ops Date]]), "N/A")</f>
        <v>29</v>
      </c>
      <c r="J111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1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1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13" s="50">
        <f>IF(AND(CRC_War_Room_SIMs[[#This Row],[CI]] = 0, CRC_War_Room_SIMs[[#This Row],[Miss]] = 1), 1, 0)</f>
        <v>0</v>
      </c>
      <c r="N111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1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13" s="50">
        <f>IF(AND(CRC_War_Room_SIMs[[#This Row],[Excluded]] = 0, OR(CRC_War_Room_SIMs[[#This Row],[SLA Miss]] &lt;&gt; "", ISNUMBER(SEARCH("SLA", CRC_War_Room_SIMs[[#This Row],[Labels]])))), 1, 0)</f>
        <v>0</v>
      </c>
    </row>
    <row r="1114" spans="1:16" x14ac:dyDescent="0.25">
      <c r="A1114" t="s">
        <v>3764</v>
      </c>
      <c r="B1114" t="s">
        <v>3746</v>
      </c>
      <c r="C1114" t="s">
        <v>3677</v>
      </c>
      <c r="H111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14" s="49">
        <f ca="1">IFERROR(WEEKNUM(CRC_War_Room_SIMs[[#This Row],[Ops Date]]), "N/A")</f>
        <v>29</v>
      </c>
      <c r="J111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1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1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14" s="50">
        <f>IF(AND(CRC_War_Room_SIMs[[#This Row],[CI]] = 0, CRC_War_Room_SIMs[[#This Row],[Miss]] = 1), 1, 0)</f>
        <v>0</v>
      </c>
      <c r="N111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1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14" s="50">
        <f>IF(AND(CRC_War_Room_SIMs[[#This Row],[Excluded]] = 0, OR(CRC_War_Room_SIMs[[#This Row],[SLA Miss]] &lt;&gt; "", ISNUMBER(SEARCH("SLA", CRC_War_Room_SIMs[[#This Row],[Labels]])))), 1, 0)</f>
        <v>0</v>
      </c>
    </row>
    <row r="1115" spans="1:16" x14ac:dyDescent="0.25">
      <c r="A1115" t="s">
        <v>3765</v>
      </c>
      <c r="B1115" t="s">
        <v>3603</v>
      </c>
      <c r="C1115" t="s">
        <v>3677</v>
      </c>
      <c r="H111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15" s="49">
        <f ca="1">IFERROR(WEEKNUM(CRC_War_Room_SIMs[[#This Row],[Ops Date]]), "N/A")</f>
        <v>29</v>
      </c>
      <c r="J111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1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1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15" s="50">
        <f>IF(AND(CRC_War_Room_SIMs[[#This Row],[CI]] = 0, CRC_War_Room_SIMs[[#This Row],[Miss]] = 1), 1, 0)</f>
        <v>0</v>
      </c>
      <c r="N111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1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15" s="50">
        <f>IF(AND(CRC_War_Room_SIMs[[#This Row],[Excluded]] = 0, OR(CRC_War_Room_SIMs[[#This Row],[SLA Miss]] &lt;&gt; "", ISNUMBER(SEARCH("SLA", CRC_War_Room_SIMs[[#This Row],[Labels]])))), 1, 0)</f>
        <v>0</v>
      </c>
    </row>
    <row r="1116" spans="1:16" x14ac:dyDescent="0.25">
      <c r="A1116" t="s">
        <v>3766</v>
      </c>
      <c r="B1116" t="s">
        <v>3728</v>
      </c>
      <c r="C1116" t="s">
        <v>3677</v>
      </c>
      <c r="H111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16" s="49">
        <f ca="1">IFERROR(WEEKNUM(CRC_War_Room_SIMs[[#This Row],[Ops Date]]), "N/A")</f>
        <v>29</v>
      </c>
      <c r="J111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1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1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16" s="50">
        <f>IF(AND(CRC_War_Room_SIMs[[#This Row],[CI]] = 0, CRC_War_Room_SIMs[[#This Row],[Miss]] = 1), 1, 0)</f>
        <v>0</v>
      </c>
      <c r="N111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1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16" s="50">
        <f>IF(AND(CRC_War_Room_SIMs[[#This Row],[Excluded]] = 0, OR(CRC_War_Room_SIMs[[#This Row],[SLA Miss]] &lt;&gt; "", ISNUMBER(SEARCH("SLA", CRC_War_Room_SIMs[[#This Row],[Labels]])))), 1, 0)</f>
        <v>0</v>
      </c>
    </row>
    <row r="1117" spans="1:16" x14ac:dyDescent="0.25">
      <c r="A1117" t="s">
        <v>3767</v>
      </c>
      <c r="B1117" t="s">
        <v>3688</v>
      </c>
      <c r="C1117" t="s">
        <v>3677</v>
      </c>
      <c r="H111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17" s="49">
        <f ca="1">IFERROR(WEEKNUM(CRC_War_Room_SIMs[[#This Row],[Ops Date]]), "N/A")</f>
        <v>29</v>
      </c>
      <c r="J111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1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1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17" s="50">
        <f>IF(AND(CRC_War_Room_SIMs[[#This Row],[CI]] = 0, CRC_War_Room_SIMs[[#This Row],[Miss]] = 1), 1, 0)</f>
        <v>0</v>
      </c>
      <c r="N111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1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17" s="50">
        <f>IF(AND(CRC_War_Room_SIMs[[#This Row],[Excluded]] = 0, OR(CRC_War_Room_SIMs[[#This Row],[SLA Miss]] &lt;&gt; "", ISNUMBER(SEARCH("SLA", CRC_War_Room_SIMs[[#This Row],[Labels]])))), 1, 0)</f>
        <v>0</v>
      </c>
    </row>
    <row r="1118" spans="1:16" x14ac:dyDescent="0.25">
      <c r="A1118" t="s">
        <v>3768</v>
      </c>
      <c r="B1118" t="s">
        <v>3746</v>
      </c>
      <c r="C1118" t="s">
        <v>3677</v>
      </c>
      <c r="H111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18" s="49">
        <f ca="1">IFERROR(WEEKNUM(CRC_War_Room_SIMs[[#This Row],[Ops Date]]), "N/A")</f>
        <v>29</v>
      </c>
      <c r="J111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1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1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18" s="50">
        <f>IF(AND(CRC_War_Room_SIMs[[#This Row],[CI]] = 0, CRC_War_Room_SIMs[[#This Row],[Miss]] = 1), 1, 0)</f>
        <v>0</v>
      </c>
      <c r="N111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1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18" s="50">
        <f>IF(AND(CRC_War_Room_SIMs[[#This Row],[Excluded]] = 0, OR(CRC_War_Room_SIMs[[#This Row],[SLA Miss]] &lt;&gt; "", ISNUMBER(SEARCH("SLA", CRC_War_Room_SIMs[[#This Row],[Labels]])))), 1, 0)</f>
        <v>0</v>
      </c>
    </row>
    <row r="1119" spans="1:16" x14ac:dyDescent="0.25">
      <c r="A1119" t="s">
        <v>3769</v>
      </c>
      <c r="B1119" t="s">
        <v>3686</v>
      </c>
      <c r="C1119" t="s">
        <v>3677</v>
      </c>
      <c r="H111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19" s="49">
        <f ca="1">IFERROR(WEEKNUM(CRC_War_Room_SIMs[[#This Row],[Ops Date]]), "N/A")</f>
        <v>29</v>
      </c>
      <c r="J111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1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1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19" s="50">
        <f>IF(AND(CRC_War_Room_SIMs[[#This Row],[CI]] = 0, CRC_War_Room_SIMs[[#This Row],[Miss]] = 1), 1, 0)</f>
        <v>0</v>
      </c>
      <c r="N111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1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19" s="50">
        <f>IF(AND(CRC_War_Room_SIMs[[#This Row],[Excluded]] = 0, OR(CRC_War_Room_SIMs[[#This Row],[SLA Miss]] &lt;&gt; "", ISNUMBER(SEARCH("SLA", CRC_War_Room_SIMs[[#This Row],[Labels]])))), 1, 0)</f>
        <v>0</v>
      </c>
    </row>
    <row r="1120" spans="1:16" x14ac:dyDescent="0.25">
      <c r="A1120" t="s">
        <v>3770</v>
      </c>
      <c r="B1120" t="s">
        <v>3728</v>
      </c>
      <c r="C1120" t="s">
        <v>3677</v>
      </c>
      <c r="H112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20" s="49">
        <f ca="1">IFERROR(WEEKNUM(CRC_War_Room_SIMs[[#This Row],[Ops Date]]), "N/A")</f>
        <v>29</v>
      </c>
      <c r="J112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2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2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20" s="50">
        <f>IF(AND(CRC_War_Room_SIMs[[#This Row],[CI]] = 0, CRC_War_Room_SIMs[[#This Row],[Miss]] = 1), 1, 0)</f>
        <v>0</v>
      </c>
      <c r="N112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2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20" s="50">
        <f>IF(AND(CRC_War_Room_SIMs[[#This Row],[Excluded]] = 0, OR(CRC_War_Room_SIMs[[#This Row],[SLA Miss]] &lt;&gt; "", ISNUMBER(SEARCH("SLA", CRC_War_Room_SIMs[[#This Row],[Labels]])))), 1, 0)</f>
        <v>0</v>
      </c>
    </row>
    <row r="1121" spans="1:16" x14ac:dyDescent="0.25">
      <c r="A1121" t="s">
        <v>3771</v>
      </c>
      <c r="B1121" t="s">
        <v>3607</v>
      </c>
      <c r="C1121" t="s">
        <v>3677</v>
      </c>
      <c r="H112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21" s="49">
        <f ca="1">IFERROR(WEEKNUM(CRC_War_Room_SIMs[[#This Row],[Ops Date]]), "N/A")</f>
        <v>29</v>
      </c>
      <c r="J112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2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2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21" s="50">
        <f>IF(AND(CRC_War_Room_SIMs[[#This Row],[CI]] = 0, CRC_War_Room_SIMs[[#This Row],[Miss]] = 1), 1, 0)</f>
        <v>0</v>
      </c>
      <c r="N112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2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21" s="50">
        <f>IF(AND(CRC_War_Room_SIMs[[#This Row],[Excluded]] = 0, OR(CRC_War_Room_SIMs[[#This Row],[SLA Miss]] &lt;&gt; "", ISNUMBER(SEARCH("SLA", CRC_War_Room_SIMs[[#This Row],[Labels]])))), 1, 0)</f>
        <v>0</v>
      </c>
    </row>
    <row r="1122" spans="1:16" x14ac:dyDescent="0.25">
      <c r="A1122" t="s">
        <v>3772</v>
      </c>
      <c r="B1122" t="s">
        <v>3688</v>
      </c>
      <c r="C1122" t="s">
        <v>3677</v>
      </c>
      <c r="H112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22" s="49">
        <f ca="1">IFERROR(WEEKNUM(CRC_War_Room_SIMs[[#This Row],[Ops Date]]), "N/A")</f>
        <v>29</v>
      </c>
      <c r="J112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2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2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22" s="50">
        <f>IF(AND(CRC_War_Room_SIMs[[#This Row],[CI]] = 0, CRC_War_Room_SIMs[[#This Row],[Miss]] = 1), 1, 0)</f>
        <v>0</v>
      </c>
      <c r="N112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2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22" s="50">
        <f>IF(AND(CRC_War_Room_SIMs[[#This Row],[Excluded]] = 0, OR(CRC_War_Room_SIMs[[#This Row],[SLA Miss]] &lt;&gt; "", ISNUMBER(SEARCH("SLA", CRC_War_Room_SIMs[[#This Row],[Labels]])))), 1, 0)</f>
        <v>0</v>
      </c>
    </row>
    <row r="1123" spans="1:16" x14ac:dyDescent="0.25">
      <c r="A1123" t="s">
        <v>3773</v>
      </c>
      <c r="B1123" t="s">
        <v>3686</v>
      </c>
      <c r="C1123" t="s">
        <v>3677</v>
      </c>
      <c r="H112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23" s="49">
        <f ca="1">IFERROR(WEEKNUM(CRC_War_Room_SIMs[[#This Row],[Ops Date]]), "N/A")</f>
        <v>29</v>
      </c>
      <c r="J112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2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2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23" s="50">
        <f>IF(AND(CRC_War_Room_SIMs[[#This Row],[CI]] = 0, CRC_War_Room_SIMs[[#This Row],[Miss]] = 1), 1, 0)</f>
        <v>0</v>
      </c>
      <c r="N112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2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23" s="50">
        <f>IF(AND(CRC_War_Room_SIMs[[#This Row],[Excluded]] = 0, OR(CRC_War_Room_SIMs[[#This Row],[SLA Miss]] &lt;&gt; "", ISNUMBER(SEARCH("SLA", CRC_War_Room_SIMs[[#This Row],[Labels]])))), 1, 0)</f>
        <v>0</v>
      </c>
    </row>
    <row r="1124" spans="1:16" x14ac:dyDescent="0.25">
      <c r="A1124" t="s">
        <v>3774</v>
      </c>
      <c r="B1124" t="s">
        <v>3746</v>
      </c>
      <c r="C1124" t="s">
        <v>3677</v>
      </c>
      <c r="H112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24" s="49">
        <f ca="1">IFERROR(WEEKNUM(CRC_War_Room_SIMs[[#This Row],[Ops Date]]), "N/A")</f>
        <v>29</v>
      </c>
      <c r="J112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2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2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24" s="50">
        <f>IF(AND(CRC_War_Room_SIMs[[#This Row],[CI]] = 0, CRC_War_Room_SIMs[[#This Row],[Miss]] = 1), 1, 0)</f>
        <v>0</v>
      </c>
      <c r="N112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2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24" s="50">
        <f>IF(AND(CRC_War_Room_SIMs[[#This Row],[Excluded]] = 0, OR(CRC_War_Room_SIMs[[#This Row],[SLA Miss]] &lt;&gt; "", ISNUMBER(SEARCH("SLA", CRC_War_Room_SIMs[[#This Row],[Labels]])))), 1, 0)</f>
        <v>0</v>
      </c>
    </row>
    <row r="1125" spans="1:16" x14ac:dyDescent="0.25">
      <c r="A1125" t="s">
        <v>3775</v>
      </c>
      <c r="B1125" t="s">
        <v>3728</v>
      </c>
      <c r="C1125" t="s">
        <v>3677</v>
      </c>
      <c r="H112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25" s="49">
        <f ca="1">IFERROR(WEEKNUM(CRC_War_Room_SIMs[[#This Row],[Ops Date]]), "N/A")</f>
        <v>29</v>
      </c>
      <c r="J112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2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2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25" s="50">
        <f>IF(AND(CRC_War_Room_SIMs[[#This Row],[CI]] = 0, CRC_War_Room_SIMs[[#This Row],[Miss]] = 1), 1, 0)</f>
        <v>0</v>
      </c>
      <c r="N112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2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25" s="50">
        <f>IF(AND(CRC_War_Room_SIMs[[#This Row],[Excluded]] = 0, OR(CRC_War_Room_SIMs[[#This Row],[SLA Miss]] &lt;&gt; "", ISNUMBER(SEARCH("SLA", CRC_War_Room_SIMs[[#This Row],[Labels]])))), 1, 0)</f>
        <v>0</v>
      </c>
    </row>
    <row r="1126" spans="1:16" x14ac:dyDescent="0.25">
      <c r="A1126" t="s">
        <v>3776</v>
      </c>
      <c r="B1126" t="s">
        <v>3603</v>
      </c>
      <c r="C1126" t="s">
        <v>3677</v>
      </c>
      <c r="H112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45488</v>
      </c>
      <c r="I1126" s="49">
        <f ca="1">IFERROR(WEEKNUM(CRC_War_Room_SIMs[[#This Row],[Ops Date]]), "N/A")</f>
        <v>29</v>
      </c>
      <c r="J112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2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2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26" s="50">
        <f>IF(AND(CRC_War_Room_SIMs[[#This Row],[CI]] = 0, CRC_War_Room_SIMs[[#This Row],[Miss]] = 1), 1, 0)</f>
        <v>0</v>
      </c>
      <c r="N112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2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26" s="50">
        <f>IF(AND(CRC_War_Room_SIMs[[#This Row],[Excluded]] = 0, OR(CRC_War_Room_SIMs[[#This Row],[SLA Miss]] &lt;&gt; "", ISNUMBER(SEARCH("SLA", CRC_War_Room_SIMs[[#This Row],[Labels]])))), 1, 0)</f>
        <v>0</v>
      </c>
    </row>
    <row r="1127" spans="1:16" x14ac:dyDescent="0.25">
      <c r="A1127" t="s">
        <v>3777</v>
      </c>
      <c r="B1127" t="s">
        <v>3778</v>
      </c>
      <c r="C1127" t="s">
        <v>3779</v>
      </c>
      <c r="H112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27" s="49">
        <f ca="1">IFERROR(WEEKNUM(CRC_War_Room_SIMs[[#This Row],[Ops Date]]), "N/A")</f>
        <v>29</v>
      </c>
      <c r="J112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2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2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27" s="50">
        <f>IF(AND(CRC_War_Room_SIMs[[#This Row],[CI]] = 0, CRC_War_Room_SIMs[[#This Row],[Miss]] = 1), 1, 0)</f>
        <v>0</v>
      </c>
      <c r="N112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2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27" s="50">
        <f>IF(AND(CRC_War_Room_SIMs[[#This Row],[Excluded]] = 0, OR(CRC_War_Room_SIMs[[#This Row],[SLA Miss]] &lt;&gt; "", ISNUMBER(SEARCH("SLA", CRC_War_Room_SIMs[[#This Row],[Labels]])))), 1, 0)</f>
        <v>0</v>
      </c>
    </row>
    <row r="1128" spans="1:16" x14ac:dyDescent="0.25">
      <c r="A1128" t="s">
        <v>3780</v>
      </c>
      <c r="B1128" t="s">
        <v>3778</v>
      </c>
      <c r="C1128" t="s">
        <v>3779</v>
      </c>
      <c r="H112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28" s="49">
        <f ca="1">IFERROR(WEEKNUM(CRC_War_Room_SIMs[[#This Row],[Ops Date]]), "N/A")</f>
        <v>29</v>
      </c>
      <c r="J112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2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2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28" s="50">
        <f>IF(AND(CRC_War_Room_SIMs[[#This Row],[CI]] = 0, CRC_War_Room_SIMs[[#This Row],[Miss]] = 1), 1, 0)</f>
        <v>0</v>
      </c>
      <c r="N112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2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28" s="50">
        <f>IF(AND(CRC_War_Room_SIMs[[#This Row],[Excluded]] = 0, OR(CRC_War_Room_SIMs[[#This Row],[SLA Miss]] &lt;&gt; "", ISNUMBER(SEARCH("SLA", CRC_War_Room_SIMs[[#This Row],[Labels]])))), 1, 0)</f>
        <v>0</v>
      </c>
    </row>
    <row r="1129" spans="1:16" x14ac:dyDescent="0.25">
      <c r="A1129" t="s">
        <v>3781</v>
      </c>
      <c r="B1129" t="s">
        <v>3782</v>
      </c>
      <c r="C1129" t="s">
        <v>3779</v>
      </c>
      <c r="H112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29" s="49">
        <f ca="1">IFERROR(WEEKNUM(CRC_War_Room_SIMs[[#This Row],[Ops Date]]), "N/A")</f>
        <v>29</v>
      </c>
      <c r="J112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2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2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29" s="50">
        <f>IF(AND(CRC_War_Room_SIMs[[#This Row],[CI]] = 0, CRC_War_Room_SIMs[[#This Row],[Miss]] = 1), 1, 0)</f>
        <v>0</v>
      </c>
      <c r="N112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2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29" s="50">
        <f>IF(AND(CRC_War_Room_SIMs[[#This Row],[Excluded]] = 0, OR(CRC_War_Room_SIMs[[#This Row],[SLA Miss]] &lt;&gt; "", ISNUMBER(SEARCH("SLA", CRC_War_Room_SIMs[[#This Row],[Labels]])))), 1, 0)</f>
        <v>0</v>
      </c>
    </row>
    <row r="1130" spans="1:16" x14ac:dyDescent="0.25">
      <c r="A1130" t="s">
        <v>3783</v>
      </c>
      <c r="B1130" t="s">
        <v>3784</v>
      </c>
      <c r="C1130" t="s">
        <v>3779</v>
      </c>
      <c r="H113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30" s="49">
        <f ca="1">IFERROR(WEEKNUM(CRC_War_Room_SIMs[[#This Row],[Ops Date]]), "N/A")</f>
        <v>29</v>
      </c>
      <c r="J113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3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3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30" s="50">
        <f>IF(AND(CRC_War_Room_SIMs[[#This Row],[CI]] = 0, CRC_War_Room_SIMs[[#This Row],[Miss]] = 1), 1, 0)</f>
        <v>0</v>
      </c>
      <c r="N113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3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30" s="50">
        <f>IF(AND(CRC_War_Room_SIMs[[#This Row],[Excluded]] = 0, OR(CRC_War_Room_SIMs[[#This Row],[SLA Miss]] &lt;&gt; "", ISNUMBER(SEARCH("SLA", CRC_War_Room_SIMs[[#This Row],[Labels]])))), 1, 0)</f>
        <v>0</v>
      </c>
    </row>
    <row r="1131" spans="1:16" x14ac:dyDescent="0.25">
      <c r="A1131" t="s">
        <v>3785</v>
      </c>
      <c r="B1131" t="s">
        <v>3786</v>
      </c>
      <c r="C1131" t="s">
        <v>3779</v>
      </c>
      <c r="H113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31" s="49">
        <f ca="1">IFERROR(WEEKNUM(CRC_War_Room_SIMs[[#This Row],[Ops Date]]), "N/A")</f>
        <v>29</v>
      </c>
      <c r="J113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3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3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31" s="50">
        <f>IF(AND(CRC_War_Room_SIMs[[#This Row],[CI]] = 0, CRC_War_Room_SIMs[[#This Row],[Miss]] = 1), 1, 0)</f>
        <v>0</v>
      </c>
      <c r="N113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3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31" s="50">
        <f>IF(AND(CRC_War_Room_SIMs[[#This Row],[Excluded]] = 0, OR(CRC_War_Room_SIMs[[#This Row],[SLA Miss]] &lt;&gt; "", ISNUMBER(SEARCH("SLA", CRC_War_Room_SIMs[[#This Row],[Labels]])))), 1, 0)</f>
        <v>0</v>
      </c>
    </row>
    <row r="1132" spans="1:16" x14ac:dyDescent="0.25">
      <c r="A1132" t="s">
        <v>3787</v>
      </c>
      <c r="B1132" t="s">
        <v>3788</v>
      </c>
      <c r="C1132" t="s">
        <v>3779</v>
      </c>
      <c r="H113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32" s="49">
        <f ca="1">IFERROR(WEEKNUM(CRC_War_Room_SIMs[[#This Row],[Ops Date]]), "N/A")</f>
        <v>29</v>
      </c>
      <c r="J113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3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3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32" s="50">
        <f>IF(AND(CRC_War_Room_SIMs[[#This Row],[CI]] = 0, CRC_War_Room_SIMs[[#This Row],[Miss]] = 1), 1, 0)</f>
        <v>0</v>
      </c>
      <c r="N113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3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32" s="50">
        <f>IF(AND(CRC_War_Room_SIMs[[#This Row],[Excluded]] = 0, OR(CRC_War_Room_SIMs[[#This Row],[SLA Miss]] &lt;&gt; "", ISNUMBER(SEARCH("SLA", CRC_War_Room_SIMs[[#This Row],[Labels]])))), 1, 0)</f>
        <v>0</v>
      </c>
    </row>
    <row r="1133" spans="1:16" x14ac:dyDescent="0.25">
      <c r="A1133" t="s">
        <v>3789</v>
      </c>
      <c r="B1133" t="s">
        <v>3778</v>
      </c>
      <c r="C1133" t="s">
        <v>3779</v>
      </c>
      <c r="H113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33" s="49">
        <f ca="1">IFERROR(WEEKNUM(CRC_War_Room_SIMs[[#This Row],[Ops Date]]), "N/A")</f>
        <v>29</v>
      </c>
      <c r="J113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3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3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33" s="50">
        <f>IF(AND(CRC_War_Room_SIMs[[#This Row],[CI]] = 0, CRC_War_Room_SIMs[[#This Row],[Miss]] = 1), 1, 0)</f>
        <v>0</v>
      </c>
      <c r="N113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3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33" s="50">
        <f>IF(AND(CRC_War_Room_SIMs[[#This Row],[Excluded]] = 0, OR(CRC_War_Room_SIMs[[#This Row],[SLA Miss]] &lt;&gt; "", ISNUMBER(SEARCH("SLA", CRC_War_Room_SIMs[[#This Row],[Labels]])))), 1, 0)</f>
        <v>0</v>
      </c>
    </row>
    <row r="1134" spans="1:16" x14ac:dyDescent="0.25">
      <c r="A1134" t="s">
        <v>3790</v>
      </c>
      <c r="B1134" t="s">
        <v>3778</v>
      </c>
      <c r="C1134" t="s">
        <v>3779</v>
      </c>
      <c r="H113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34" s="49">
        <f ca="1">IFERROR(WEEKNUM(CRC_War_Room_SIMs[[#This Row],[Ops Date]]), "N/A")</f>
        <v>29</v>
      </c>
      <c r="J113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3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3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34" s="50">
        <f>IF(AND(CRC_War_Room_SIMs[[#This Row],[CI]] = 0, CRC_War_Room_SIMs[[#This Row],[Miss]] = 1), 1, 0)</f>
        <v>0</v>
      </c>
      <c r="N113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3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34" s="50">
        <f>IF(AND(CRC_War_Room_SIMs[[#This Row],[Excluded]] = 0, OR(CRC_War_Room_SIMs[[#This Row],[SLA Miss]] &lt;&gt; "", ISNUMBER(SEARCH("SLA", CRC_War_Room_SIMs[[#This Row],[Labels]])))), 1, 0)</f>
        <v>0</v>
      </c>
    </row>
    <row r="1135" spans="1:16" x14ac:dyDescent="0.25">
      <c r="A1135" t="s">
        <v>3791</v>
      </c>
      <c r="B1135" t="s">
        <v>3788</v>
      </c>
      <c r="C1135" t="s">
        <v>3779</v>
      </c>
      <c r="H113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35" s="49">
        <f ca="1">IFERROR(WEEKNUM(CRC_War_Room_SIMs[[#This Row],[Ops Date]]), "N/A")</f>
        <v>29</v>
      </c>
      <c r="J113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3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3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35" s="50">
        <f>IF(AND(CRC_War_Room_SIMs[[#This Row],[CI]] = 0, CRC_War_Room_SIMs[[#This Row],[Miss]] = 1), 1, 0)</f>
        <v>0</v>
      </c>
      <c r="N113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3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35" s="50">
        <f>IF(AND(CRC_War_Room_SIMs[[#This Row],[Excluded]] = 0, OR(CRC_War_Room_SIMs[[#This Row],[SLA Miss]] &lt;&gt; "", ISNUMBER(SEARCH("SLA", CRC_War_Room_SIMs[[#This Row],[Labels]])))), 1, 0)</f>
        <v>0</v>
      </c>
    </row>
    <row r="1136" spans="1:16" x14ac:dyDescent="0.25">
      <c r="A1136" t="s">
        <v>3792</v>
      </c>
      <c r="B1136" t="s">
        <v>3739</v>
      </c>
      <c r="C1136" t="s">
        <v>3779</v>
      </c>
      <c r="H113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36" s="49">
        <f ca="1">IFERROR(WEEKNUM(CRC_War_Room_SIMs[[#This Row],[Ops Date]]), "N/A")</f>
        <v>29</v>
      </c>
      <c r="J113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3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3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36" s="50">
        <f>IF(AND(CRC_War_Room_SIMs[[#This Row],[CI]] = 0, CRC_War_Room_SIMs[[#This Row],[Miss]] = 1), 1, 0)</f>
        <v>0</v>
      </c>
      <c r="N113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3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36" s="50">
        <f>IF(AND(CRC_War_Room_SIMs[[#This Row],[Excluded]] = 0, OR(CRC_War_Room_SIMs[[#This Row],[SLA Miss]] &lt;&gt; "", ISNUMBER(SEARCH("SLA", CRC_War_Room_SIMs[[#This Row],[Labels]])))), 1, 0)</f>
        <v>0</v>
      </c>
    </row>
    <row r="1137" spans="1:16" x14ac:dyDescent="0.25">
      <c r="A1137" t="s">
        <v>3793</v>
      </c>
      <c r="B1137" t="s">
        <v>3786</v>
      </c>
      <c r="C1137" t="s">
        <v>3779</v>
      </c>
      <c r="H113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37" s="49">
        <f ca="1">IFERROR(WEEKNUM(CRC_War_Room_SIMs[[#This Row],[Ops Date]]), "N/A")</f>
        <v>29</v>
      </c>
      <c r="J113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3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3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37" s="50">
        <f>IF(AND(CRC_War_Room_SIMs[[#This Row],[CI]] = 0, CRC_War_Room_SIMs[[#This Row],[Miss]] = 1), 1, 0)</f>
        <v>0</v>
      </c>
      <c r="N113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3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37" s="50">
        <f>IF(AND(CRC_War_Room_SIMs[[#This Row],[Excluded]] = 0, OR(CRC_War_Room_SIMs[[#This Row],[SLA Miss]] &lt;&gt; "", ISNUMBER(SEARCH("SLA", CRC_War_Room_SIMs[[#This Row],[Labels]])))), 1, 0)</f>
        <v>0</v>
      </c>
    </row>
    <row r="1138" spans="1:16" x14ac:dyDescent="0.25">
      <c r="A1138" t="s">
        <v>3794</v>
      </c>
      <c r="B1138" t="s">
        <v>3788</v>
      </c>
      <c r="C1138" t="s">
        <v>3779</v>
      </c>
      <c r="H113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38" s="49">
        <f ca="1">IFERROR(WEEKNUM(CRC_War_Room_SIMs[[#This Row],[Ops Date]]), "N/A")</f>
        <v>29</v>
      </c>
      <c r="J113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3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3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38" s="50">
        <f>IF(AND(CRC_War_Room_SIMs[[#This Row],[CI]] = 0, CRC_War_Room_SIMs[[#This Row],[Miss]] = 1), 1, 0)</f>
        <v>0</v>
      </c>
      <c r="N113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3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38" s="50">
        <f>IF(AND(CRC_War_Room_SIMs[[#This Row],[Excluded]] = 0, OR(CRC_War_Room_SIMs[[#This Row],[SLA Miss]] &lt;&gt; "", ISNUMBER(SEARCH("SLA", CRC_War_Room_SIMs[[#This Row],[Labels]])))), 1, 0)</f>
        <v>0</v>
      </c>
    </row>
    <row r="1139" spans="1:16" x14ac:dyDescent="0.25">
      <c r="A1139" t="s">
        <v>3795</v>
      </c>
      <c r="B1139" t="s">
        <v>3739</v>
      </c>
      <c r="C1139" t="s">
        <v>3779</v>
      </c>
      <c r="H113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39" s="49">
        <f ca="1">IFERROR(WEEKNUM(CRC_War_Room_SIMs[[#This Row],[Ops Date]]), "N/A")</f>
        <v>29</v>
      </c>
      <c r="J113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3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3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39" s="50">
        <f>IF(AND(CRC_War_Room_SIMs[[#This Row],[CI]] = 0, CRC_War_Room_SIMs[[#This Row],[Miss]] = 1), 1, 0)</f>
        <v>0</v>
      </c>
      <c r="N113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3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39" s="50">
        <f>IF(AND(CRC_War_Room_SIMs[[#This Row],[Excluded]] = 0, OR(CRC_War_Room_SIMs[[#This Row],[SLA Miss]] &lt;&gt; "", ISNUMBER(SEARCH("SLA", CRC_War_Room_SIMs[[#This Row],[Labels]])))), 1, 0)</f>
        <v>0</v>
      </c>
    </row>
    <row r="1140" spans="1:16" x14ac:dyDescent="0.25">
      <c r="A1140" t="s">
        <v>3796</v>
      </c>
      <c r="B1140" t="s">
        <v>3788</v>
      </c>
      <c r="C1140" t="s">
        <v>3779</v>
      </c>
      <c r="H114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40" s="49">
        <f ca="1">IFERROR(WEEKNUM(CRC_War_Room_SIMs[[#This Row],[Ops Date]]), "N/A")</f>
        <v>29</v>
      </c>
      <c r="J114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4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4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40" s="50">
        <f>IF(AND(CRC_War_Room_SIMs[[#This Row],[CI]] = 0, CRC_War_Room_SIMs[[#This Row],[Miss]] = 1), 1, 0)</f>
        <v>0</v>
      </c>
      <c r="N114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4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40" s="50">
        <f>IF(AND(CRC_War_Room_SIMs[[#This Row],[Excluded]] = 0, OR(CRC_War_Room_SIMs[[#This Row],[SLA Miss]] &lt;&gt; "", ISNUMBER(SEARCH("SLA", CRC_War_Room_SIMs[[#This Row],[Labels]])))), 1, 0)</f>
        <v>0</v>
      </c>
    </row>
    <row r="1141" spans="1:16" x14ac:dyDescent="0.25">
      <c r="A1141" t="s">
        <v>3797</v>
      </c>
      <c r="B1141" t="s">
        <v>3778</v>
      </c>
      <c r="C1141" t="s">
        <v>3779</v>
      </c>
      <c r="H114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41" s="49">
        <f ca="1">IFERROR(WEEKNUM(CRC_War_Room_SIMs[[#This Row],[Ops Date]]), "N/A")</f>
        <v>29</v>
      </c>
      <c r="J114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4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4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41" s="50">
        <f>IF(AND(CRC_War_Room_SIMs[[#This Row],[CI]] = 0, CRC_War_Room_SIMs[[#This Row],[Miss]] = 1), 1, 0)</f>
        <v>0</v>
      </c>
      <c r="N114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4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41" s="50">
        <f>IF(AND(CRC_War_Room_SIMs[[#This Row],[Excluded]] = 0, OR(CRC_War_Room_SIMs[[#This Row],[SLA Miss]] &lt;&gt; "", ISNUMBER(SEARCH("SLA", CRC_War_Room_SIMs[[#This Row],[Labels]])))), 1, 0)</f>
        <v>0</v>
      </c>
    </row>
    <row r="1142" spans="1:16" x14ac:dyDescent="0.25">
      <c r="A1142" t="s">
        <v>3798</v>
      </c>
      <c r="B1142" t="s">
        <v>3786</v>
      </c>
      <c r="C1142" t="s">
        <v>3779</v>
      </c>
      <c r="H114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42" s="49">
        <f ca="1">IFERROR(WEEKNUM(CRC_War_Room_SIMs[[#This Row],[Ops Date]]), "N/A")</f>
        <v>29</v>
      </c>
      <c r="J114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4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4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42" s="50">
        <f>IF(AND(CRC_War_Room_SIMs[[#This Row],[CI]] = 0, CRC_War_Room_SIMs[[#This Row],[Miss]] = 1), 1, 0)</f>
        <v>0</v>
      </c>
      <c r="N114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4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42" s="50">
        <f>IF(AND(CRC_War_Room_SIMs[[#This Row],[Excluded]] = 0, OR(CRC_War_Room_SIMs[[#This Row],[SLA Miss]] &lt;&gt; "", ISNUMBER(SEARCH("SLA", CRC_War_Room_SIMs[[#This Row],[Labels]])))), 1, 0)</f>
        <v>0</v>
      </c>
    </row>
    <row r="1143" spans="1:16" x14ac:dyDescent="0.25">
      <c r="A1143" t="s">
        <v>3799</v>
      </c>
      <c r="B1143" t="s">
        <v>3739</v>
      </c>
      <c r="C1143" t="s">
        <v>3779</v>
      </c>
      <c r="H114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43" s="49">
        <f ca="1">IFERROR(WEEKNUM(CRC_War_Room_SIMs[[#This Row],[Ops Date]]), "N/A")</f>
        <v>29</v>
      </c>
      <c r="J114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4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4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43" s="50">
        <f>IF(AND(CRC_War_Room_SIMs[[#This Row],[CI]] = 0, CRC_War_Room_SIMs[[#This Row],[Miss]] = 1), 1, 0)</f>
        <v>0</v>
      </c>
      <c r="N114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4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43" s="50">
        <f>IF(AND(CRC_War_Room_SIMs[[#This Row],[Excluded]] = 0, OR(CRC_War_Room_SIMs[[#This Row],[SLA Miss]] &lt;&gt; "", ISNUMBER(SEARCH("SLA", CRC_War_Room_SIMs[[#This Row],[Labels]])))), 1, 0)</f>
        <v>0</v>
      </c>
    </row>
    <row r="1144" spans="1:16" x14ac:dyDescent="0.25">
      <c r="A1144" t="s">
        <v>3800</v>
      </c>
      <c r="B1144" t="s">
        <v>3788</v>
      </c>
      <c r="C1144" t="s">
        <v>3779</v>
      </c>
      <c r="H114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44" s="49">
        <f ca="1">IFERROR(WEEKNUM(CRC_War_Room_SIMs[[#This Row],[Ops Date]]), "N/A")</f>
        <v>29</v>
      </c>
      <c r="J114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4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4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44" s="50">
        <f>IF(AND(CRC_War_Room_SIMs[[#This Row],[CI]] = 0, CRC_War_Room_SIMs[[#This Row],[Miss]] = 1), 1, 0)</f>
        <v>0</v>
      </c>
      <c r="N114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4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44" s="50">
        <f>IF(AND(CRC_War_Room_SIMs[[#This Row],[Excluded]] = 0, OR(CRC_War_Room_SIMs[[#This Row],[SLA Miss]] &lt;&gt; "", ISNUMBER(SEARCH("SLA", CRC_War_Room_SIMs[[#This Row],[Labels]])))), 1, 0)</f>
        <v>0</v>
      </c>
    </row>
    <row r="1145" spans="1:16" x14ac:dyDescent="0.25">
      <c r="A1145" t="s">
        <v>3801</v>
      </c>
      <c r="B1145" t="s">
        <v>3739</v>
      </c>
      <c r="C1145" t="s">
        <v>3779</v>
      </c>
      <c r="H114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45" s="49">
        <f ca="1">IFERROR(WEEKNUM(CRC_War_Room_SIMs[[#This Row],[Ops Date]]), "N/A")</f>
        <v>29</v>
      </c>
      <c r="J114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4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4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45" s="50">
        <f>IF(AND(CRC_War_Room_SIMs[[#This Row],[CI]] = 0, CRC_War_Room_SIMs[[#This Row],[Miss]] = 1), 1, 0)</f>
        <v>0</v>
      </c>
      <c r="N114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4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45" s="50">
        <f>IF(AND(CRC_War_Room_SIMs[[#This Row],[Excluded]] = 0, OR(CRC_War_Room_SIMs[[#This Row],[SLA Miss]] &lt;&gt; "", ISNUMBER(SEARCH("SLA", CRC_War_Room_SIMs[[#This Row],[Labels]])))), 1, 0)</f>
        <v>0</v>
      </c>
    </row>
    <row r="1146" spans="1:16" x14ac:dyDescent="0.25">
      <c r="A1146" t="s">
        <v>3802</v>
      </c>
      <c r="B1146" t="s">
        <v>3778</v>
      </c>
      <c r="C1146" t="s">
        <v>3779</v>
      </c>
      <c r="H114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46" s="49">
        <f ca="1">IFERROR(WEEKNUM(CRC_War_Room_SIMs[[#This Row],[Ops Date]]), "N/A")</f>
        <v>29</v>
      </c>
      <c r="J114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4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4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46" s="50">
        <f>IF(AND(CRC_War_Room_SIMs[[#This Row],[CI]] = 0, CRC_War_Room_SIMs[[#This Row],[Miss]] = 1), 1, 0)</f>
        <v>0</v>
      </c>
      <c r="N114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4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46" s="50">
        <f>IF(AND(CRC_War_Room_SIMs[[#This Row],[Excluded]] = 0, OR(CRC_War_Room_SIMs[[#This Row],[SLA Miss]] &lt;&gt; "", ISNUMBER(SEARCH("SLA", CRC_War_Room_SIMs[[#This Row],[Labels]])))), 1, 0)</f>
        <v>0</v>
      </c>
    </row>
    <row r="1147" spans="1:16" x14ac:dyDescent="0.25">
      <c r="A1147" t="s">
        <v>3803</v>
      </c>
      <c r="B1147" t="s">
        <v>3786</v>
      </c>
      <c r="C1147" t="s">
        <v>3779</v>
      </c>
      <c r="H114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47" s="49">
        <f ca="1">IFERROR(WEEKNUM(CRC_War_Room_SIMs[[#This Row],[Ops Date]]), "N/A")</f>
        <v>29</v>
      </c>
      <c r="J114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4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4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47" s="50">
        <f>IF(AND(CRC_War_Room_SIMs[[#This Row],[CI]] = 0, CRC_War_Room_SIMs[[#This Row],[Miss]] = 1), 1, 0)</f>
        <v>0</v>
      </c>
      <c r="N114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4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47" s="50">
        <f>IF(AND(CRC_War_Room_SIMs[[#This Row],[Excluded]] = 0, OR(CRC_War_Room_SIMs[[#This Row],[SLA Miss]] &lt;&gt; "", ISNUMBER(SEARCH("SLA", CRC_War_Room_SIMs[[#This Row],[Labels]])))), 1, 0)</f>
        <v>0</v>
      </c>
    </row>
    <row r="1148" spans="1:16" x14ac:dyDescent="0.25">
      <c r="A1148" t="s">
        <v>3804</v>
      </c>
      <c r="B1148" t="s">
        <v>3788</v>
      </c>
      <c r="C1148" t="s">
        <v>3779</v>
      </c>
      <c r="H114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48" s="49">
        <f ca="1">IFERROR(WEEKNUM(CRC_War_Room_SIMs[[#This Row],[Ops Date]]), "N/A")</f>
        <v>29</v>
      </c>
      <c r="J114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4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4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48" s="50">
        <f>IF(AND(CRC_War_Room_SIMs[[#This Row],[CI]] = 0, CRC_War_Room_SIMs[[#This Row],[Miss]] = 1), 1, 0)</f>
        <v>0</v>
      </c>
      <c r="N114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4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48" s="50">
        <f>IF(AND(CRC_War_Room_SIMs[[#This Row],[Excluded]] = 0, OR(CRC_War_Room_SIMs[[#This Row],[SLA Miss]] &lt;&gt; "", ISNUMBER(SEARCH("SLA", CRC_War_Room_SIMs[[#This Row],[Labels]])))), 1, 0)</f>
        <v>0</v>
      </c>
    </row>
    <row r="1149" spans="1:16" x14ac:dyDescent="0.25">
      <c r="A1149" t="s">
        <v>3805</v>
      </c>
      <c r="B1149" t="s">
        <v>3778</v>
      </c>
      <c r="C1149" t="s">
        <v>3779</v>
      </c>
      <c r="H114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49" s="49">
        <f ca="1">IFERROR(WEEKNUM(CRC_War_Room_SIMs[[#This Row],[Ops Date]]), "N/A")</f>
        <v>29</v>
      </c>
      <c r="J114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4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4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49" s="50">
        <f>IF(AND(CRC_War_Room_SIMs[[#This Row],[CI]] = 0, CRC_War_Room_SIMs[[#This Row],[Miss]] = 1), 1, 0)</f>
        <v>0</v>
      </c>
      <c r="N114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4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49" s="50">
        <f>IF(AND(CRC_War_Room_SIMs[[#This Row],[Excluded]] = 0, OR(CRC_War_Room_SIMs[[#This Row],[SLA Miss]] &lt;&gt; "", ISNUMBER(SEARCH("SLA", CRC_War_Room_SIMs[[#This Row],[Labels]])))), 1, 0)</f>
        <v>0</v>
      </c>
    </row>
    <row r="1150" spans="1:16" x14ac:dyDescent="0.25">
      <c r="A1150" t="s">
        <v>3806</v>
      </c>
      <c r="B1150" t="s">
        <v>3786</v>
      </c>
      <c r="C1150" t="s">
        <v>3779</v>
      </c>
      <c r="H115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50" s="49">
        <f ca="1">IFERROR(WEEKNUM(CRC_War_Room_SIMs[[#This Row],[Ops Date]]), "N/A")</f>
        <v>29</v>
      </c>
      <c r="J115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5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5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50" s="50">
        <f>IF(AND(CRC_War_Room_SIMs[[#This Row],[CI]] = 0, CRC_War_Room_SIMs[[#This Row],[Miss]] = 1), 1, 0)</f>
        <v>0</v>
      </c>
      <c r="N115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5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50" s="50">
        <f>IF(AND(CRC_War_Room_SIMs[[#This Row],[Excluded]] = 0, OR(CRC_War_Room_SIMs[[#This Row],[SLA Miss]] &lt;&gt; "", ISNUMBER(SEARCH("SLA", CRC_War_Room_SIMs[[#This Row],[Labels]])))), 1, 0)</f>
        <v>0</v>
      </c>
    </row>
    <row r="1151" spans="1:16" x14ac:dyDescent="0.25">
      <c r="A1151" t="s">
        <v>3807</v>
      </c>
      <c r="B1151" t="s">
        <v>3788</v>
      </c>
      <c r="C1151" t="s">
        <v>3779</v>
      </c>
      <c r="H115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51" s="49">
        <f ca="1">IFERROR(WEEKNUM(CRC_War_Room_SIMs[[#This Row],[Ops Date]]), "N/A")</f>
        <v>29</v>
      </c>
      <c r="J115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5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5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51" s="50">
        <f>IF(AND(CRC_War_Room_SIMs[[#This Row],[CI]] = 0, CRC_War_Room_SIMs[[#This Row],[Miss]] = 1), 1, 0)</f>
        <v>0</v>
      </c>
      <c r="N115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5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51" s="50">
        <f>IF(AND(CRC_War_Room_SIMs[[#This Row],[Excluded]] = 0, OR(CRC_War_Room_SIMs[[#This Row],[SLA Miss]] &lt;&gt; "", ISNUMBER(SEARCH("SLA", CRC_War_Room_SIMs[[#This Row],[Labels]])))), 1, 0)</f>
        <v>0</v>
      </c>
    </row>
    <row r="1152" spans="1:16" x14ac:dyDescent="0.25">
      <c r="A1152" t="s">
        <v>3808</v>
      </c>
      <c r="B1152" t="s">
        <v>3786</v>
      </c>
      <c r="C1152" t="s">
        <v>3779</v>
      </c>
      <c r="E1152" t="s">
        <v>2490</v>
      </c>
      <c r="H115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52" s="49">
        <f ca="1">IFERROR(WEEKNUM(CRC_War_Room_SIMs[[#This Row],[Ops Date]]), "N/A")</f>
        <v>29</v>
      </c>
      <c r="J115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5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15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152" s="50">
        <f>IF(AND(CRC_War_Room_SIMs[[#This Row],[CI]] = 0, CRC_War_Room_SIMs[[#This Row],[Miss]] = 1), 1, 0)</f>
        <v>0</v>
      </c>
      <c r="N1152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115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52" s="50">
        <f>IF(AND(CRC_War_Room_SIMs[[#This Row],[Excluded]] = 0, OR(CRC_War_Room_SIMs[[#This Row],[SLA Miss]] &lt;&gt; "", ISNUMBER(SEARCH("SLA", CRC_War_Room_SIMs[[#This Row],[Labels]])))), 1, 0)</f>
        <v>0</v>
      </c>
    </row>
    <row r="1153" spans="1:16" x14ac:dyDescent="0.25">
      <c r="A1153" t="s">
        <v>3809</v>
      </c>
      <c r="B1153" t="s">
        <v>3739</v>
      </c>
      <c r="C1153" t="s">
        <v>3779</v>
      </c>
      <c r="H115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53" s="49">
        <f ca="1">IFERROR(WEEKNUM(CRC_War_Room_SIMs[[#This Row],[Ops Date]]), "N/A")</f>
        <v>29</v>
      </c>
      <c r="J115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5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5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53" s="50">
        <f>IF(AND(CRC_War_Room_SIMs[[#This Row],[CI]] = 0, CRC_War_Room_SIMs[[#This Row],[Miss]] = 1), 1, 0)</f>
        <v>0</v>
      </c>
      <c r="N115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5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53" s="50">
        <f>IF(AND(CRC_War_Room_SIMs[[#This Row],[Excluded]] = 0, OR(CRC_War_Room_SIMs[[#This Row],[SLA Miss]] &lt;&gt; "", ISNUMBER(SEARCH("SLA", CRC_War_Room_SIMs[[#This Row],[Labels]])))), 1, 0)</f>
        <v>0</v>
      </c>
    </row>
    <row r="1154" spans="1:16" x14ac:dyDescent="0.25">
      <c r="A1154" t="s">
        <v>3810</v>
      </c>
      <c r="B1154" t="s">
        <v>3778</v>
      </c>
      <c r="C1154" t="s">
        <v>3779</v>
      </c>
      <c r="H115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54" s="49">
        <f ca="1">IFERROR(WEEKNUM(CRC_War_Room_SIMs[[#This Row],[Ops Date]]), "N/A")</f>
        <v>29</v>
      </c>
      <c r="J115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5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5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54" s="50">
        <f>IF(AND(CRC_War_Room_SIMs[[#This Row],[CI]] = 0, CRC_War_Room_SIMs[[#This Row],[Miss]] = 1), 1, 0)</f>
        <v>0</v>
      </c>
      <c r="N115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5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54" s="50">
        <f>IF(AND(CRC_War_Room_SIMs[[#This Row],[Excluded]] = 0, OR(CRC_War_Room_SIMs[[#This Row],[SLA Miss]] &lt;&gt; "", ISNUMBER(SEARCH("SLA", CRC_War_Room_SIMs[[#This Row],[Labels]])))), 1, 0)</f>
        <v>0</v>
      </c>
    </row>
    <row r="1155" spans="1:16" x14ac:dyDescent="0.25">
      <c r="A1155" t="s">
        <v>3811</v>
      </c>
      <c r="B1155" t="s">
        <v>3788</v>
      </c>
      <c r="C1155" t="s">
        <v>3779</v>
      </c>
      <c r="H115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55" s="49">
        <f ca="1">IFERROR(WEEKNUM(CRC_War_Room_SIMs[[#This Row],[Ops Date]]), "N/A")</f>
        <v>29</v>
      </c>
      <c r="J115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5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5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55" s="50">
        <f>IF(AND(CRC_War_Room_SIMs[[#This Row],[CI]] = 0, CRC_War_Room_SIMs[[#This Row],[Miss]] = 1), 1, 0)</f>
        <v>0</v>
      </c>
      <c r="N115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5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55" s="50">
        <f>IF(AND(CRC_War_Room_SIMs[[#This Row],[Excluded]] = 0, OR(CRC_War_Room_SIMs[[#This Row],[SLA Miss]] &lt;&gt; "", ISNUMBER(SEARCH("SLA", CRC_War_Room_SIMs[[#This Row],[Labels]])))), 1, 0)</f>
        <v>0</v>
      </c>
    </row>
    <row r="1156" spans="1:16" x14ac:dyDescent="0.25">
      <c r="A1156" t="s">
        <v>3812</v>
      </c>
      <c r="B1156" t="s">
        <v>3739</v>
      </c>
      <c r="C1156" t="s">
        <v>3779</v>
      </c>
      <c r="H115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56" s="49">
        <f ca="1">IFERROR(WEEKNUM(CRC_War_Room_SIMs[[#This Row],[Ops Date]]), "N/A")</f>
        <v>29</v>
      </c>
      <c r="J115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5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5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56" s="50">
        <f>IF(AND(CRC_War_Room_SIMs[[#This Row],[CI]] = 0, CRC_War_Room_SIMs[[#This Row],[Miss]] = 1), 1, 0)</f>
        <v>0</v>
      </c>
      <c r="N115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5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56" s="50">
        <f>IF(AND(CRC_War_Room_SIMs[[#This Row],[Excluded]] = 0, OR(CRC_War_Room_SIMs[[#This Row],[SLA Miss]] &lt;&gt; "", ISNUMBER(SEARCH("SLA", CRC_War_Room_SIMs[[#This Row],[Labels]])))), 1, 0)</f>
        <v>0</v>
      </c>
    </row>
    <row r="1157" spans="1:16" x14ac:dyDescent="0.25">
      <c r="A1157" t="s">
        <v>3813</v>
      </c>
      <c r="B1157" t="s">
        <v>3778</v>
      </c>
      <c r="C1157" t="s">
        <v>3779</v>
      </c>
      <c r="H115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57" s="49">
        <f ca="1">IFERROR(WEEKNUM(CRC_War_Room_SIMs[[#This Row],[Ops Date]]), "N/A")</f>
        <v>29</v>
      </c>
      <c r="J115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5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5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57" s="50">
        <f>IF(AND(CRC_War_Room_SIMs[[#This Row],[CI]] = 0, CRC_War_Room_SIMs[[#This Row],[Miss]] = 1), 1, 0)</f>
        <v>0</v>
      </c>
      <c r="N115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5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57" s="50">
        <f>IF(AND(CRC_War_Room_SIMs[[#This Row],[Excluded]] = 0, OR(CRC_War_Room_SIMs[[#This Row],[SLA Miss]] &lt;&gt; "", ISNUMBER(SEARCH("SLA", CRC_War_Room_SIMs[[#This Row],[Labels]])))), 1, 0)</f>
        <v>0</v>
      </c>
    </row>
    <row r="1158" spans="1:16" x14ac:dyDescent="0.25">
      <c r="A1158" t="s">
        <v>3814</v>
      </c>
      <c r="B1158" t="s">
        <v>3786</v>
      </c>
      <c r="C1158" t="s">
        <v>3779</v>
      </c>
      <c r="H115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58" s="49">
        <f ca="1">IFERROR(WEEKNUM(CRC_War_Room_SIMs[[#This Row],[Ops Date]]), "N/A")</f>
        <v>29</v>
      </c>
      <c r="J115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5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5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58" s="50">
        <f>IF(AND(CRC_War_Room_SIMs[[#This Row],[CI]] = 0, CRC_War_Room_SIMs[[#This Row],[Miss]] = 1), 1, 0)</f>
        <v>0</v>
      </c>
      <c r="N115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5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58" s="50">
        <f>IF(AND(CRC_War_Room_SIMs[[#This Row],[Excluded]] = 0, OR(CRC_War_Room_SIMs[[#This Row],[SLA Miss]] &lt;&gt; "", ISNUMBER(SEARCH("SLA", CRC_War_Room_SIMs[[#This Row],[Labels]])))), 1, 0)</f>
        <v>0</v>
      </c>
    </row>
    <row r="1159" spans="1:16" x14ac:dyDescent="0.25">
      <c r="A1159" t="s">
        <v>3815</v>
      </c>
      <c r="B1159" t="s">
        <v>3788</v>
      </c>
      <c r="C1159" t="s">
        <v>3779</v>
      </c>
      <c r="H115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59" s="49">
        <f ca="1">IFERROR(WEEKNUM(CRC_War_Room_SIMs[[#This Row],[Ops Date]]), "N/A")</f>
        <v>29</v>
      </c>
      <c r="J115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5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5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59" s="50">
        <f>IF(AND(CRC_War_Room_SIMs[[#This Row],[CI]] = 0, CRC_War_Room_SIMs[[#This Row],[Miss]] = 1), 1, 0)</f>
        <v>0</v>
      </c>
      <c r="N115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5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59" s="50">
        <f>IF(AND(CRC_War_Room_SIMs[[#This Row],[Excluded]] = 0, OR(CRC_War_Room_SIMs[[#This Row],[SLA Miss]] &lt;&gt; "", ISNUMBER(SEARCH("SLA", CRC_War_Room_SIMs[[#This Row],[Labels]])))), 1, 0)</f>
        <v>0</v>
      </c>
    </row>
    <row r="1160" spans="1:16" x14ac:dyDescent="0.25">
      <c r="A1160" t="s">
        <v>3816</v>
      </c>
      <c r="B1160" t="s">
        <v>3739</v>
      </c>
      <c r="C1160" t="s">
        <v>3779</v>
      </c>
      <c r="H116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60" s="49">
        <f ca="1">IFERROR(WEEKNUM(CRC_War_Room_SIMs[[#This Row],[Ops Date]]), "N/A")</f>
        <v>29</v>
      </c>
      <c r="J116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6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6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60" s="50">
        <f>IF(AND(CRC_War_Room_SIMs[[#This Row],[CI]] = 0, CRC_War_Room_SIMs[[#This Row],[Miss]] = 1), 1, 0)</f>
        <v>0</v>
      </c>
      <c r="N116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6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60" s="50">
        <f>IF(AND(CRC_War_Room_SIMs[[#This Row],[Excluded]] = 0, OR(CRC_War_Room_SIMs[[#This Row],[SLA Miss]] &lt;&gt; "", ISNUMBER(SEARCH("SLA", CRC_War_Room_SIMs[[#This Row],[Labels]])))), 1, 0)</f>
        <v>0</v>
      </c>
    </row>
    <row r="1161" spans="1:16" x14ac:dyDescent="0.25">
      <c r="A1161" t="s">
        <v>3817</v>
      </c>
      <c r="B1161" t="s">
        <v>3786</v>
      </c>
      <c r="C1161" t="s">
        <v>3779</v>
      </c>
      <c r="H116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61" s="49">
        <f ca="1">IFERROR(WEEKNUM(CRC_War_Room_SIMs[[#This Row],[Ops Date]]), "N/A")</f>
        <v>29</v>
      </c>
      <c r="J116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6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6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61" s="50">
        <f>IF(AND(CRC_War_Room_SIMs[[#This Row],[CI]] = 0, CRC_War_Room_SIMs[[#This Row],[Miss]] = 1), 1, 0)</f>
        <v>0</v>
      </c>
      <c r="N116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6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61" s="50">
        <f>IF(AND(CRC_War_Room_SIMs[[#This Row],[Excluded]] = 0, OR(CRC_War_Room_SIMs[[#This Row],[SLA Miss]] &lt;&gt; "", ISNUMBER(SEARCH("SLA", CRC_War_Room_SIMs[[#This Row],[Labels]])))), 1, 0)</f>
        <v>0</v>
      </c>
    </row>
    <row r="1162" spans="1:16" x14ac:dyDescent="0.25">
      <c r="A1162" t="s">
        <v>3818</v>
      </c>
      <c r="B1162" t="s">
        <v>3788</v>
      </c>
      <c r="C1162" t="s">
        <v>3779</v>
      </c>
      <c r="H116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62" s="49">
        <f ca="1">IFERROR(WEEKNUM(CRC_War_Room_SIMs[[#This Row],[Ops Date]]), "N/A")</f>
        <v>29</v>
      </c>
      <c r="J116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6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6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62" s="50">
        <f>IF(AND(CRC_War_Room_SIMs[[#This Row],[CI]] = 0, CRC_War_Room_SIMs[[#This Row],[Miss]] = 1), 1, 0)</f>
        <v>0</v>
      </c>
      <c r="N116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6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62" s="50">
        <f>IF(AND(CRC_War_Room_SIMs[[#This Row],[Excluded]] = 0, OR(CRC_War_Room_SIMs[[#This Row],[SLA Miss]] &lt;&gt; "", ISNUMBER(SEARCH("SLA", CRC_War_Room_SIMs[[#This Row],[Labels]])))), 1, 0)</f>
        <v>0</v>
      </c>
    </row>
    <row r="1163" spans="1:16" x14ac:dyDescent="0.25">
      <c r="A1163" t="s">
        <v>3819</v>
      </c>
      <c r="B1163" t="s">
        <v>3778</v>
      </c>
      <c r="C1163" t="s">
        <v>3779</v>
      </c>
      <c r="H116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63" s="49">
        <f ca="1">IFERROR(WEEKNUM(CRC_War_Room_SIMs[[#This Row],[Ops Date]]), "N/A")</f>
        <v>29</v>
      </c>
      <c r="J116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6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6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63" s="50">
        <f>IF(AND(CRC_War_Room_SIMs[[#This Row],[CI]] = 0, CRC_War_Room_SIMs[[#This Row],[Miss]] = 1), 1, 0)</f>
        <v>0</v>
      </c>
      <c r="N116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6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63" s="50">
        <f>IF(AND(CRC_War_Room_SIMs[[#This Row],[Excluded]] = 0, OR(CRC_War_Room_SIMs[[#This Row],[SLA Miss]] &lt;&gt; "", ISNUMBER(SEARCH("SLA", CRC_War_Room_SIMs[[#This Row],[Labels]])))), 1, 0)</f>
        <v>0</v>
      </c>
    </row>
    <row r="1164" spans="1:16" x14ac:dyDescent="0.25">
      <c r="A1164" t="s">
        <v>3820</v>
      </c>
      <c r="B1164" t="s">
        <v>3739</v>
      </c>
      <c r="C1164" t="s">
        <v>3779</v>
      </c>
      <c r="H116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64" s="49">
        <f ca="1">IFERROR(WEEKNUM(CRC_War_Room_SIMs[[#This Row],[Ops Date]]), "N/A")</f>
        <v>29</v>
      </c>
      <c r="J116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6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6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64" s="50">
        <f>IF(AND(CRC_War_Room_SIMs[[#This Row],[CI]] = 0, CRC_War_Room_SIMs[[#This Row],[Miss]] = 1), 1, 0)</f>
        <v>0</v>
      </c>
      <c r="N116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6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64" s="50">
        <f>IF(AND(CRC_War_Room_SIMs[[#This Row],[Excluded]] = 0, OR(CRC_War_Room_SIMs[[#This Row],[SLA Miss]] &lt;&gt; "", ISNUMBER(SEARCH("SLA", CRC_War_Room_SIMs[[#This Row],[Labels]])))), 1, 0)</f>
        <v>0</v>
      </c>
    </row>
    <row r="1165" spans="1:16" x14ac:dyDescent="0.25">
      <c r="A1165" t="s">
        <v>3821</v>
      </c>
      <c r="B1165" t="s">
        <v>3786</v>
      </c>
      <c r="C1165" t="s">
        <v>3779</v>
      </c>
      <c r="H116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65" s="49">
        <f ca="1">IFERROR(WEEKNUM(CRC_War_Room_SIMs[[#This Row],[Ops Date]]), "N/A")</f>
        <v>29</v>
      </c>
      <c r="J116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6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6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65" s="50">
        <f>IF(AND(CRC_War_Room_SIMs[[#This Row],[CI]] = 0, CRC_War_Room_SIMs[[#This Row],[Miss]] = 1), 1, 0)</f>
        <v>0</v>
      </c>
      <c r="N116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6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65" s="50">
        <f>IF(AND(CRC_War_Room_SIMs[[#This Row],[Excluded]] = 0, OR(CRC_War_Room_SIMs[[#This Row],[SLA Miss]] &lt;&gt; "", ISNUMBER(SEARCH("SLA", CRC_War_Room_SIMs[[#This Row],[Labels]])))), 1, 0)</f>
        <v>0</v>
      </c>
    </row>
    <row r="1166" spans="1:16" x14ac:dyDescent="0.25">
      <c r="A1166" t="s">
        <v>3822</v>
      </c>
      <c r="B1166" t="s">
        <v>3788</v>
      </c>
      <c r="C1166" t="s">
        <v>3779</v>
      </c>
      <c r="H116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66" s="49">
        <f ca="1">IFERROR(WEEKNUM(CRC_War_Room_SIMs[[#This Row],[Ops Date]]), "N/A")</f>
        <v>29</v>
      </c>
      <c r="J116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6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6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66" s="50">
        <f>IF(AND(CRC_War_Room_SIMs[[#This Row],[CI]] = 0, CRC_War_Room_SIMs[[#This Row],[Miss]] = 1), 1, 0)</f>
        <v>0</v>
      </c>
      <c r="N116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6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66" s="50">
        <f>IF(AND(CRC_War_Room_SIMs[[#This Row],[Excluded]] = 0, OR(CRC_War_Room_SIMs[[#This Row],[SLA Miss]] &lt;&gt; "", ISNUMBER(SEARCH("SLA", CRC_War_Room_SIMs[[#This Row],[Labels]])))), 1, 0)</f>
        <v>0</v>
      </c>
    </row>
    <row r="1167" spans="1:16" x14ac:dyDescent="0.25">
      <c r="A1167" t="s">
        <v>3823</v>
      </c>
      <c r="B1167" t="s">
        <v>3824</v>
      </c>
      <c r="C1167" t="s">
        <v>3779</v>
      </c>
      <c r="H116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67" s="49">
        <f ca="1">IFERROR(WEEKNUM(CRC_War_Room_SIMs[[#This Row],[Ops Date]]), "N/A")</f>
        <v>29</v>
      </c>
      <c r="J116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6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6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67" s="50">
        <f>IF(AND(CRC_War_Room_SIMs[[#This Row],[CI]] = 0, CRC_War_Room_SIMs[[#This Row],[Miss]] = 1), 1, 0)</f>
        <v>0</v>
      </c>
      <c r="N116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6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67" s="50">
        <f>IF(AND(CRC_War_Room_SIMs[[#This Row],[Excluded]] = 0, OR(CRC_War_Room_SIMs[[#This Row],[SLA Miss]] &lt;&gt; "", ISNUMBER(SEARCH("SLA", CRC_War_Room_SIMs[[#This Row],[Labels]])))), 1, 0)</f>
        <v>0</v>
      </c>
    </row>
    <row r="1168" spans="1:16" x14ac:dyDescent="0.25">
      <c r="A1168" t="s">
        <v>3825</v>
      </c>
      <c r="B1168" t="s">
        <v>3788</v>
      </c>
      <c r="C1168" t="s">
        <v>3779</v>
      </c>
      <c r="H116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68" s="49">
        <f ca="1">IFERROR(WEEKNUM(CRC_War_Room_SIMs[[#This Row],[Ops Date]]), "N/A")</f>
        <v>29</v>
      </c>
      <c r="J116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6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6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68" s="50">
        <f>IF(AND(CRC_War_Room_SIMs[[#This Row],[CI]] = 0, CRC_War_Room_SIMs[[#This Row],[Miss]] = 1), 1, 0)</f>
        <v>0</v>
      </c>
      <c r="N116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6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68" s="50">
        <f>IF(AND(CRC_War_Room_SIMs[[#This Row],[Excluded]] = 0, OR(CRC_War_Room_SIMs[[#This Row],[SLA Miss]] &lt;&gt; "", ISNUMBER(SEARCH("SLA", CRC_War_Room_SIMs[[#This Row],[Labels]])))), 1, 0)</f>
        <v>0</v>
      </c>
    </row>
    <row r="1169" spans="1:16" x14ac:dyDescent="0.25">
      <c r="A1169" t="s">
        <v>3826</v>
      </c>
      <c r="B1169" t="s">
        <v>3824</v>
      </c>
      <c r="C1169" t="s">
        <v>3779</v>
      </c>
      <c r="H116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69" s="49">
        <f ca="1">IFERROR(WEEKNUM(CRC_War_Room_SIMs[[#This Row],[Ops Date]]), "N/A")</f>
        <v>29</v>
      </c>
      <c r="J116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6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6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69" s="50">
        <f>IF(AND(CRC_War_Room_SIMs[[#This Row],[CI]] = 0, CRC_War_Room_SIMs[[#This Row],[Miss]] = 1), 1, 0)</f>
        <v>0</v>
      </c>
      <c r="N116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6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69" s="50">
        <f>IF(AND(CRC_War_Room_SIMs[[#This Row],[Excluded]] = 0, OR(CRC_War_Room_SIMs[[#This Row],[SLA Miss]] &lt;&gt; "", ISNUMBER(SEARCH("SLA", CRC_War_Room_SIMs[[#This Row],[Labels]])))), 1, 0)</f>
        <v>0</v>
      </c>
    </row>
    <row r="1170" spans="1:16" x14ac:dyDescent="0.25">
      <c r="A1170" t="s">
        <v>3827</v>
      </c>
      <c r="B1170" t="s">
        <v>3739</v>
      </c>
      <c r="C1170" t="s">
        <v>3779</v>
      </c>
      <c r="H117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70" s="49">
        <f ca="1">IFERROR(WEEKNUM(CRC_War_Room_SIMs[[#This Row],[Ops Date]]), "N/A")</f>
        <v>29</v>
      </c>
      <c r="J117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7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7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70" s="50">
        <f>IF(AND(CRC_War_Room_SIMs[[#This Row],[CI]] = 0, CRC_War_Room_SIMs[[#This Row],[Miss]] = 1), 1, 0)</f>
        <v>0</v>
      </c>
      <c r="N117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7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70" s="50">
        <f>IF(AND(CRC_War_Room_SIMs[[#This Row],[Excluded]] = 0, OR(CRC_War_Room_SIMs[[#This Row],[SLA Miss]] &lt;&gt; "", ISNUMBER(SEARCH("SLA", CRC_War_Room_SIMs[[#This Row],[Labels]])))), 1, 0)</f>
        <v>0</v>
      </c>
    </row>
    <row r="1171" spans="1:16" x14ac:dyDescent="0.25">
      <c r="A1171" t="s">
        <v>3828</v>
      </c>
      <c r="B1171" t="s">
        <v>3739</v>
      </c>
      <c r="C1171" t="s">
        <v>3779</v>
      </c>
      <c r="H117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71" s="49">
        <f ca="1">IFERROR(WEEKNUM(CRC_War_Room_SIMs[[#This Row],[Ops Date]]), "N/A")</f>
        <v>29</v>
      </c>
      <c r="J117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7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7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71" s="50">
        <f>IF(AND(CRC_War_Room_SIMs[[#This Row],[CI]] = 0, CRC_War_Room_SIMs[[#This Row],[Miss]] = 1), 1, 0)</f>
        <v>0</v>
      </c>
      <c r="N117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7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71" s="50">
        <f>IF(AND(CRC_War_Room_SIMs[[#This Row],[Excluded]] = 0, OR(CRC_War_Room_SIMs[[#This Row],[SLA Miss]] &lt;&gt; "", ISNUMBER(SEARCH("SLA", CRC_War_Room_SIMs[[#This Row],[Labels]])))), 1, 0)</f>
        <v>0</v>
      </c>
    </row>
    <row r="1172" spans="1:16" x14ac:dyDescent="0.25">
      <c r="A1172" t="s">
        <v>3829</v>
      </c>
      <c r="B1172" t="s">
        <v>3786</v>
      </c>
      <c r="C1172" t="s">
        <v>3779</v>
      </c>
      <c r="H117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72" s="49">
        <f ca="1">IFERROR(WEEKNUM(CRC_War_Room_SIMs[[#This Row],[Ops Date]]), "N/A")</f>
        <v>29</v>
      </c>
      <c r="J117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7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7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72" s="50">
        <f>IF(AND(CRC_War_Room_SIMs[[#This Row],[CI]] = 0, CRC_War_Room_SIMs[[#This Row],[Miss]] = 1), 1, 0)</f>
        <v>0</v>
      </c>
      <c r="N117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7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72" s="50">
        <f>IF(AND(CRC_War_Room_SIMs[[#This Row],[Excluded]] = 0, OR(CRC_War_Room_SIMs[[#This Row],[SLA Miss]] &lt;&gt; "", ISNUMBER(SEARCH("SLA", CRC_War_Room_SIMs[[#This Row],[Labels]])))), 1, 0)</f>
        <v>0</v>
      </c>
    </row>
    <row r="1173" spans="1:16" x14ac:dyDescent="0.25">
      <c r="A1173" t="s">
        <v>3830</v>
      </c>
      <c r="B1173" t="s">
        <v>3788</v>
      </c>
      <c r="C1173" t="s">
        <v>3779</v>
      </c>
      <c r="H117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73" s="49">
        <f ca="1">IFERROR(WEEKNUM(CRC_War_Room_SIMs[[#This Row],[Ops Date]]), "N/A")</f>
        <v>29</v>
      </c>
      <c r="J117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7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7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73" s="50">
        <f>IF(AND(CRC_War_Room_SIMs[[#This Row],[CI]] = 0, CRC_War_Room_SIMs[[#This Row],[Miss]] = 1), 1, 0)</f>
        <v>0</v>
      </c>
      <c r="N117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7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73" s="50">
        <f>IF(AND(CRC_War_Room_SIMs[[#This Row],[Excluded]] = 0, OR(CRC_War_Room_SIMs[[#This Row],[SLA Miss]] &lt;&gt; "", ISNUMBER(SEARCH("SLA", CRC_War_Room_SIMs[[#This Row],[Labels]])))), 1, 0)</f>
        <v>0</v>
      </c>
    </row>
    <row r="1174" spans="1:16" x14ac:dyDescent="0.25">
      <c r="A1174" t="s">
        <v>3831</v>
      </c>
      <c r="B1174" t="s">
        <v>3778</v>
      </c>
      <c r="C1174" t="s">
        <v>3779</v>
      </c>
      <c r="H117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74" s="49">
        <f ca="1">IFERROR(WEEKNUM(CRC_War_Room_SIMs[[#This Row],[Ops Date]]), "N/A")</f>
        <v>29</v>
      </c>
      <c r="J117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7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7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74" s="50">
        <f>IF(AND(CRC_War_Room_SIMs[[#This Row],[CI]] = 0, CRC_War_Room_SIMs[[#This Row],[Miss]] = 1), 1, 0)</f>
        <v>0</v>
      </c>
      <c r="N117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7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74" s="50">
        <f>IF(AND(CRC_War_Room_SIMs[[#This Row],[Excluded]] = 0, OR(CRC_War_Room_SIMs[[#This Row],[SLA Miss]] &lt;&gt; "", ISNUMBER(SEARCH("SLA", CRC_War_Room_SIMs[[#This Row],[Labels]])))), 1, 0)</f>
        <v>0</v>
      </c>
    </row>
    <row r="1175" spans="1:16" x14ac:dyDescent="0.25">
      <c r="A1175" t="s">
        <v>3832</v>
      </c>
      <c r="B1175" t="s">
        <v>3739</v>
      </c>
      <c r="C1175" t="s">
        <v>3779</v>
      </c>
      <c r="H117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75" s="49">
        <f ca="1">IFERROR(WEEKNUM(CRC_War_Room_SIMs[[#This Row],[Ops Date]]), "N/A")</f>
        <v>29</v>
      </c>
      <c r="J117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7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7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75" s="50">
        <f>IF(AND(CRC_War_Room_SIMs[[#This Row],[CI]] = 0, CRC_War_Room_SIMs[[#This Row],[Miss]] = 1), 1, 0)</f>
        <v>0</v>
      </c>
      <c r="N117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7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75" s="50">
        <f>IF(AND(CRC_War_Room_SIMs[[#This Row],[Excluded]] = 0, OR(CRC_War_Room_SIMs[[#This Row],[SLA Miss]] &lt;&gt; "", ISNUMBER(SEARCH("SLA", CRC_War_Room_SIMs[[#This Row],[Labels]])))), 1, 0)</f>
        <v>0</v>
      </c>
    </row>
    <row r="1176" spans="1:16" x14ac:dyDescent="0.25">
      <c r="A1176" t="s">
        <v>3833</v>
      </c>
      <c r="B1176" t="s">
        <v>3786</v>
      </c>
      <c r="C1176" t="s">
        <v>3779</v>
      </c>
      <c r="H117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76" s="49">
        <f ca="1">IFERROR(WEEKNUM(CRC_War_Room_SIMs[[#This Row],[Ops Date]]), "N/A")</f>
        <v>29</v>
      </c>
      <c r="J117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7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7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76" s="50">
        <f>IF(AND(CRC_War_Room_SIMs[[#This Row],[CI]] = 0, CRC_War_Room_SIMs[[#This Row],[Miss]] = 1), 1, 0)</f>
        <v>0</v>
      </c>
      <c r="N117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7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76" s="50">
        <f>IF(AND(CRC_War_Room_SIMs[[#This Row],[Excluded]] = 0, OR(CRC_War_Room_SIMs[[#This Row],[SLA Miss]] &lt;&gt; "", ISNUMBER(SEARCH("SLA", CRC_War_Room_SIMs[[#This Row],[Labels]])))), 1, 0)</f>
        <v>0</v>
      </c>
    </row>
    <row r="1177" spans="1:16" x14ac:dyDescent="0.25">
      <c r="A1177" t="s">
        <v>3834</v>
      </c>
      <c r="B1177" t="s">
        <v>3778</v>
      </c>
      <c r="C1177" t="s">
        <v>3779</v>
      </c>
      <c r="H117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77" s="49">
        <f ca="1">IFERROR(WEEKNUM(CRC_War_Room_SIMs[[#This Row],[Ops Date]]), "N/A")</f>
        <v>29</v>
      </c>
      <c r="J117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7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7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77" s="50">
        <f>IF(AND(CRC_War_Room_SIMs[[#This Row],[CI]] = 0, CRC_War_Room_SIMs[[#This Row],[Miss]] = 1), 1, 0)</f>
        <v>0</v>
      </c>
      <c r="N117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7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77" s="50">
        <f>IF(AND(CRC_War_Room_SIMs[[#This Row],[Excluded]] = 0, OR(CRC_War_Room_SIMs[[#This Row],[SLA Miss]] &lt;&gt; "", ISNUMBER(SEARCH("SLA", CRC_War_Room_SIMs[[#This Row],[Labels]])))), 1, 0)</f>
        <v>0</v>
      </c>
    </row>
    <row r="1178" spans="1:16" x14ac:dyDescent="0.25">
      <c r="A1178" t="s">
        <v>3835</v>
      </c>
      <c r="B1178" t="s">
        <v>3739</v>
      </c>
      <c r="C1178" t="s">
        <v>3779</v>
      </c>
      <c r="H117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78" s="49">
        <f ca="1">IFERROR(WEEKNUM(CRC_War_Room_SIMs[[#This Row],[Ops Date]]), "N/A")</f>
        <v>29</v>
      </c>
      <c r="J117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7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7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78" s="50">
        <f>IF(AND(CRC_War_Room_SIMs[[#This Row],[CI]] = 0, CRC_War_Room_SIMs[[#This Row],[Miss]] = 1), 1, 0)</f>
        <v>0</v>
      </c>
      <c r="N117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7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78" s="50">
        <f>IF(AND(CRC_War_Room_SIMs[[#This Row],[Excluded]] = 0, OR(CRC_War_Room_SIMs[[#This Row],[SLA Miss]] &lt;&gt; "", ISNUMBER(SEARCH("SLA", CRC_War_Room_SIMs[[#This Row],[Labels]])))), 1, 0)</f>
        <v>0</v>
      </c>
    </row>
    <row r="1179" spans="1:16" x14ac:dyDescent="0.25">
      <c r="A1179" t="s">
        <v>3836</v>
      </c>
      <c r="B1179" t="s">
        <v>3788</v>
      </c>
      <c r="C1179" t="s">
        <v>3779</v>
      </c>
      <c r="H117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79" s="49">
        <f ca="1">IFERROR(WEEKNUM(CRC_War_Room_SIMs[[#This Row],[Ops Date]]), "N/A")</f>
        <v>29</v>
      </c>
      <c r="J117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7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7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79" s="50">
        <f>IF(AND(CRC_War_Room_SIMs[[#This Row],[CI]] = 0, CRC_War_Room_SIMs[[#This Row],[Miss]] = 1), 1, 0)</f>
        <v>0</v>
      </c>
      <c r="N117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7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79" s="50">
        <f>IF(AND(CRC_War_Room_SIMs[[#This Row],[Excluded]] = 0, OR(CRC_War_Room_SIMs[[#This Row],[SLA Miss]] &lt;&gt; "", ISNUMBER(SEARCH("SLA", CRC_War_Room_SIMs[[#This Row],[Labels]])))), 1, 0)</f>
        <v>0</v>
      </c>
    </row>
    <row r="1180" spans="1:16" x14ac:dyDescent="0.25">
      <c r="A1180" t="s">
        <v>3837</v>
      </c>
      <c r="B1180" t="s">
        <v>3786</v>
      </c>
      <c r="C1180" t="s">
        <v>3779</v>
      </c>
      <c r="H118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80" s="49">
        <f ca="1">IFERROR(WEEKNUM(CRC_War_Room_SIMs[[#This Row],[Ops Date]]), "N/A")</f>
        <v>29</v>
      </c>
      <c r="J118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8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8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80" s="50">
        <f>IF(AND(CRC_War_Room_SIMs[[#This Row],[CI]] = 0, CRC_War_Room_SIMs[[#This Row],[Miss]] = 1), 1, 0)</f>
        <v>0</v>
      </c>
      <c r="N118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8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80" s="50">
        <f>IF(AND(CRC_War_Room_SIMs[[#This Row],[Excluded]] = 0, OR(CRC_War_Room_SIMs[[#This Row],[SLA Miss]] &lt;&gt; "", ISNUMBER(SEARCH("SLA", CRC_War_Room_SIMs[[#This Row],[Labels]])))), 1, 0)</f>
        <v>0</v>
      </c>
    </row>
    <row r="1181" spans="1:16" x14ac:dyDescent="0.25">
      <c r="A1181" t="s">
        <v>3838</v>
      </c>
      <c r="B1181" t="s">
        <v>3778</v>
      </c>
      <c r="C1181" t="s">
        <v>3779</v>
      </c>
      <c r="H118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81" s="49">
        <f ca="1">IFERROR(WEEKNUM(CRC_War_Room_SIMs[[#This Row],[Ops Date]]), "N/A")</f>
        <v>29</v>
      </c>
      <c r="J118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8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8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81" s="50">
        <f>IF(AND(CRC_War_Room_SIMs[[#This Row],[CI]] = 0, CRC_War_Room_SIMs[[#This Row],[Miss]] = 1), 1, 0)</f>
        <v>0</v>
      </c>
      <c r="N118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8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81" s="50">
        <f>IF(AND(CRC_War_Room_SIMs[[#This Row],[Excluded]] = 0, OR(CRC_War_Room_SIMs[[#This Row],[SLA Miss]] &lt;&gt; "", ISNUMBER(SEARCH("SLA", CRC_War_Room_SIMs[[#This Row],[Labels]])))), 1, 0)</f>
        <v>0</v>
      </c>
    </row>
    <row r="1182" spans="1:16" x14ac:dyDescent="0.25">
      <c r="A1182" t="s">
        <v>3839</v>
      </c>
      <c r="B1182" t="s">
        <v>3739</v>
      </c>
      <c r="C1182" t="s">
        <v>3779</v>
      </c>
      <c r="H118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82" s="49">
        <f ca="1">IFERROR(WEEKNUM(CRC_War_Room_SIMs[[#This Row],[Ops Date]]), "N/A")</f>
        <v>29</v>
      </c>
      <c r="J118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8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8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82" s="50">
        <f>IF(AND(CRC_War_Room_SIMs[[#This Row],[CI]] = 0, CRC_War_Room_SIMs[[#This Row],[Miss]] = 1), 1, 0)</f>
        <v>0</v>
      </c>
      <c r="N118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8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82" s="50">
        <f>IF(AND(CRC_War_Room_SIMs[[#This Row],[Excluded]] = 0, OR(CRC_War_Room_SIMs[[#This Row],[SLA Miss]] &lt;&gt; "", ISNUMBER(SEARCH("SLA", CRC_War_Room_SIMs[[#This Row],[Labels]])))), 1, 0)</f>
        <v>0</v>
      </c>
    </row>
    <row r="1183" spans="1:16" x14ac:dyDescent="0.25">
      <c r="A1183" t="s">
        <v>3840</v>
      </c>
      <c r="B1183" t="s">
        <v>3786</v>
      </c>
      <c r="C1183" t="s">
        <v>3779</v>
      </c>
      <c r="H118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83" s="49">
        <f ca="1">IFERROR(WEEKNUM(CRC_War_Room_SIMs[[#This Row],[Ops Date]]), "N/A")</f>
        <v>29</v>
      </c>
      <c r="J118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8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8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83" s="50">
        <f>IF(AND(CRC_War_Room_SIMs[[#This Row],[CI]] = 0, CRC_War_Room_SIMs[[#This Row],[Miss]] = 1), 1, 0)</f>
        <v>0</v>
      </c>
      <c r="N118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8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83" s="50">
        <f>IF(AND(CRC_War_Room_SIMs[[#This Row],[Excluded]] = 0, OR(CRC_War_Room_SIMs[[#This Row],[SLA Miss]] &lt;&gt; "", ISNUMBER(SEARCH("SLA", CRC_War_Room_SIMs[[#This Row],[Labels]])))), 1, 0)</f>
        <v>0</v>
      </c>
    </row>
    <row r="1184" spans="1:16" x14ac:dyDescent="0.25">
      <c r="A1184" t="s">
        <v>3841</v>
      </c>
      <c r="B1184" t="s">
        <v>3788</v>
      </c>
      <c r="C1184" t="s">
        <v>3779</v>
      </c>
      <c r="H118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84" s="49">
        <f ca="1">IFERROR(WEEKNUM(CRC_War_Room_SIMs[[#This Row],[Ops Date]]), "N/A")</f>
        <v>29</v>
      </c>
      <c r="J118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8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8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84" s="50">
        <f>IF(AND(CRC_War_Room_SIMs[[#This Row],[CI]] = 0, CRC_War_Room_SIMs[[#This Row],[Miss]] = 1), 1, 0)</f>
        <v>0</v>
      </c>
      <c r="N118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8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84" s="50">
        <f>IF(AND(CRC_War_Room_SIMs[[#This Row],[Excluded]] = 0, OR(CRC_War_Room_SIMs[[#This Row],[SLA Miss]] &lt;&gt; "", ISNUMBER(SEARCH("SLA", CRC_War_Room_SIMs[[#This Row],[Labels]])))), 1, 0)</f>
        <v>0</v>
      </c>
    </row>
    <row r="1185" spans="1:16" x14ac:dyDescent="0.25">
      <c r="A1185" t="s">
        <v>3842</v>
      </c>
      <c r="B1185" t="s">
        <v>3739</v>
      </c>
      <c r="C1185" t="s">
        <v>3779</v>
      </c>
      <c r="H118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85" s="49">
        <f ca="1">IFERROR(WEEKNUM(CRC_War_Room_SIMs[[#This Row],[Ops Date]]), "N/A")</f>
        <v>29</v>
      </c>
      <c r="J118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8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8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85" s="50">
        <f>IF(AND(CRC_War_Room_SIMs[[#This Row],[CI]] = 0, CRC_War_Room_SIMs[[#This Row],[Miss]] = 1), 1, 0)</f>
        <v>0</v>
      </c>
      <c r="N118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8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85" s="50">
        <f>IF(AND(CRC_War_Room_SIMs[[#This Row],[Excluded]] = 0, OR(CRC_War_Room_SIMs[[#This Row],[SLA Miss]] &lt;&gt; "", ISNUMBER(SEARCH("SLA", CRC_War_Room_SIMs[[#This Row],[Labels]])))), 1, 0)</f>
        <v>0</v>
      </c>
    </row>
    <row r="1186" spans="1:16" x14ac:dyDescent="0.25">
      <c r="A1186" t="s">
        <v>3843</v>
      </c>
      <c r="B1186" t="s">
        <v>3786</v>
      </c>
      <c r="C1186" t="s">
        <v>3779</v>
      </c>
      <c r="H118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86" s="49">
        <f ca="1">IFERROR(WEEKNUM(CRC_War_Room_SIMs[[#This Row],[Ops Date]]), "N/A")</f>
        <v>29</v>
      </c>
      <c r="J118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8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8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86" s="50">
        <f>IF(AND(CRC_War_Room_SIMs[[#This Row],[CI]] = 0, CRC_War_Room_SIMs[[#This Row],[Miss]] = 1), 1, 0)</f>
        <v>0</v>
      </c>
      <c r="N118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8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86" s="50">
        <f>IF(AND(CRC_War_Room_SIMs[[#This Row],[Excluded]] = 0, OR(CRC_War_Room_SIMs[[#This Row],[SLA Miss]] &lt;&gt; "", ISNUMBER(SEARCH("SLA", CRC_War_Room_SIMs[[#This Row],[Labels]])))), 1, 0)</f>
        <v>0</v>
      </c>
    </row>
    <row r="1187" spans="1:16" x14ac:dyDescent="0.25">
      <c r="A1187" t="s">
        <v>3844</v>
      </c>
      <c r="B1187" t="s">
        <v>3788</v>
      </c>
      <c r="C1187" t="s">
        <v>3779</v>
      </c>
      <c r="H118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87" s="49">
        <f ca="1">IFERROR(WEEKNUM(CRC_War_Room_SIMs[[#This Row],[Ops Date]]), "N/A")</f>
        <v>29</v>
      </c>
      <c r="J118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8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8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87" s="50">
        <f>IF(AND(CRC_War_Room_SIMs[[#This Row],[CI]] = 0, CRC_War_Room_SIMs[[#This Row],[Miss]] = 1), 1, 0)</f>
        <v>0</v>
      </c>
      <c r="N118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8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87" s="50">
        <f>IF(AND(CRC_War_Room_SIMs[[#This Row],[Excluded]] = 0, OR(CRC_War_Room_SIMs[[#This Row],[SLA Miss]] &lt;&gt; "", ISNUMBER(SEARCH("SLA", CRC_War_Room_SIMs[[#This Row],[Labels]])))), 1, 0)</f>
        <v>0</v>
      </c>
    </row>
    <row r="1188" spans="1:16" x14ac:dyDescent="0.25">
      <c r="A1188" t="s">
        <v>3845</v>
      </c>
      <c r="B1188" t="s">
        <v>3778</v>
      </c>
      <c r="C1188" t="s">
        <v>3779</v>
      </c>
      <c r="H118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88" s="49">
        <f ca="1">IFERROR(WEEKNUM(CRC_War_Room_SIMs[[#This Row],[Ops Date]]), "N/A")</f>
        <v>29</v>
      </c>
      <c r="J118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8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8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88" s="50">
        <f>IF(AND(CRC_War_Room_SIMs[[#This Row],[CI]] = 0, CRC_War_Room_SIMs[[#This Row],[Miss]] = 1), 1, 0)</f>
        <v>0</v>
      </c>
      <c r="N118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8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88" s="50">
        <f>IF(AND(CRC_War_Room_SIMs[[#This Row],[Excluded]] = 0, OR(CRC_War_Room_SIMs[[#This Row],[SLA Miss]] &lt;&gt; "", ISNUMBER(SEARCH("SLA", CRC_War_Room_SIMs[[#This Row],[Labels]])))), 1, 0)</f>
        <v>0</v>
      </c>
    </row>
    <row r="1189" spans="1:16" x14ac:dyDescent="0.25">
      <c r="A1189" t="s">
        <v>3846</v>
      </c>
      <c r="B1189" t="s">
        <v>3739</v>
      </c>
      <c r="C1189" t="s">
        <v>3779</v>
      </c>
      <c r="H118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89" s="49">
        <f ca="1">IFERROR(WEEKNUM(CRC_War_Room_SIMs[[#This Row],[Ops Date]]), "N/A")</f>
        <v>29</v>
      </c>
      <c r="J118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8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8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89" s="50">
        <f>IF(AND(CRC_War_Room_SIMs[[#This Row],[CI]] = 0, CRC_War_Room_SIMs[[#This Row],[Miss]] = 1), 1, 0)</f>
        <v>0</v>
      </c>
      <c r="N118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8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89" s="50">
        <f>IF(AND(CRC_War_Room_SIMs[[#This Row],[Excluded]] = 0, OR(CRC_War_Room_SIMs[[#This Row],[SLA Miss]] &lt;&gt; "", ISNUMBER(SEARCH("SLA", CRC_War_Room_SIMs[[#This Row],[Labels]])))), 1, 0)</f>
        <v>0</v>
      </c>
    </row>
    <row r="1190" spans="1:16" x14ac:dyDescent="0.25">
      <c r="A1190" t="s">
        <v>3847</v>
      </c>
      <c r="B1190" t="s">
        <v>3786</v>
      </c>
      <c r="C1190" t="s">
        <v>3779</v>
      </c>
      <c r="H119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90" s="49">
        <f ca="1">IFERROR(WEEKNUM(CRC_War_Room_SIMs[[#This Row],[Ops Date]]), "N/A")</f>
        <v>29</v>
      </c>
      <c r="J119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9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9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90" s="50">
        <f>IF(AND(CRC_War_Room_SIMs[[#This Row],[CI]] = 0, CRC_War_Room_SIMs[[#This Row],[Miss]] = 1), 1, 0)</f>
        <v>0</v>
      </c>
      <c r="N119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9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90" s="50">
        <f>IF(AND(CRC_War_Room_SIMs[[#This Row],[Excluded]] = 0, OR(CRC_War_Room_SIMs[[#This Row],[SLA Miss]] &lt;&gt; "", ISNUMBER(SEARCH("SLA", CRC_War_Room_SIMs[[#This Row],[Labels]])))), 1, 0)</f>
        <v>0</v>
      </c>
    </row>
    <row r="1191" spans="1:16" x14ac:dyDescent="0.25">
      <c r="A1191" t="s">
        <v>3848</v>
      </c>
      <c r="B1191" t="s">
        <v>3784</v>
      </c>
      <c r="C1191" t="s">
        <v>3779</v>
      </c>
      <c r="H119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91" s="49">
        <f ca="1">IFERROR(WEEKNUM(CRC_War_Room_SIMs[[#This Row],[Ops Date]]), "N/A")</f>
        <v>29</v>
      </c>
      <c r="J119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9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9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91" s="50">
        <f>IF(AND(CRC_War_Room_SIMs[[#This Row],[CI]] = 0, CRC_War_Room_SIMs[[#This Row],[Miss]] = 1), 1, 0)</f>
        <v>0</v>
      </c>
      <c r="N119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9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91" s="50">
        <f>IF(AND(CRC_War_Room_SIMs[[#This Row],[Excluded]] = 0, OR(CRC_War_Room_SIMs[[#This Row],[SLA Miss]] &lt;&gt; "", ISNUMBER(SEARCH("SLA", CRC_War_Room_SIMs[[#This Row],[Labels]])))), 1, 0)</f>
        <v>0</v>
      </c>
    </row>
    <row r="1192" spans="1:16" x14ac:dyDescent="0.25">
      <c r="A1192" t="s">
        <v>3849</v>
      </c>
      <c r="B1192" t="s">
        <v>3782</v>
      </c>
      <c r="C1192" t="s">
        <v>3779</v>
      </c>
      <c r="H119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92" s="49">
        <f ca="1">IFERROR(WEEKNUM(CRC_War_Room_SIMs[[#This Row],[Ops Date]]), "N/A")</f>
        <v>29</v>
      </c>
      <c r="J119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9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9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92" s="50">
        <f>IF(AND(CRC_War_Room_SIMs[[#This Row],[CI]] = 0, CRC_War_Room_SIMs[[#This Row],[Miss]] = 1), 1, 0)</f>
        <v>0</v>
      </c>
      <c r="N119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9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92" s="50">
        <f>IF(AND(CRC_War_Room_SIMs[[#This Row],[Excluded]] = 0, OR(CRC_War_Room_SIMs[[#This Row],[SLA Miss]] &lt;&gt; "", ISNUMBER(SEARCH("SLA", CRC_War_Room_SIMs[[#This Row],[Labels]])))), 1, 0)</f>
        <v>0</v>
      </c>
    </row>
    <row r="1193" spans="1:16" x14ac:dyDescent="0.25">
      <c r="A1193" t="s">
        <v>3850</v>
      </c>
      <c r="B1193" t="s">
        <v>3851</v>
      </c>
      <c r="C1193" t="s">
        <v>3779</v>
      </c>
      <c r="H119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45487</v>
      </c>
      <c r="I1193" s="49">
        <f ca="1">IFERROR(WEEKNUM(CRC_War_Room_SIMs[[#This Row],[Ops Date]]), "N/A")</f>
        <v>29</v>
      </c>
      <c r="J119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9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9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93" s="50">
        <f>IF(AND(CRC_War_Room_SIMs[[#This Row],[CI]] = 0, CRC_War_Room_SIMs[[#This Row],[Miss]] = 1), 1, 0)</f>
        <v>0</v>
      </c>
      <c r="N119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9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93" s="50">
        <f>IF(AND(CRC_War_Room_SIMs[[#This Row],[Excluded]] = 0, OR(CRC_War_Room_SIMs[[#This Row],[SLA Miss]] &lt;&gt; "", ISNUMBER(SEARCH("SLA", CRC_War_Room_SIMs[[#This Row],[Labels]])))), 1, 0)</f>
        <v>0</v>
      </c>
    </row>
    <row r="1194" spans="1:16" x14ac:dyDescent="0.25">
      <c r="A1194" t="s">
        <v>3852</v>
      </c>
      <c r="B1194" t="s">
        <v>3853</v>
      </c>
      <c r="C1194" t="s">
        <v>3854</v>
      </c>
      <c r="H119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194" s="49">
        <f ca="1">IFERROR(WEEKNUM(CRC_War_Room_SIMs[[#This Row],[Ops Date]]), "N/A")</f>
        <v>28</v>
      </c>
      <c r="J119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9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19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194" s="50">
        <f>IF(AND(CRC_War_Room_SIMs[[#This Row],[CI]] = 0, CRC_War_Room_SIMs[[#This Row],[Miss]] = 1), 1, 0)</f>
        <v>0</v>
      </c>
      <c r="N119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9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94" s="50">
        <f>IF(AND(CRC_War_Room_SIMs[[#This Row],[Excluded]] = 0, OR(CRC_War_Room_SIMs[[#This Row],[SLA Miss]] &lt;&gt; "", ISNUMBER(SEARCH("SLA", CRC_War_Room_SIMs[[#This Row],[Labels]])))), 1, 0)</f>
        <v>0</v>
      </c>
    </row>
    <row r="1195" spans="1:16" x14ac:dyDescent="0.25">
      <c r="A1195" t="s">
        <v>3855</v>
      </c>
      <c r="B1195" t="s">
        <v>3856</v>
      </c>
      <c r="C1195" t="s">
        <v>3857</v>
      </c>
      <c r="H119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45486</v>
      </c>
      <c r="I1195" s="49">
        <f ca="1">IFERROR(WEEKNUM(CRC_War_Room_SIMs[[#This Row],[Ops Date]]), "N/A")</f>
        <v>28</v>
      </c>
      <c r="J119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9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9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95" s="50">
        <f>IF(AND(CRC_War_Room_SIMs[[#This Row],[CI]] = 0, CRC_War_Room_SIMs[[#This Row],[Miss]] = 1), 1, 0)</f>
        <v>0</v>
      </c>
      <c r="N119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9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95" s="50">
        <f>IF(AND(CRC_War_Room_SIMs[[#This Row],[Excluded]] = 0, OR(CRC_War_Room_SIMs[[#This Row],[SLA Miss]] &lt;&gt; "", ISNUMBER(SEARCH("SLA", CRC_War_Room_SIMs[[#This Row],[Labels]])))), 1, 0)</f>
        <v>0</v>
      </c>
    </row>
    <row r="1196" spans="1:16" x14ac:dyDescent="0.25">
      <c r="A1196" t="s">
        <v>3858</v>
      </c>
      <c r="B1196" t="s">
        <v>3859</v>
      </c>
      <c r="C1196" t="s">
        <v>3857</v>
      </c>
      <c r="H119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45486</v>
      </c>
      <c r="I1196" s="49">
        <f ca="1">IFERROR(WEEKNUM(CRC_War_Room_SIMs[[#This Row],[Ops Date]]), "N/A")</f>
        <v>28</v>
      </c>
      <c r="J119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9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9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96" s="50">
        <f>IF(AND(CRC_War_Room_SIMs[[#This Row],[CI]] = 0, CRC_War_Room_SIMs[[#This Row],[Miss]] = 1), 1, 0)</f>
        <v>0</v>
      </c>
      <c r="N119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9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96" s="50">
        <f>IF(AND(CRC_War_Room_SIMs[[#This Row],[Excluded]] = 0, OR(CRC_War_Room_SIMs[[#This Row],[SLA Miss]] &lt;&gt; "", ISNUMBER(SEARCH("SLA", CRC_War_Room_SIMs[[#This Row],[Labels]])))), 1, 0)</f>
        <v>0</v>
      </c>
    </row>
    <row r="1197" spans="1:16" x14ac:dyDescent="0.25">
      <c r="A1197" t="s">
        <v>3860</v>
      </c>
      <c r="B1197" t="s">
        <v>3861</v>
      </c>
      <c r="C1197" t="s">
        <v>3857</v>
      </c>
      <c r="H119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45486</v>
      </c>
      <c r="I1197" s="49">
        <f ca="1">IFERROR(WEEKNUM(CRC_War_Room_SIMs[[#This Row],[Ops Date]]), "N/A")</f>
        <v>28</v>
      </c>
      <c r="J119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9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9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97" s="50">
        <f>IF(AND(CRC_War_Room_SIMs[[#This Row],[CI]] = 0, CRC_War_Room_SIMs[[#This Row],[Miss]] = 1), 1, 0)</f>
        <v>0</v>
      </c>
      <c r="N119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9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97" s="50">
        <f>IF(AND(CRC_War_Room_SIMs[[#This Row],[Excluded]] = 0, OR(CRC_War_Room_SIMs[[#This Row],[SLA Miss]] &lt;&gt; "", ISNUMBER(SEARCH("SLA", CRC_War_Room_SIMs[[#This Row],[Labels]])))), 1, 0)</f>
        <v>0</v>
      </c>
    </row>
    <row r="1198" spans="1:16" x14ac:dyDescent="0.25">
      <c r="A1198" t="s">
        <v>3862</v>
      </c>
      <c r="B1198" t="s">
        <v>3863</v>
      </c>
      <c r="C1198" t="s">
        <v>3857</v>
      </c>
      <c r="H119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45486</v>
      </c>
      <c r="I1198" s="49">
        <f ca="1">IFERROR(WEEKNUM(CRC_War_Room_SIMs[[#This Row],[Ops Date]]), "N/A")</f>
        <v>28</v>
      </c>
      <c r="J119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9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9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98" s="50">
        <f>IF(AND(CRC_War_Room_SIMs[[#This Row],[CI]] = 0, CRC_War_Room_SIMs[[#This Row],[Miss]] = 1), 1, 0)</f>
        <v>0</v>
      </c>
      <c r="N119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9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98" s="50">
        <f>IF(AND(CRC_War_Room_SIMs[[#This Row],[Excluded]] = 0, OR(CRC_War_Room_SIMs[[#This Row],[SLA Miss]] &lt;&gt; "", ISNUMBER(SEARCH("SLA", CRC_War_Room_SIMs[[#This Row],[Labels]])))), 1, 0)</f>
        <v>0</v>
      </c>
    </row>
    <row r="1199" spans="1:16" x14ac:dyDescent="0.25">
      <c r="A1199" t="s">
        <v>3864</v>
      </c>
      <c r="B1199" t="s">
        <v>3856</v>
      </c>
      <c r="C1199" t="s">
        <v>3857</v>
      </c>
      <c r="H119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45486</v>
      </c>
      <c r="I1199" s="49">
        <f ca="1">IFERROR(WEEKNUM(CRC_War_Room_SIMs[[#This Row],[Ops Date]]), "N/A")</f>
        <v>28</v>
      </c>
      <c r="J119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19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19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199" s="50">
        <f>IF(AND(CRC_War_Room_SIMs[[#This Row],[CI]] = 0, CRC_War_Room_SIMs[[#This Row],[Miss]] = 1), 1, 0)</f>
        <v>0</v>
      </c>
      <c r="N119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19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199" s="50">
        <f>IF(AND(CRC_War_Room_SIMs[[#This Row],[Excluded]] = 0, OR(CRC_War_Room_SIMs[[#This Row],[SLA Miss]] &lt;&gt; "", ISNUMBER(SEARCH("SLA", CRC_War_Room_SIMs[[#This Row],[Labels]])))), 1, 0)</f>
        <v>0</v>
      </c>
    </row>
    <row r="1200" spans="1:16" x14ac:dyDescent="0.25">
      <c r="A1200" t="s">
        <v>3865</v>
      </c>
      <c r="B1200" t="s">
        <v>3861</v>
      </c>
      <c r="C1200" t="s">
        <v>3857</v>
      </c>
      <c r="H120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45486</v>
      </c>
      <c r="I1200" s="49">
        <f ca="1">IFERROR(WEEKNUM(CRC_War_Room_SIMs[[#This Row],[Ops Date]]), "N/A")</f>
        <v>28</v>
      </c>
      <c r="J120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0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0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00" s="50">
        <f>IF(AND(CRC_War_Room_SIMs[[#This Row],[CI]] = 0, CRC_War_Room_SIMs[[#This Row],[Miss]] = 1), 1, 0)</f>
        <v>0</v>
      </c>
      <c r="N120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0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00" s="50">
        <f>IF(AND(CRC_War_Room_SIMs[[#This Row],[Excluded]] = 0, OR(CRC_War_Room_SIMs[[#This Row],[SLA Miss]] &lt;&gt; "", ISNUMBER(SEARCH("SLA", CRC_War_Room_SIMs[[#This Row],[Labels]])))), 1, 0)</f>
        <v>0</v>
      </c>
    </row>
    <row r="1201" spans="1:16" x14ac:dyDescent="0.25">
      <c r="A1201" t="s">
        <v>3866</v>
      </c>
      <c r="B1201" t="s">
        <v>3867</v>
      </c>
      <c r="C1201" t="s">
        <v>3857</v>
      </c>
      <c r="H120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45486</v>
      </c>
      <c r="I1201" s="49">
        <f ca="1">IFERROR(WEEKNUM(CRC_War_Room_SIMs[[#This Row],[Ops Date]]), "N/A")</f>
        <v>28</v>
      </c>
      <c r="J120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0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0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01" s="50">
        <f>IF(AND(CRC_War_Room_SIMs[[#This Row],[CI]] = 0, CRC_War_Room_SIMs[[#This Row],[Miss]] = 1), 1, 0)</f>
        <v>0</v>
      </c>
      <c r="N120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0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01" s="50">
        <f>IF(AND(CRC_War_Room_SIMs[[#This Row],[Excluded]] = 0, OR(CRC_War_Room_SIMs[[#This Row],[SLA Miss]] &lt;&gt; "", ISNUMBER(SEARCH("SLA", CRC_War_Room_SIMs[[#This Row],[Labels]])))), 1, 0)</f>
        <v>0</v>
      </c>
    </row>
    <row r="1202" spans="1:16" x14ac:dyDescent="0.25">
      <c r="A1202" t="s">
        <v>3868</v>
      </c>
      <c r="B1202" t="s">
        <v>3869</v>
      </c>
      <c r="C1202" t="s">
        <v>3857</v>
      </c>
      <c r="H120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45486</v>
      </c>
      <c r="I1202" s="49">
        <f ca="1">IFERROR(WEEKNUM(CRC_War_Room_SIMs[[#This Row],[Ops Date]]), "N/A")</f>
        <v>28</v>
      </c>
      <c r="J120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0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0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02" s="50">
        <f>IF(AND(CRC_War_Room_SIMs[[#This Row],[CI]] = 0, CRC_War_Room_SIMs[[#This Row],[Miss]] = 1), 1, 0)</f>
        <v>0</v>
      </c>
      <c r="N120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0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02" s="50">
        <f>IF(AND(CRC_War_Room_SIMs[[#This Row],[Excluded]] = 0, OR(CRC_War_Room_SIMs[[#This Row],[SLA Miss]] &lt;&gt; "", ISNUMBER(SEARCH("SLA", CRC_War_Room_SIMs[[#This Row],[Labels]])))), 1, 0)</f>
        <v>0</v>
      </c>
    </row>
    <row r="1203" spans="1:16" x14ac:dyDescent="0.25">
      <c r="A1203" t="s">
        <v>3870</v>
      </c>
      <c r="B1203" t="s">
        <v>3871</v>
      </c>
      <c r="C1203" t="s">
        <v>3857</v>
      </c>
      <c r="H120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45486</v>
      </c>
      <c r="I1203" s="49">
        <f ca="1">IFERROR(WEEKNUM(CRC_War_Room_SIMs[[#This Row],[Ops Date]]), "N/A")</f>
        <v>28</v>
      </c>
      <c r="J120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0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0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03" s="50">
        <f>IF(AND(CRC_War_Room_SIMs[[#This Row],[CI]] = 0, CRC_War_Room_SIMs[[#This Row],[Miss]] = 1), 1, 0)</f>
        <v>0</v>
      </c>
      <c r="N120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0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03" s="50">
        <f>IF(AND(CRC_War_Room_SIMs[[#This Row],[Excluded]] = 0, OR(CRC_War_Room_SIMs[[#This Row],[SLA Miss]] &lt;&gt; "", ISNUMBER(SEARCH("SLA", CRC_War_Room_SIMs[[#This Row],[Labels]])))), 1, 0)</f>
        <v>0</v>
      </c>
    </row>
    <row r="1204" spans="1:16" x14ac:dyDescent="0.25">
      <c r="A1204" t="s">
        <v>3872</v>
      </c>
      <c r="B1204" t="s">
        <v>3873</v>
      </c>
      <c r="C1204" t="s">
        <v>3857</v>
      </c>
      <c r="H120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45486</v>
      </c>
      <c r="I1204" s="49">
        <f ca="1">IFERROR(WEEKNUM(CRC_War_Room_SIMs[[#This Row],[Ops Date]]), "N/A")</f>
        <v>28</v>
      </c>
      <c r="J120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0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0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04" s="50">
        <f>IF(AND(CRC_War_Room_SIMs[[#This Row],[CI]] = 0, CRC_War_Room_SIMs[[#This Row],[Miss]] = 1), 1, 0)</f>
        <v>0</v>
      </c>
      <c r="N120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0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04" s="50">
        <f>IF(AND(CRC_War_Room_SIMs[[#This Row],[Excluded]] = 0, OR(CRC_War_Room_SIMs[[#This Row],[SLA Miss]] &lt;&gt; "", ISNUMBER(SEARCH("SLA", CRC_War_Room_SIMs[[#This Row],[Labels]])))), 1, 0)</f>
        <v>0</v>
      </c>
    </row>
    <row r="1205" spans="1:16" x14ac:dyDescent="0.25">
      <c r="A1205" t="s">
        <v>3874</v>
      </c>
      <c r="B1205" t="s">
        <v>3863</v>
      </c>
      <c r="C1205" t="s">
        <v>3857</v>
      </c>
      <c r="H120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45486</v>
      </c>
      <c r="I1205" s="49">
        <f ca="1">IFERROR(WEEKNUM(CRC_War_Room_SIMs[[#This Row],[Ops Date]]), "N/A")</f>
        <v>28</v>
      </c>
      <c r="J120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0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0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05" s="50">
        <f>IF(AND(CRC_War_Room_SIMs[[#This Row],[CI]] = 0, CRC_War_Room_SIMs[[#This Row],[Miss]] = 1), 1, 0)</f>
        <v>0</v>
      </c>
      <c r="N120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0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05" s="50">
        <f>IF(AND(CRC_War_Room_SIMs[[#This Row],[Excluded]] = 0, OR(CRC_War_Room_SIMs[[#This Row],[SLA Miss]] &lt;&gt; "", ISNUMBER(SEARCH("SLA", CRC_War_Room_SIMs[[#This Row],[Labels]])))), 1, 0)</f>
        <v>0</v>
      </c>
    </row>
    <row r="1206" spans="1:16" x14ac:dyDescent="0.25">
      <c r="A1206" t="s">
        <v>3875</v>
      </c>
      <c r="B1206" t="s">
        <v>3876</v>
      </c>
      <c r="C1206" t="s">
        <v>3877</v>
      </c>
      <c r="H120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45485</v>
      </c>
      <c r="I1206" s="49">
        <f ca="1">IFERROR(WEEKNUM(CRC_War_Room_SIMs[[#This Row],[Ops Date]]), "N/A")</f>
        <v>28</v>
      </c>
      <c r="J120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0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0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06" s="50">
        <f>IF(AND(CRC_War_Room_SIMs[[#This Row],[CI]] = 0, CRC_War_Room_SIMs[[#This Row],[Miss]] = 1), 1, 0)</f>
        <v>0</v>
      </c>
      <c r="N120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0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06" s="50">
        <f>IF(AND(CRC_War_Room_SIMs[[#This Row],[Excluded]] = 0, OR(CRC_War_Room_SIMs[[#This Row],[SLA Miss]] &lt;&gt; "", ISNUMBER(SEARCH("SLA", CRC_War_Room_SIMs[[#This Row],[Labels]])))), 1, 0)</f>
        <v>0</v>
      </c>
    </row>
    <row r="1207" spans="1:16" x14ac:dyDescent="0.25">
      <c r="A1207" t="s">
        <v>3878</v>
      </c>
      <c r="B1207" t="s">
        <v>3879</v>
      </c>
      <c r="C1207" t="s">
        <v>3877</v>
      </c>
      <c r="H120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45485</v>
      </c>
      <c r="I1207" s="49">
        <f ca="1">IFERROR(WEEKNUM(CRC_War_Room_SIMs[[#This Row],[Ops Date]]), "N/A")</f>
        <v>28</v>
      </c>
      <c r="J120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0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0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07" s="50">
        <f>IF(AND(CRC_War_Room_SIMs[[#This Row],[CI]] = 0, CRC_War_Room_SIMs[[#This Row],[Miss]] = 1), 1, 0)</f>
        <v>0</v>
      </c>
      <c r="N120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0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07" s="50">
        <f>IF(AND(CRC_War_Room_SIMs[[#This Row],[Excluded]] = 0, OR(CRC_War_Room_SIMs[[#This Row],[SLA Miss]] &lt;&gt; "", ISNUMBER(SEARCH("SLA", CRC_War_Room_SIMs[[#This Row],[Labels]])))), 1, 0)</f>
        <v>0</v>
      </c>
    </row>
    <row r="1208" spans="1:16" x14ac:dyDescent="0.25">
      <c r="A1208" t="s">
        <v>3880</v>
      </c>
      <c r="B1208" t="s">
        <v>3879</v>
      </c>
      <c r="C1208" t="s">
        <v>3881</v>
      </c>
      <c r="E1208" t="s">
        <v>2463</v>
      </c>
      <c r="H120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45485</v>
      </c>
      <c r="I1208" s="49">
        <f ca="1">IFERROR(WEEKNUM(CRC_War_Room_SIMs[[#This Row],[Ops Date]]), "N/A")</f>
        <v>28</v>
      </c>
      <c r="J120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0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20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208" s="50">
        <f>IF(AND(CRC_War_Room_SIMs[[#This Row],[CI]] = 0, CRC_War_Room_SIMs[[#This Row],[Miss]] = 1), 1, 0)</f>
        <v>0</v>
      </c>
      <c r="N1208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120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08" s="50">
        <f>IF(AND(CRC_War_Room_SIMs[[#This Row],[Excluded]] = 0, OR(CRC_War_Room_SIMs[[#This Row],[SLA Miss]] &lt;&gt; "", ISNUMBER(SEARCH("SLA", CRC_War_Room_SIMs[[#This Row],[Labels]])))), 1, 0)</f>
        <v>0</v>
      </c>
    </row>
    <row r="1209" spans="1:16" x14ac:dyDescent="0.25">
      <c r="A1209" t="s">
        <v>3882</v>
      </c>
      <c r="B1209" t="s">
        <v>3883</v>
      </c>
      <c r="C1209" t="s">
        <v>3877</v>
      </c>
      <c r="H120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45485</v>
      </c>
      <c r="I1209" s="49">
        <f ca="1">IFERROR(WEEKNUM(CRC_War_Room_SIMs[[#This Row],[Ops Date]]), "N/A")</f>
        <v>28</v>
      </c>
      <c r="J120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0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0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09" s="50">
        <f>IF(AND(CRC_War_Room_SIMs[[#This Row],[CI]] = 0, CRC_War_Room_SIMs[[#This Row],[Miss]] = 1), 1, 0)</f>
        <v>0</v>
      </c>
      <c r="N120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0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09" s="50">
        <f>IF(AND(CRC_War_Room_SIMs[[#This Row],[Excluded]] = 0, OR(CRC_War_Room_SIMs[[#This Row],[SLA Miss]] &lt;&gt; "", ISNUMBER(SEARCH("SLA", CRC_War_Room_SIMs[[#This Row],[Labels]])))), 1, 0)</f>
        <v>0</v>
      </c>
    </row>
    <row r="1210" spans="1:16" x14ac:dyDescent="0.25">
      <c r="A1210" t="s">
        <v>3884</v>
      </c>
      <c r="B1210" t="s">
        <v>3876</v>
      </c>
      <c r="C1210" t="s">
        <v>3877</v>
      </c>
      <c r="H121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45485</v>
      </c>
      <c r="I1210" s="49">
        <f ca="1">IFERROR(WEEKNUM(CRC_War_Room_SIMs[[#This Row],[Ops Date]]), "N/A")</f>
        <v>28</v>
      </c>
      <c r="J121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1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1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10" s="50">
        <f>IF(AND(CRC_War_Room_SIMs[[#This Row],[CI]] = 0, CRC_War_Room_SIMs[[#This Row],[Miss]] = 1), 1, 0)</f>
        <v>0</v>
      </c>
      <c r="N121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1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10" s="50">
        <f>IF(AND(CRC_War_Room_SIMs[[#This Row],[Excluded]] = 0, OR(CRC_War_Room_SIMs[[#This Row],[SLA Miss]] &lt;&gt; "", ISNUMBER(SEARCH("SLA", CRC_War_Room_SIMs[[#This Row],[Labels]])))), 1, 0)</f>
        <v>0</v>
      </c>
    </row>
    <row r="1211" spans="1:16" x14ac:dyDescent="0.25">
      <c r="A1211" t="s">
        <v>3885</v>
      </c>
      <c r="B1211" t="s">
        <v>3883</v>
      </c>
      <c r="C1211" t="s">
        <v>3877</v>
      </c>
      <c r="H121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45485</v>
      </c>
      <c r="I1211" s="49">
        <f ca="1">IFERROR(WEEKNUM(CRC_War_Room_SIMs[[#This Row],[Ops Date]]), "N/A")</f>
        <v>28</v>
      </c>
      <c r="J121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1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1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11" s="50">
        <f>IF(AND(CRC_War_Room_SIMs[[#This Row],[CI]] = 0, CRC_War_Room_SIMs[[#This Row],[Miss]] = 1), 1, 0)</f>
        <v>0</v>
      </c>
      <c r="N121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1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11" s="50">
        <f>IF(AND(CRC_War_Room_SIMs[[#This Row],[Excluded]] = 0, OR(CRC_War_Room_SIMs[[#This Row],[SLA Miss]] &lt;&gt; "", ISNUMBER(SEARCH("SLA", CRC_War_Room_SIMs[[#This Row],[Labels]])))), 1, 0)</f>
        <v>0</v>
      </c>
    </row>
    <row r="1212" spans="1:16" x14ac:dyDescent="0.25">
      <c r="A1212" t="s">
        <v>3886</v>
      </c>
      <c r="B1212" t="s">
        <v>3879</v>
      </c>
      <c r="C1212" t="s">
        <v>3877</v>
      </c>
      <c r="H121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45485</v>
      </c>
      <c r="I1212" s="49">
        <f ca="1">IFERROR(WEEKNUM(CRC_War_Room_SIMs[[#This Row],[Ops Date]]), "N/A")</f>
        <v>28</v>
      </c>
      <c r="J121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1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1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12" s="50">
        <f>IF(AND(CRC_War_Room_SIMs[[#This Row],[CI]] = 0, CRC_War_Room_SIMs[[#This Row],[Miss]] = 1), 1, 0)</f>
        <v>0</v>
      </c>
      <c r="N121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1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12" s="50">
        <f>IF(AND(CRC_War_Room_SIMs[[#This Row],[Excluded]] = 0, OR(CRC_War_Room_SIMs[[#This Row],[SLA Miss]] &lt;&gt; "", ISNUMBER(SEARCH("SLA", CRC_War_Room_SIMs[[#This Row],[Labels]])))), 1, 0)</f>
        <v>0</v>
      </c>
    </row>
    <row r="1213" spans="1:16" x14ac:dyDescent="0.25">
      <c r="A1213" t="s">
        <v>3887</v>
      </c>
      <c r="B1213" t="s">
        <v>3430</v>
      </c>
      <c r="C1213" t="s">
        <v>3877</v>
      </c>
      <c r="H121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45485</v>
      </c>
      <c r="I1213" s="49">
        <f ca="1">IFERROR(WEEKNUM(CRC_War_Room_SIMs[[#This Row],[Ops Date]]), "N/A")</f>
        <v>28</v>
      </c>
      <c r="J121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1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1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13" s="50">
        <f>IF(AND(CRC_War_Room_SIMs[[#This Row],[CI]] = 0, CRC_War_Room_SIMs[[#This Row],[Miss]] = 1), 1, 0)</f>
        <v>0</v>
      </c>
      <c r="N121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1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13" s="50">
        <f>IF(AND(CRC_War_Room_SIMs[[#This Row],[Excluded]] = 0, OR(CRC_War_Room_SIMs[[#This Row],[SLA Miss]] &lt;&gt; "", ISNUMBER(SEARCH("SLA", CRC_War_Room_SIMs[[#This Row],[Labels]])))), 1, 0)</f>
        <v>0</v>
      </c>
    </row>
    <row r="1214" spans="1:16" x14ac:dyDescent="0.25">
      <c r="A1214" t="s">
        <v>3888</v>
      </c>
      <c r="B1214" t="s">
        <v>3883</v>
      </c>
      <c r="C1214" t="s">
        <v>3877</v>
      </c>
      <c r="H121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45485</v>
      </c>
      <c r="I1214" s="49">
        <f ca="1">IFERROR(WEEKNUM(CRC_War_Room_SIMs[[#This Row],[Ops Date]]), "N/A")</f>
        <v>28</v>
      </c>
      <c r="J121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1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1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14" s="50">
        <f>IF(AND(CRC_War_Room_SIMs[[#This Row],[CI]] = 0, CRC_War_Room_SIMs[[#This Row],[Miss]] = 1), 1, 0)</f>
        <v>0</v>
      </c>
      <c r="N121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1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14" s="50">
        <f>IF(AND(CRC_War_Room_SIMs[[#This Row],[Excluded]] = 0, OR(CRC_War_Room_SIMs[[#This Row],[SLA Miss]] &lt;&gt; "", ISNUMBER(SEARCH("SLA", CRC_War_Room_SIMs[[#This Row],[Labels]])))), 1, 0)</f>
        <v>0</v>
      </c>
    </row>
    <row r="1215" spans="1:16" x14ac:dyDescent="0.25">
      <c r="A1215" t="s">
        <v>3889</v>
      </c>
      <c r="B1215" t="s">
        <v>3890</v>
      </c>
      <c r="C1215" t="s">
        <v>3877</v>
      </c>
      <c r="H121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45485</v>
      </c>
      <c r="I1215" s="49">
        <f ca="1">IFERROR(WEEKNUM(CRC_War_Room_SIMs[[#This Row],[Ops Date]]), "N/A")</f>
        <v>28</v>
      </c>
      <c r="J121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1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1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15" s="50">
        <f>IF(AND(CRC_War_Room_SIMs[[#This Row],[CI]] = 0, CRC_War_Room_SIMs[[#This Row],[Miss]] = 1), 1, 0)</f>
        <v>0</v>
      </c>
      <c r="N121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1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15" s="50">
        <f>IF(AND(CRC_War_Room_SIMs[[#This Row],[Excluded]] = 0, OR(CRC_War_Room_SIMs[[#This Row],[SLA Miss]] &lt;&gt; "", ISNUMBER(SEARCH("SLA", CRC_War_Room_SIMs[[#This Row],[Labels]])))), 1, 0)</f>
        <v>0</v>
      </c>
    </row>
    <row r="1216" spans="1:16" x14ac:dyDescent="0.25">
      <c r="A1216" t="s">
        <v>3891</v>
      </c>
      <c r="B1216" t="s">
        <v>3892</v>
      </c>
      <c r="C1216" t="s">
        <v>3877</v>
      </c>
      <c r="H121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45485</v>
      </c>
      <c r="I1216" s="49">
        <f ca="1">IFERROR(WEEKNUM(CRC_War_Room_SIMs[[#This Row],[Ops Date]]), "N/A")</f>
        <v>28</v>
      </c>
      <c r="J121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1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1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16" s="50">
        <f>IF(AND(CRC_War_Room_SIMs[[#This Row],[CI]] = 0, CRC_War_Room_SIMs[[#This Row],[Miss]] = 1), 1, 0)</f>
        <v>0</v>
      </c>
      <c r="N121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1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16" s="50">
        <f>IF(AND(CRC_War_Room_SIMs[[#This Row],[Excluded]] = 0, OR(CRC_War_Room_SIMs[[#This Row],[SLA Miss]] &lt;&gt; "", ISNUMBER(SEARCH("SLA", CRC_War_Room_SIMs[[#This Row],[Labels]])))), 1, 0)</f>
        <v>0</v>
      </c>
    </row>
    <row r="1217" spans="1:16" x14ac:dyDescent="0.25">
      <c r="A1217" t="s">
        <v>3893</v>
      </c>
      <c r="B1217" t="s">
        <v>3894</v>
      </c>
      <c r="C1217" t="s">
        <v>3877</v>
      </c>
      <c r="H121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45485</v>
      </c>
      <c r="I1217" s="49">
        <f ca="1">IFERROR(WEEKNUM(CRC_War_Room_SIMs[[#This Row],[Ops Date]]), "N/A")</f>
        <v>28</v>
      </c>
      <c r="J121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1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1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17" s="50">
        <f>IF(AND(CRC_War_Room_SIMs[[#This Row],[CI]] = 0, CRC_War_Room_SIMs[[#This Row],[Miss]] = 1), 1, 0)</f>
        <v>0</v>
      </c>
      <c r="N121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1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17" s="50">
        <f>IF(AND(CRC_War_Room_SIMs[[#This Row],[Excluded]] = 0, OR(CRC_War_Room_SIMs[[#This Row],[SLA Miss]] &lt;&gt; "", ISNUMBER(SEARCH("SLA", CRC_War_Room_SIMs[[#This Row],[Labels]])))), 1, 0)</f>
        <v>0</v>
      </c>
    </row>
    <row r="1218" spans="1:16" x14ac:dyDescent="0.25">
      <c r="A1218" t="s">
        <v>3895</v>
      </c>
      <c r="B1218" t="s">
        <v>3890</v>
      </c>
      <c r="C1218" t="s">
        <v>3877</v>
      </c>
      <c r="H121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45485</v>
      </c>
      <c r="I1218" s="49">
        <f ca="1">IFERROR(WEEKNUM(CRC_War_Room_SIMs[[#This Row],[Ops Date]]), "N/A")</f>
        <v>28</v>
      </c>
      <c r="J121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1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1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18" s="50">
        <f>IF(AND(CRC_War_Room_SIMs[[#This Row],[CI]] = 0, CRC_War_Room_SIMs[[#This Row],[Miss]] = 1), 1, 0)</f>
        <v>0</v>
      </c>
      <c r="N121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1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18" s="50">
        <f>IF(AND(CRC_War_Room_SIMs[[#This Row],[Excluded]] = 0, OR(CRC_War_Room_SIMs[[#This Row],[SLA Miss]] &lt;&gt; "", ISNUMBER(SEARCH("SLA", CRC_War_Room_SIMs[[#This Row],[Labels]])))), 1, 0)</f>
        <v>0</v>
      </c>
    </row>
    <row r="1219" spans="1:16" x14ac:dyDescent="0.25">
      <c r="A1219" t="s">
        <v>3896</v>
      </c>
      <c r="B1219" t="s">
        <v>3892</v>
      </c>
      <c r="C1219" t="s">
        <v>3877</v>
      </c>
      <c r="H121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45485</v>
      </c>
      <c r="I1219" s="49">
        <f ca="1">IFERROR(WEEKNUM(CRC_War_Room_SIMs[[#This Row],[Ops Date]]), "N/A")</f>
        <v>28</v>
      </c>
      <c r="J121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1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1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19" s="50">
        <f>IF(AND(CRC_War_Room_SIMs[[#This Row],[CI]] = 0, CRC_War_Room_SIMs[[#This Row],[Miss]] = 1), 1, 0)</f>
        <v>0</v>
      </c>
      <c r="N121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1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19" s="50">
        <f>IF(AND(CRC_War_Room_SIMs[[#This Row],[Excluded]] = 0, OR(CRC_War_Room_SIMs[[#This Row],[SLA Miss]] &lt;&gt; "", ISNUMBER(SEARCH("SLA", CRC_War_Room_SIMs[[#This Row],[Labels]])))), 1, 0)</f>
        <v>0</v>
      </c>
    </row>
    <row r="1220" spans="1:16" x14ac:dyDescent="0.25">
      <c r="A1220" t="s">
        <v>3897</v>
      </c>
      <c r="B1220" t="s">
        <v>3898</v>
      </c>
      <c r="C1220" t="s">
        <v>3881</v>
      </c>
      <c r="E1220" t="s">
        <v>2473</v>
      </c>
      <c r="H122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45485</v>
      </c>
      <c r="I1220" s="49">
        <f ca="1">IFERROR(WEEKNUM(CRC_War_Room_SIMs[[#This Row],[Ops Date]]), "N/A")</f>
        <v>28</v>
      </c>
      <c r="J122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2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22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220" s="50">
        <f>IF(AND(CRC_War_Room_SIMs[[#This Row],[CI]] = 0, CRC_War_Room_SIMs[[#This Row],[Miss]] = 1), 1, 0)</f>
        <v>0</v>
      </c>
      <c r="N1220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122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20" s="50">
        <f>IF(AND(CRC_War_Room_SIMs[[#This Row],[Excluded]] = 0, OR(CRC_War_Room_SIMs[[#This Row],[SLA Miss]] &lt;&gt; "", ISNUMBER(SEARCH("SLA", CRC_War_Room_SIMs[[#This Row],[Labels]])))), 1, 0)</f>
        <v>0</v>
      </c>
    </row>
    <row r="1221" spans="1:16" x14ac:dyDescent="0.25">
      <c r="A1221" t="s">
        <v>3899</v>
      </c>
      <c r="B1221" t="s">
        <v>3894</v>
      </c>
      <c r="C1221" t="s">
        <v>3881</v>
      </c>
      <c r="E1221" t="s">
        <v>2490</v>
      </c>
      <c r="H122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45485</v>
      </c>
      <c r="I1221" s="49">
        <f ca="1">IFERROR(WEEKNUM(CRC_War_Room_SIMs[[#This Row],[Ops Date]]), "N/A")</f>
        <v>28</v>
      </c>
      <c r="J122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2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22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221" s="50">
        <f>IF(AND(CRC_War_Room_SIMs[[#This Row],[CI]] = 0, CRC_War_Room_SIMs[[#This Row],[Miss]] = 1), 1, 0)</f>
        <v>0</v>
      </c>
      <c r="N1221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122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21" s="50">
        <f>IF(AND(CRC_War_Room_SIMs[[#This Row],[Excluded]] = 0, OR(CRC_War_Room_SIMs[[#This Row],[SLA Miss]] &lt;&gt; "", ISNUMBER(SEARCH("SLA", CRC_War_Room_SIMs[[#This Row],[Labels]])))), 1, 0)</f>
        <v>0</v>
      </c>
    </row>
    <row r="1222" spans="1:16" x14ac:dyDescent="0.25">
      <c r="A1222" t="s">
        <v>3900</v>
      </c>
      <c r="B1222" t="s">
        <v>3901</v>
      </c>
      <c r="C1222" t="s">
        <v>3902</v>
      </c>
      <c r="H122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22" s="49">
        <f ca="1">IFERROR(WEEKNUM(CRC_War_Room_SIMs[[#This Row],[Ops Date]]), "N/A")</f>
        <v>28</v>
      </c>
      <c r="J122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2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2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22" s="50">
        <f>IF(AND(CRC_War_Room_SIMs[[#This Row],[CI]] = 0, CRC_War_Room_SIMs[[#This Row],[Miss]] = 1), 1, 0)</f>
        <v>0</v>
      </c>
      <c r="N122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2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22" s="50">
        <f>IF(AND(CRC_War_Room_SIMs[[#This Row],[Excluded]] = 0, OR(CRC_War_Room_SIMs[[#This Row],[SLA Miss]] &lt;&gt; "", ISNUMBER(SEARCH("SLA", CRC_War_Room_SIMs[[#This Row],[Labels]])))), 1, 0)</f>
        <v>0</v>
      </c>
    </row>
    <row r="1223" spans="1:16" x14ac:dyDescent="0.25">
      <c r="A1223" t="s">
        <v>3903</v>
      </c>
      <c r="B1223" t="s">
        <v>3904</v>
      </c>
      <c r="C1223" t="s">
        <v>3902</v>
      </c>
      <c r="H122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23" s="49">
        <f ca="1">IFERROR(WEEKNUM(CRC_War_Room_SIMs[[#This Row],[Ops Date]]), "N/A")</f>
        <v>28</v>
      </c>
      <c r="J122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2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2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23" s="50">
        <f>IF(AND(CRC_War_Room_SIMs[[#This Row],[CI]] = 0, CRC_War_Room_SIMs[[#This Row],[Miss]] = 1), 1, 0)</f>
        <v>0</v>
      </c>
      <c r="N122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2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23" s="50">
        <f>IF(AND(CRC_War_Room_SIMs[[#This Row],[Excluded]] = 0, OR(CRC_War_Room_SIMs[[#This Row],[SLA Miss]] &lt;&gt; "", ISNUMBER(SEARCH("SLA", CRC_War_Room_SIMs[[#This Row],[Labels]])))), 1, 0)</f>
        <v>0</v>
      </c>
    </row>
    <row r="1224" spans="1:16" x14ac:dyDescent="0.25">
      <c r="A1224" t="s">
        <v>3905</v>
      </c>
      <c r="B1224" t="s">
        <v>3906</v>
      </c>
      <c r="C1224" t="s">
        <v>3902</v>
      </c>
      <c r="H122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24" s="49">
        <f ca="1">IFERROR(WEEKNUM(CRC_War_Room_SIMs[[#This Row],[Ops Date]]), "N/A")</f>
        <v>28</v>
      </c>
      <c r="J122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2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2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24" s="50">
        <f>IF(AND(CRC_War_Room_SIMs[[#This Row],[CI]] = 0, CRC_War_Room_SIMs[[#This Row],[Miss]] = 1), 1, 0)</f>
        <v>0</v>
      </c>
      <c r="N122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2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24" s="50">
        <f>IF(AND(CRC_War_Room_SIMs[[#This Row],[Excluded]] = 0, OR(CRC_War_Room_SIMs[[#This Row],[SLA Miss]] &lt;&gt; "", ISNUMBER(SEARCH("SLA", CRC_War_Room_SIMs[[#This Row],[Labels]])))), 1, 0)</f>
        <v>0</v>
      </c>
    </row>
    <row r="1225" spans="1:16" x14ac:dyDescent="0.25">
      <c r="A1225" t="s">
        <v>3907</v>
      </c>
      <c r="B1225" t="s">
        <v>3908</v>
      </c>
      <c r="C1225" t="s">
        <v>3902</v>
      </c>
      <c r="H122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25" s="49">
        <f ca="1">IFERROR(WEEKNUM(CRC_War_Room_SIMs[[#This Row],[Ops Date]]), "N/A")</f>
        <v>28</v>
      </c>
      <c r="J122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2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2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25" s="50">
        <f>IF(AND(CRC_War_Room_SIMs[[#This Row],[CI]] = 0, CRC_War_Room_SIMs[[#This Row],[Miss]] = 1), 1, 0)</f>
        <v>0</v>
      </c>
      <c r="N122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2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25" s="50">
        <f>IF(AND(CRC_War_Room_SIMs[[#This Row],[Excluded]] = 0, OR(CRC_War_Room_SIMs[[#This Row],[SLA Miss]] &lt;&gt; "", ISNUMBER(SEARCH("SLA", CRC_War_Room_SIMs[[#This Row],[Labels]])))), 1, 0)</f>
        <v>0</v>
      </c>
    </row>
    <row r="1226" spans="1:16" x14ac:dyDescent="0.25">
      <c r="A1226" t="s">
        <v>3909</v>
      </c>
      <c r="B1226" t="s">
        <v>3910</v>
      </c>
      <c r="C1226" t="s">
        <v>3902</v>
      </c>
      <c r="H122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26" s="49">
        <f ca="1">IFERROR(WEEKNUM(CRC_War_Room_SIMs[[#This Row],[Ops Date]]), "N/A")</f>
        <v>28</v>
      </c>
      <c r="J122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2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2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26" s="50">
        <f>IF(AND(CRC_War_Room_SIMs[[#This Row],[CI]] = 0, CRC_War_Room_SIMs[[#This Row],[Miss]] = 1), 1, 0)</f>
        <v>0</v>
      </c>
      <c r="N122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2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26" s="50">
        <f>IF(AND(CRC_War_Room_SIMs[[#This Row],[Excluded]] = 0, OR(CRC_War_Room_SIMs[[#This Row],[SLA Miss]] &lt;&gt; "", ISNUMBER(SEARCH("SLA", CRC_War_Room_SIMs[[#This Row],[Labels]])))), 1, 0)</f>
        <v>0</v>
      </c>
    </row>
    <row r="1227" spans="1:16" x14ac:dyDescent="0.25">
      <c r="A1227" t="s">
        <v>3911</v>
      </c>
      <c r="B1227" t="s">
        <v>3904</v>
      </c>
      <c r="C1227" t="s">
        <v>3902</v>
      </c>
      <c r="H122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27" s="49">
        <f ca="1">IFERROR(WEEKNUM(CRC_War_Room_SIMs[[#This Row],[Ops Date]]), "N/A")</f>
        <v>28</v>
      </c>
      <c r="J122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2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2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27" s="50">
        <f>IF(AND(CRC_War_Room_SIMs[[#This Row],[CI]] = 0, CRC_War_Room_SIMs[[#This Row],[Miss]] = 1), 1, 0)</f>
        <v>0</v>
      </c>
      <c r="N122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2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27" s="50">
        <f>IF(AND(CRC_War_Room_SIMs[[#This Row],[Excluded]] = 0, OR(CRC_War_Room_SIMs[[#This Row],[SLA Miss]] &lt;&gt; "", ISNUMBER(SEARCH("SLA", CRC_War_Room_SIMs[[#This Row],[Labels]])))), 1, 0)</f>
        <v>0</v>
      </c>
    </row>
    <row r="1228" spans="1:16" x14ac:dyDescent="0.25">
      <c r="A1228" t="s">
        <v>3912</v>
      </c>
      <c r="B1228" t="s">
        <v>3906</v>
      </c>
      <c r="C1228" t="s">
        <v>3902</v>
      </c>
      <c r="H122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28" s="49">
        <f ca="1">IFERROR(WEEKNUM(CRC_War_Room_SIMs[[#This Row],[Ops Date]]), "N/A")</f>
        <v>28</v>
      </c>
      <c r="J122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2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2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28" s="50">
        <f>IF(AND(CRC_War_Room_SIMs[[#This Row],[CI]] = 0, CRC_War_Room_SIMs[[#This Row],[Miss]] = 1), 1, 0)</f>
        <v>0</v>
      </c>
      <c r="N122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2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28" s="50">
        <f>IF(AND(CRC_War_Room_SIMs[[#This Row],[Excluded]] = 0, OR(CRC_War_Room_SIMs[[#This Row],[SLA Miss]] &lt;&gt; "", ISNUMBER(SEARCH("SLA", CRC_War_Room_SIMs[[#This Row],[Labels]])))), 1, 0)</f>
        <v>0</v>
      </c>
    </row>
    <row r="1229" spans="1:16" x14ac:dyDescent="0.25">
      <c r="A1229" t="s">
        <v>3913</v>
      </c>
      <c r="B1229" t="s">
        <v>3908</v>
      </c>
      <c r="C1229" t="s">
        <v>3902</v>
      </c>
      <c r="H122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29" s="49">
        <f ca="1">IFERROR(WEEKNUM(CRC_War_Room_SIMs[[#This Row],[Ops Date]]), "N/A")</f>
        <v>28</v>
      </c>
      <c r="J122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2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2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29" s="50">
        <f>IF(AND(CRC_War_Room_SIMs[[#This Row],[CI]] = 0, CRC_War_Room_SIMs[[#This Row],[Miss]] = 1), 1, 0)</f>
        <v>0</v>
      </c>
      <c r="N122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2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29" s="50">
        <f>IF(AND(CRC_War_Room_SIMs[[#This Row],[Excluded]] = 0, OR(CRC_War_Room_SIMs[[#This Row],[SLA Miss]] &lt;&gt; "", ISNUMBER(SEARCH("SLA", CRC_War_Room_SIMs[[#This Row],[Labels]])))), 1, 0)</f>
        <v>0</v>
      </c>
    </row>
    <row r="1230" spans="1:16" x14ac:dyDescent="0.25">
      <c r="A1230" t="s">
        <v>3914</v>
      </c>
      <c r="B1230" t="s">
        <v>3910</v>
      </c>
      <c r="C1230" t="s">
        <v>3902</v>
      </c>
      <c r="H123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30" s="49">
        <f ca="1">IFERROR(WEEKNUM(CRC_War_Room_SIMs[[#This Row],[Ops Date]]), "N/A")</f>
        <v>28</v>
      </c>
      <c r="J123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3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3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30" s="50">
        <f>IF(AND(CRC_War_Room_SIMs[[#This Row],[CI]] = 0, CRC_War_Room_SIMs[[#This Row],[Miss]] = 1), 1, 0)</f>
        <v>0</v>
      </c>
      <c r="N123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3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30" s="50">
        <f>IF(AND(CRC_War_Room_SIMs[[#This Row],[Excluded]] = 0, OR(CRC_War_Room_SIMs[[#This Row],[SLA Miss]] &lt;&gt; "", ISNUMBER(SEARCH("SLA", CRC_War_Room_SIMs[[#This Row],[Labels]])))), 1, 0)</f>
        <v>0</v>
      </c>
    </row>
    <row r="1231" spans="1:16" x14ac:dyDescent="0.25">
      <c r="A1231" t="s">
        <v>3915</v>
      </c>
      <c r="B1231" t="s">
        <v>3904</v>
      </c>
      <c r="C1231" t="s">
        <v>3902</v>
      </c>
      <c r="H123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31" s="49">
        <f ca="1">IFERROR(WEEKNUM(CRC_War_Room_SIMs[[#This Row],[Ops Date]]), "N/A")</f>
        <v>28</v>
      </c>
      <c r="J123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3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3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31" s="50">
        <f>IF(AND(CRC_War_Room_SIMs[[#This Row],[CI]] = 0, CRC_War_Room_SIMs[[#This Row],[Miss]] = 1), 1, 0)</f>
        <v>0</v>
      </c>
      <c r="N123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3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31" s="50">
        <f>IF(AND(CRC_War_Room_SIMs[[#This Row],[Excluded]] = 0, OR(CRC_War_Room_SIMs[[#This Row],[SLA Miss]] &lt;&gt; "", ISNUMBER(SEARCH("SLA", CRC_War_Room_SIMs[[#This Row],[Labels]])))), 1, 0)</f>
        <v>0</v>
      </c>
    </row>
    <row r="1232" spans="1:16" x14ac:dyDescent="0.25">
      <c r="A1232" t="s">
        <v>3916</v>
      </c>
      <c r="B1232" t="s">
        <v>3910</v>
      </c>
      <c r="C1232" t="s">
        <v>3902</v>
      </c>
      <c r="H123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32" s="49">
        <f ca="1">IFERROR(WEEKNUM(CRC_War_Room_SIMs[[#This Row],[Ops Date]]), "N/A")</f>
        <v>28</v>
      </c>
      <c r="J123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3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3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32" s="50">
        <f>IF(AND(CRC_War_Room_SIMs[[#This Row],[CI]] = 0, CRC_War_Room_SIMs[[#This Row],[Miss]] = 1), 1, 0)</f>
        <v>0</v>
      </c>
      <c r="N123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3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32" s="50">
        <f>IF(AND(CRC_War_Room_SIMs[[#This Row],[Excluded]] = 0, OR(CRC_War_Room_SIMs[[#This Row],[SLA Miss]] &lt;&gt; "", ISNUMBER(SEARCH("SLA", CRC_War_Room_SIMs[[#This Row],[Labels]])))), 1, 0)</f>
        <v>0</v>
      </c>
    </row>
    <row r="1233" spans="1:16" x14ac:dyDescent="0.25">
      <c r="A1233" t="s">
        <v>3917</v>
      </c>
      <c r="B1233" t="s">
        <v>3906</v>
      </c>
      <c r="C1233" t="s">
        <v>3902</v>
      </c>
      <c r="H123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33" s="49">
        <f ca="1">IFERROR(WEEKNUM(CRC_War_Room_SIMs[[#This Row],[Ops Date]]), "N/A")</f>
        <v>28</v>
      </c>
      <c r="J123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3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3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33" s="50">
        <f>IF(AND(CRC_War_Room_SIMs[[#This Row],[CI]] = 0, CRC_War_Room_SIMs[[#This Row],[Miss]] = 1), 1, 0)</f>
        <v>0</v>
      </c>
      <c r="N123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3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33" s="50">
        <f>IF(AND(CRC_War_Room_SIMs[[#This Row],[Excluded]] = 0, OR(CRC_War_Room_SIMs[[#This Row],[SLA Miss]] &lt;&gt; "", ISNUMBER(SEARCH("SLA", CRC_War_Room_SIMs[[#This Row],[Labels]])))), 1, 0)</f>
        <v>0</v>
      </c>
    </row>
    <row r="1234" spans="1:16" x14ac:dyDescent="0.25">
      <c r="A1234" t="s">
        <v>3918</v>
      </c>
      <c r="B1234" t="s">
        <v>3908</v>
      </c>
      <c r="C1234" t="s">
        <v>3902</v>
      </c>
      <c r="H123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34" s="49">
        <f ca="1">IFERROR(WEEKNUM(CRC_War_Room_SIMs[[#This Row],[Ops Date]]), "N/A")</f>
        <v>28</v>
      </c>
      <c r="J123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3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3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34" s="50">
        <f>IF(AND(CRC_War_Room_SIMs[[#This Row],[CI]] = 0, CRC_War_Room_SIMs[[#This Row],[Miss]] = 1), 1, 0)</f>
        <v>0</v>
      </c>
      <c r="N123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3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34" s="50">
        <f>IF(AND(CRC_War_Room_SIMs[[#This Row],[Excluded]] = 0, OR(CRC_War_Room_SIMs[[#This Row],[SLA Miss]] &lt;&gt; "", ISNUMBER(SEARCH("SLA", CRC_War_Room_SIMs[[#This Row],[Labels]])))), 1, 0)</f>
        <v>0</v>
      </c>
    </row>
    <row r="1235" spans="1:16" x14ac:dyDescent="0.25">
      <c r="A1235" t="s">
        <v>3919</v>
      </c>
      <c r="B1235" t="s">
        <v>3910</v>
      </c>
      <c r="C1235" t="s">
        <v>3902</v>
      </c>
      <c r="H123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35" s="49">
        <f ca="1">IFERROR(WEEKNUM(CRC_War_Room_SIMs[[#This Row],[Ops Date]]), "N/A")</f>
        <v>28</v>
      </c>
      <c r="J123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3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3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35" s="50">
        <f>IF(AND(CRC_War_Room_SIMs[[#This Row],[CI]] = 0, CRC_War_Room_SIMs[[#This Row],[Miss]] = 1), 1, 0)</f>
        <v>0</v>
      </c>
      <c r="N123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3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35" s="50">
        <f>IF(AND(CRC_War_Room_SIMs[[#This Row],[Excluded]] = 0, OR(CRC_War_Room_SIMs[[#This Row],[SLA Miss]] &lt;&gt; "", ISNUMBER(SEARCH("SLA", CRC_War_Room_SIMs[[#This Row],[Labels]])))), 1, 0)</f>
        <v>0</v>
      </c>
    </row>
    <row r="1236" spans="1:16" x14ac:dyDescent="0.25">
      <c r="A1236" t="s">
        <v>3920</v>
      </c>
      <c r="B1236" t="s">
        <v>3906</v>
      </c>
      <c r="C1236" t="s">
        <v>3902</v>
      </c>
      <c r="H123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36" s="49">
        <f ca="1">IFERROR(WEEKNUM(CRC_War_Room_SIMs[[#This Row],[Ops Date]]), "N/A")</f>
        <v>28</v>
      </c>
      <c r="J123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3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3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36" s="50">
        <f>IF(AND(CRC_War_Room_SIMs[[#This Row],[CI]] = 0, CRC_War_Room_SIMs[[#This Row],[Miss]] = 1), 1, 0)</f>
        <v>0</v>
      </c>
      <c r="N123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3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36" s="50">
        <f>IF(AND(CRC_War_Room_SIMs[[#This Row],[Excluded]] = 0, OR(CRC_War_Room_SIMs[[#This Row],[SLA Miss]] &lt;&gt; "", ISNUMBER(SEARCH("SLA", CRC_War_Room_SIMs[[#This Row],[Labels]])))), 1, 0)</f>
        <v>0</v>
      </c>
    </row>
    <row r="1237" spans="1:16" x14ac:dyDescent="0.25">
      <c r="A1237" t="s">
        <v>3921</v>
      </c>
      <c r="B1237" t="s">
        <v>3904</v>
      </c>
      <c r="C1237" t="s">
        <v>3902</v>
      </c>
      <c r="H123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37" s="49">
        <f ca="1">IFERROR(WEEKNUM(CRC_War_Room_SIMs[[#This Row],[Ops Date]]), "N/A")</f>
        <v>28</v>
      </c>
      <c r="J123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3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3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37" s="50">
        <f>IF(AND(CRC_War_Room_SIMs[[#This Row],[CI]] = 0, CRC_War_Room_SIMs[[#This Row],[Miss]] = 1), 1, 0)</f>
        <v>0</v>
      </c>
      <c r="N123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3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37" s="50">
        <f>IF(AND(CRC_War_Room_SIMs[[#This Row],[Excluded]] = 0, OR(CRC_War_Room_SIMs[[#This Row],[SLA Miss]] &lt;&gt; "", ISNUMBER(SEARCH("SLA", CRC_War_Room_SIMs[[#This Row],[Labels]])))), 1, 0)</f>
        <v>0</v>
      </c>
    </row>
    <row r="1238" spans="1:16" x14ac:dyDescent="0.25">
      <c r="A1238" t="s">
        <v>3922</v>
      </c>
      <c r="B1238" t="s">
        <v>3906</v>
      </c>
      <c r="C1238" t="s">
        <v>3902</v>
      </c>
      <c r="H123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38" s="49">
        <f ca="1">IFERROR(WEEKNUM(CRC_War_Room_SIMs[[#This Row],[Ops Date]]), "N/A")</f>
        <v>28</v>
      </c>
      <c r="J123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3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3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38" s="50">
        <f>IF(AND(CRC_War_Room_SIMs[[#This Row],[CI]] = 0, CRC_War_Room_SIMs[[#This Row],[Miss]] = 1), 1, 0)</f>
        <v>0</v>
      </c>
      <c r="N123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3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38" s="50">
        <f>IF(AND(CRC_War_Room_SIMs[[#This Row],[Excluded]] = 0, OR(CRC_War_Room_SIMs[[#This Row],[SLA Miss]] &lt;&gt; "", ISNUMBER(SEARCH("SLA", CRC_War_Room_SIMs[[#This Row],[Labels]])))), 1, 0)</f>
        <v>0</v>
      </c>
    </row>
    <row r="1239" spans="1:16" x14ac:dyDescent="0.25">
      <c r="A1239" t="s">
        <v>3923</v>
      </c>
      <c r="B1239" t="s">
        <v>3904</v>
      </c>
      <c r="C1239" t="s">
        <v>3902</v>
      </c>
      <c r="H123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39" s="49">
        <f ca="1">IFERROR(WEEKNUM(CRC_War_Room_SIMs[[#This Row],[Ops Date]]), "N/A")</f>
        <v>28</v>
      </c>
      <c r="J123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3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3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39" s="50">
        <f>IF(AND(CRC_War_Room_SIMs[[#This Row],[CI]] = 0, CRC_War_Room_SIMs[[#This Row],[Miss]] = 1), 1, 0)</f>
        <v>0</v>
      </c>
      <c r="N123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3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39" s="50">
        <f>IF(AND(CRC_War_Room_SIMs[[#This Row],[Excluded]] = 0, OR(CRC_War_Room_SIMs[[#This Row],[SLA Miss]] &lt;&gt; "", ISNUMBER(SEARCH("SLA", CRC_War_Room_SIMs[[#This Row],[Labels]])))), 1, 0)</f>
        <v>0</v>
      </c>
    </row>
    <row r="1240" spans="1:16" x14ac:dyDescent="0.25">
      <c r="A1240" t="s">
        <v>3924</v>
      </c>
      <c r="B1240" t="s">
        <v>3910</v>
      </c>
      <c r="C1240" t="s">
        <v>3902</v>
      </c>
      <c r="H124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40" s="49">
        <f ca="1">IFERROR(WEEKNUM(CRC_War_Room_SIMs[[#This Row],[Ops Date]]), "N/A")</f>
        <v>28</v>
      </c>
      <c r="J124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4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4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40" s="50">
        <f>IF(AND(CRC_War_Room_SIMs[[#This Row],[CI]] = 0, CRC_War_Room_SIMs[[#This Row],[Miss]] = 1), 1, 0)</f>
        <v>0</v>
      </c>
      <c r="N124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4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40" s="50">
        <f>IF(AND(CRC_War_Room_SIMs[[#This Row],[Excluded]] = 0, OR(CRC_War_Room_SIMs[[#This Row],[SLA Miss]] &lt;&gt; "", ISNUMBER(SEARCH("SLA", CRC_War_Room_SIMs[[#This Row],[Labels]])))), 1, 0)</f>
        <v>0</v>
      </c>
    </row>
    <row r="1241" spans="1:16" x14ac:dyDescent="0.25">
      <c r="A1241" t="s">
        <v>3925</v>
      </c>
      <c r="B1241" t="s">
        <v>3908</v>
      </c>
      <c r="C1241" t="s">
        <v>3902</v>
      </c>
      <c r="H124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41" s="49">
        <f ca="1">IFERROR(WEEKNUM(CRC_War_Room_SIMs[[#This Row],[Ops Date]]), "N/A")</f>
        <v>28</v>
      </c>
      <c r="J124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4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4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41" s="50">
        <f>IF(AND(CRC_War_Room_SIMs[[#This Row],[CI]] = 0, CRC_War_Room_SIMs[[#This Row],[Miss]] = 1), 1, 0)</f>
        <v>0</v>
      </c>
      <c r="N124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4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41" s="50">
        <f>IF(AND(CRC_War_Room_SIMs[[#This Row],[Excluded]] = 0, OR(CRC_War_Room_SIMs[[#This Row],[SLA Miss]] &lt;&gt; "", ISNUMBER(SEARCH("SLA", CRC_War_Room_SIMs[[#This Row],[Labels]])))), 1, 0)</f>
        <v>0</v>
      </c>
    </row>
    <row r="1242" spans="1:16" x14ac:dyDescent="0.25">
      <c r="A1242" t="s">
        <v>3926</v>
      </c>
      <c r="B1242" t="s">
        <v>3904</v>
      </c>
      <c r="C1242" t="s">
        <v>3902</v>
      </c>
      <c r="H124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42" s="49">
        <f ca="1">IFERROR(WEEKNUM(CRC_War_Room_SIMs[[#This Row],[Ops Date]]), "N/A")</f>
        <v>28</v>
      </c>
      <c r="J124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4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4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42" s="50">
        <f>IF(AND(CRC_War_Room_SIMs[[#This Row],[CI]] = 0, CRC_War_Room_SIMs[[#This Row],[Miss]] = 1), 1, 0)</f>
        <v>0</v>
      </c>
      <c r="N124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4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42" s="50">
        <f>IF(AND(CRC_War_Room_SIMs[[#This Row],[Excluded]] = 0, OR(CRC_War_Room_SIMs[[#This Row],[SLA Miss]] &lt;&gt; "", ISNUMBER(SEARCH("SLA", CRC_War_Room_SIMs[[#This Row],[Labels]])))), 1, 0)</f>
        <v>0</v>
      </c>
    </row>
    <row r="1243" spans="1:16" x14ac:dyDescent="0.25">
      <c r="A1243" t="s">
        <v>3927</v>
      </c>
      <c r="B1243" t="s">
        <v>3906</v>
      </c>
      <c r="C1243" t="s">
        <v>3902</v>
      </c>
      <c r="H124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43" s="49">
        <f ca="1">IFERROR(WEEKNUM(CRC_War_Room_SIMs[[#This Row],[Ops Date]]), "N/A")</f>
        <v>28</v>
      </c>
      <c r="J124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4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4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43" s="50">
        <f>IF(AND(CRC_War_Room_SIMs[[#This Row],[CI]] = 0, CRC_War_Room_SIMs[[#This Row],[Miss]] = 1), 1, 0)</f>
        <v>0</v>
      </c>
      <c r="N124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4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43" s="50">
        <f>IF(AND(CRC_War_Room_SIMs[[#This Row],[Excluded]] = 0, OR(CRC_War_Room_SIMs[[#This Row],[SLA Miss]] &lt;&gt; "", ISNUMBER(SEARCH("SLA", CRC_War_Room_SIMs[[#This Row],[Labels]])))), 1, 0)</f>
        <v>0</v>
      </c>
    </row>
    <row r="1244" spans="1:16" x14ac:dyDescent="0.25">
      <c r="A1244" t="s">
        <v>3928</v>
      </c>
      <c r="B1244" t="s">
        <v>3908</v>
      </c>
      <c r="C1244" t="s">
        <v>3902</v>
      </c>
      <c r="H124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44" s="49">
        <f ca="1">IFERROR(WEEKNUM(CRC_War_Room_SIMs[[#This Row],[Ops Date]]), "N/A")</f>
        <v>28</v>
      </c>
      <c r="J124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4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4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44" s="50">
        <f>IF(AND(CRC_War_Room_SIMs[[#This Row],[CI]] = 0, CRC_War_Room_SIMs[[#This Row],[Miss]] = 1), 1, 0)</f>
        <v>0</v>
      </c>
      <c r="N124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4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44" s="50">
        <f>IF(AND(CRC_War_Room_SIMs[[#This Row],[Excluded]] = 0, OR(CRC_War_Room_SIMs[[#This Row],[SLA Miss]] &lt;&gt; "", ISNUMBER(SEARCH("SLA", CRC_War_Room_SIMs[[#This Row],[Labels]])))), 1, 0)</f>
        <v>0</v>
      </c>
    </row>
    <row r="1245" spans="1:16" x14ac:dyDescent="0.25">
      <c r="A1245" t="s">
        <v>3929</v>
      </c>
      <c r="B1245" t="s">
        <v>3910</v>
      </c>
      <c r="C1245" t="s">
        <v>3902</v>
      </c>
      <c r="H124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45" s="49">
        <f ca="1">IFERROR(WEEKNUM(CRC_War_Room_SIMs[[#This Row],[Ops Date]]), "N/A")</f>
        <v>28</v>
      </c>
      <c r="J124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4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4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45" s="50">
        <f>IF(AND(CRC_War_Room_SIMs[[#This Row],[CI]] = 0, CRC_War_Room_SIMs[[#This Row],[Miss]] = 1), 1, 0)</f>
        <v>0</v>
      </c>
      <c r="N124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4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45" s="50">
        <f>IF(AND(CRC_War_Room_SIMs[[#This Row],[Excluded]] = 0, OR(CRC_War_Room_SIMs[[#This Row],[SLA Miss]] &lt;&gt; "", ISNUMBER(SEARCH("SLA", CRC_War_Room_SIMs[[#This Row],[Labels]])))), 1, 0)</f>
        <v>0</v>
      </c>
    </row>
    <row r="1246" spans="1:16" x14ac:dyDescent="0.25">
      <c r="A1246" t="s">
        <v>3930</v>
      </c>
      <c r="B1246" t="s">
        <v>3901</v>
      </c>
      <c r="C1246" t="s">
        <v>3902</v>
      </c>
      <c r="H124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46" s="49">
        <f ca="1">IFERROR(WEEKNUM(CRC_War_Room_SIMs[[#This Row],[Ops Date]]), "N/A")</f>
        <v>28</v>
      </c>
      <c r="J124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4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4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46" s="50">
        <f>IF(AND(CRC_War_Room_SIMs[[#This Row],[CI]] = 0, CRC_War_Room_SIMs[[#This Row],[Miss]] = 1), 1, 0)</f>
        <v>0</v>
      </c>
      <c r="N124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4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46" s="50">
        <f>IF(AND(CRC_War_Room_SIMs[[#This Row],[Excluded]] = 0, OR(CRC_War_Room_SIMs[[#This Row],[SLA Miss]] &lt;&gt; "", ISNUMBER(SEARCH("SLA", CRC_War_Room_SIMs[[#This Row],[Labels]])))), 1, 0)</f>
        <v>0</v>
      </c>
    </row>
    <row r="1247" spans="1:16" x14ac:dyDescent="0.25">
      <c r="A1247" t="s">
        <v>3931</v>
      </c>
      <c r="B1247" t="s">
        <v>3932</v>
      </c>
      <c r="C1247" t="s">
        <v>3902</v>
      </c>
      <c r="H124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47" s="49">
        <f ca="1">IFERROR(WEEKNUM(CRC_War_Room_SIMs[[#This Row],[Ops Date]]), "N/A")</f>
        <v>28</v>
      </c>
      <c r="J124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4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4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47" s="50">
        <f>IF(AND(CRC_War_Room_SIMs[[#This Row],[CI]] = 0, CRC_War_Room_SIMs[[#This Row],[Miss]] = 1), 1, 0)</f>
        <v>0</v>
      </c>
      <c r="N124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4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47" s="50">
        <f>IF(AND(CRC_War_Room_SIMs[[#This Row],[Excluded]] = 0, OR(CRC_War_Room_SIMs[[#This Row],[SLA Miss]] &lt;&gt; "", ISNUMBER(SEARCH("SLA", CRC_War_Room_SIMs[[#This Row],[Labels]])))), 1, 0)</f>
        <v>0</v>
      </c>
    </row>
    <row r="1248" spans="1:16" x14ac:dyDescent="0.25">
      <c r="A1248" t="s">
        <v>3933</v>
      </c>
      <c r="B1248" t="s">
        <v>3934</v>
      </c>
      <c r="C1248" t="s">
        <v>3902</v>
      </c>
      <c r="H124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48" s="49">
        <f ca="1">IFERROR(WEEKNUM(CRC_War_Room_SIMs[[#This Row],[Ops Date]]), "N/A")</f>
        <v>28</v>
      </c>
      <c r="J124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4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4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48" s="50">
        <f>IF(AND(CRC_War_Room_SIMs[[#This Row],[CI]] = 0, CRC_War_Room_SIMs[[#This Row],[Miss]] = 1), 1, 0)</f>
        <v>0</v>
      </c>
      <c r="N124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4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48" s="50">
        <f>IF(AND(CRC_War_Room_SIMs[[#This Row],[Excluded]] = 0, OR(CRC_War_Room_SIMs[[#This Row],[SLA Miss]] &lt;&gt; "", ISNUMBER(SEARCH("SLA", CRC_War_Room_SIMs[[#This Row],[Labels]])))), 1, 0)</f>
        <v>0</v>
      </c>
    </row>
    <row r="1249" spans="1:16" x14ac:dyDescent="0.25">
      <c r="A1249" t="s">
        <v>3935</v>
      </c>
      <c r="B1249" t="s">
        <v>3932</v>
      </c>
      <c r="C1249" t="s">
        <v>3902</v>
      </c>
      <c r="H124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49" s="49">
        <f ca="1">IFERROR(WEEKNUM(CRC_War_Room_SIMs[[#This Row],[Ops Date]]), "N/A")</f>
        <v>28</v>
      </c>
      <c r="J124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4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4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49" s="50">
        <f>IF(AND(CRC_War_Room_SIMs[[#This Row],[CI]] = 0, CRC_War_Room_SIMs[[#This Row],[Miss]] = 1), 1, 0)</f>
        <v>0</v>
      </c>
      <c r="N124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4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49" s="50">
        <f>IF(AND(CRC_War_Room_SIMs[[#This Row],[Excluded]] = 0, OR(CRC_War_Room_SIMs[[#This Row],[SLA Miss]] &lt;&gt; "", ISNUMBER(SEARCH("SLA", CRC_War_Room_SIMs[[#This Row],[Labels]])))), 1, 0)</f>
        <v>0</v>
      </c>
    </row>
    <row r="1250" spans="1:16" x14ac:dyDescent="0.25">
      <c r="A1250" t="s">
        <v>3936</v>
      </c>
      <c r="B1250" t="s">
        <v>3937</v>
      </c>
      <c r="C1250" t="s">
        <v>3902</v>
      </c>
      <c r="H125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50" s="49">
        <f ca="1">IFERROR(WEEKNUM(CRC_War_Room_SIMs[[#This Row],[Ops Date]]), "N/A")</f>
        <v>28</v>
      </c>
      <c r="J125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5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5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50" s="50">
        <f>IF(AND(CRC_War_Room_SIMs[[#This Row],[CI]] = 0, CRC_War_Room_SIMs[[#This Row],[Miss]] = 1), 1, 0)</f>
        <v>0</v>
      </c>
      <c r="N125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5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50" s="50">
        <f>IF(AND(CRC_War_Room_SIMs[[#This Row],[Excluded]] = 0, OR(CRC_War_Room_SIMs[[#This Row],[SLA Miss]] &lt;&gt; "", ISNUMBER(SEARCH("SLA", CRC_War_Room_SIMs[[#This Row],[Labels]])))), 1, 0)</f>
        <v>0</v>
      </c>
    </row>
    <row r="1251" spans="1:16" x14ac:dyDescent="0.25">
      <c r="A1251" t="s">
        <v>3938</v>
      </c>
      <c r="B1251" t="s">
        <v>3934</v>
      </c>
      <c r="C1251" t="s">
        <v>3902</v>
      </c>
      <c r="H125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45484</v>
      </c>
      <c r="I1251" s="49">
        <f ca="1">IFERROR(WEEKNUM(CRC_War_Room_SIMs[[#This Row],[Ops Date]]), "N/A")</f>
        <v>28</v>
      </c>
      <c r="J125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5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5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51" s="50">
        <f>IF(AND(CRC_War_Room_SIMs[[#This Row],[CI]] = 0, CRC_War_Room_SIMs[[#This Row],[Miss]] = 1), 1, 0)</f>
        <v>0</v>
      </c>
      <c r="N125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5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51" s="50">
        <f>IF(AND(CRC_War_Room_SIMs[[#This Row],[Excluded]] = 0, OR(CRC_War_Room_SIMs[[#This Row],[SLA Miss]] &lt;&gt; "", ISNUMBER(SEARCH("SLA", CRC_War_Room_SIMs[[#This Row],[Labels]])))), 1, 0)</f>
        <v>0</v>
      </c>
    </row>
    <row r="1252" spans="1:16" x14ac:dyDescent="0.25">
      <c r="A1252" t="s">
        <v>3939</v>
      </c>
      <c r="B1252" t="s">
        <v>3940</v>
      </c>
      <c r="C1252" t="s">
        <v>3941</v>
      </c>
      <c r="H125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252" s="49">
        <f ca="1">IFERROR(WEEKNUM(CRC_War_Room_SIMs[[#This Row],[Ops Date]]), "N/A")</f>
        <v>28</v>
      </c>
      <c r="J1252" s="49">
        <f>IF(OR(ISNUMBER(SEARCH("Excluded", CRC_War_Room_SIMs[[#This Row],[Labels]])), ISNUMBER(SEARCH("Quality", CRC_War_Room_SIMs[[#This Row],[Data Status]])), ISNUMBER(SEARCH("Exception", CRC_War_Room_SIMs[[#This Row],[Data Status]]))), 1, 0)</f>
        <v>1</v>
      </c>
      <c r="K125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5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52" s="50">
        <f>IF(AND(CRC_War_Room_SIMs[[#This Row],[CI]] = 0, CRC_War_Room_SIMs[[#This Row],[Miss]] = 1), 1, 0)</f>
        <v>0</v>
      </c>
      <c r="N125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5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52" s="50">
        <f>IF(AND(CRC_War_Room_SIMs[[#This Row],[Excluded]] = 0, OR(CRC_War_Room_SIMs[[#This Row],[SLA Miss]] &lt;&gt; "", ISNUMBER(SEARCH("SLA", CRC_War_Room_SIMs[[#This Row],[Labels]])))), 1, 0)</f>
        <v>0</v>
      </c>
    </row>
    <row r="1253" spans="1:16" x14ac:dyDescent="0.25">
      <c r="A1253" t="s">
        <v>3942</v>
      </c>
      <c r="B1253" t="s">
        <v>3853</v>
      </c>
      <c r="C1253" t="s">
        <v>3854</v>
      </c>
      <c r="H125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53" s="49">
        <f ca="1">IFERROR(WEEKNUM(CRC_War_Room_SIMs[[#This Row],[Ops Date]]), "N/A")</f>
        <v>28</v>
      </c>
      <c r="J125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5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25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253" s="50">
        <f>IF(AND(CRC_War_Room_SIMs[[#This Row],[CI]] = 0, CRC_War_Room_SIMs[[#This Row],[Miss]] = 1), 1, 0)</f>
        <v>0</v>
      </c>
      <c r="N125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5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53" s="50">
        <f>IF(AND(CRC_War_Room_SIMs[[#This Row],[Excluded]] = 0, OR(CRC_War_Room_SIMs[[#This Row],[SLA Miss]] &lt;&gt; "", ISNUMBER(SEARCH("SLA", CRC_War_Room_SIMs[[#This Row],[Labels]])))), 1, 0)</f>
        <v>0</v>
      </c>
    </row>
    <row r="1254" spans="1:16" x14ac:dyDescent="0.25">
      <c r="A1254" t="s">
        <v>3943</v>
      </c>
      <c r="B1254" t="s">
        <v>3944</v>
      </c>
      <c r="C1254" t="s">
        <v>3945</v>
      </c>
      <c r="E1254" t="s">
        <v>2490</v>
      </c>
      <c r="H125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54" s="49">
        <f ca="1">IFERROR(WEEKNUM(CRC_War_Room_SIMs[[#This Row],[Ops Date]]), "N/A")</f>
        <v>28</v>
      </c>
      <c r="J125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5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25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254" s="50">
        <f>IF(AND(CRC_War_Room_SIMs[[#This Row],[CI]] = 0, CRC_War_Room_SIMs[[#This Row],[Miss]] = 1), 1, 0)</f>
        <v>0</v>
      </c>
      <c r="N1254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125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54" s="50">
        <f>IF(AND(CRC_War_Room_SIMs[[#This Row],[Excluded]] = 0, OR(CRC_War_Room_SIMs[[#This Row],[SLA Miss]] &lt;&gt; "", ISNUMBER(SEARCH("SLA", CRC_War_Room_SIMs[[#This Row],[Labels]])))), 1, 0)</f>
        <v>0</v>
      </c>
    </row>
    <row r="1255" spans="1:16" x14ac:dyDescent="0.25">
      <c r="A1255" t="s">
        <v>3946</v>
      </c>
      <c r="B1255" t="s">
        <v>3947</v>
      </c>
      <c r="C1255" t="s">
        <v>3948</v>
      </c>
      <c r="H125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55" s="49">
        <f ca="1">IFERROR(WEEKNUM(CRC_War_Room_SIMs[[#This Row],[Ops Date]]), "N/A")</f>
        <v>28</v>
      </c>
      <c r="J125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5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5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55" s="50">
        <f>IF(AND(CRC_War_Room_SIMs[[#This Row],[CI]] = 0, CRC_War_Room_SIMs[[#This Row],[Miss]] = 1), 1, 0)</f>
        <v>0</v>
      </c>
      <c r="N125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5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55" s="50">
        <f>IF(AND(CRC_War_Room_SIMs[[#This Row],[Excluded]] = 0, OR(CRC_War_Room_SIMs[[#This Row],[SLA Miss]] &lt;&gt; "", ISNUMBER(SEARCH("SLA", CRC_War_Room_SIMs[[#This Row],[Labels]])))), 1, 0)</f>
        <v>0</v>
      </c>
    </row>
    <row r="1256" spans="1:16" x14ac:dyDescent="0.25">
      <c r="A1256" t="s">
        <v>3949</v>
      </c>
      <c r="B1256" t="s">
        <v>3950</v>
      </c>
      <c r="C1256" t="s">
        <v>3948</v>
      </c>
      <c r="H125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56" s="49">
        <f ca="1">IFERROR(WEEKNUM(CRC_War_Room_SIMs[[#This Row],[Ops Date]]), "N/A")</f>
        <v>28</v>
      </c>
      <c r="J125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5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5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56" s="50">
        <f>IF(AND(CRC_War_Room_SIMs[[#This Row],[CI]] = 0, CRC_War_Room_SIMs[[#This Row],[Miss]] = 1), 1, 0)</f>
        <v>0</v>
      </c>
      <c r="N125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5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56" s="50">
        <f>IF(AND(CRC_War_Room_SIMs[[#This Row],[Excluded]] = 0, OR(CRC_War_Room_SIMs[[#This Row],[SLA Miss]] &lt;&gt; "", ISNUMBER(SEARCH("SLA", CRC_War_Room_SIMs[[#This Row],[Labels]])))), 1, 0)</f>
        <v>0</v>
      </c>
    </row>
    <row r="1257" spans="1:16" x14ac:dyDescent="0.25">
      <c r="A1257" t="s">
        <v>3951</v>
      </c>
      <c r="B1257" t="s">
        <v>3952</v>
      </c>
      <c r="C1257" t="s">
        <v>3948</v>
      </c>
      <c r="H125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57" s="49">
        <f ca="1">IFERROR(WEEKNUM(CRC_War_Room_SIMs[[#This Row],[Ops Date]]), "N/A")</f>
        <v>28</v>
      </c>
      <c r="J125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5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5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57" s="50">
        <f>IF(AND(CRC_War_Room_SIMs[[#This Row],[CI]] = 0, CRC_War_Room_SIMs[[#This Row],[Miss]] = 1), 1, 0)</f>
        <v>0</v>
      </c>
      <c r="N125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5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57" s="50">
        <f>IF(AND(CRC_War_Room_SIMs[[#This Row],[Excluded]] = 0, OR(CRC_War_Room_SIMs[[#This Row],[SLA Miss]] &lt;&gt; "", ISNUMBER(SEARCH("SLA", CRC_War_Room_SIMs[[#This Row],[Labels]])))), 1, 0)</f>
        <v>0</v>
      </c>
    </row>
    <row r="1258" spans="1:16" x14ac:dyDescent="0.25">
      <c r="A1258" t="s">
        <v>3953</v>
      </c>
      <c r="B1258" t="s">
        <v>3954</v>
      </c>
      <c r="C1258" t="s">
        <v>3948</v>
      </c>
      <c r="H125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58" s="49">
        <f ca="1">IFERROR(WEEKNUM(CRC_War_Room_SIMs[[#This Row],[Ops Date]]), "N/A")</f>
        <v>28</v>
      </c>
      <c r="J125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5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5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58" s="50">
        <f>IF(AND(CRC_War_Room_SIMs[[#This Row],[CI]] = 0, CRC_War_Room_SIMs[[#This Row],[Miss]] = 1), 1, 0)</f>
        <v>0</v>
      </c>
      <c r="N125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5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58" s="50">
        <f>IF(AND(CRC_War_Room_SIMs[[#This Row],[Excluded]] = 0, OR(CRC_War_Room_SIMs[[#This Row],[SLA Miss]] &lt;&gt; "", ISNUMBER(SEARCH("SLA", CRC_War_Room_SIMs[[#This Row],[Labels]])))), 1, 0)</f>
        <v>0</v>
      </c>
    </row>
    <row r="1259" spans="1:16" x14ac:dyDescent="0.25">
      <c r="A1259" t="s">
        <v>3955</v>
      </c>
      <c r="B1259" t="s">
        <v>3956</v>
      </c>
      <c r="C1259" t="s">
        <v>3948</v>
      </c>
      <c r="H125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59" s="49">
        <f ca="1">IFERROR(WEEKNUM(CRC_War_Room_SIMs[[#This Row],[Ops Date]]), "N/A")</f>
        <v>28</v>
      </c>
      <c r="J125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5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5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59" s="50">
        <f>IF(AND(CRC_War_Room_SIMs[[#This Row],[CI]] = 0, CRC_War_Room_SIMs[[#This Row],[Miss]] = 1), 1, 0)</f>
        <v>0</v>
      </c>
      <c r="N125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5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59" s="50">
        <f>IF(AND(CRC_War_Room_SIMs[[#This Row],[Excluded]] = 0, OR(CRC_War_Room_SIMs[[#This Row],[SLA Miss]] &lt;&gt; "", ISNUMBER(SEARCH("SLA", CRC_War_Room_SIMs[[#This Row],[Labels]])))), 1, 0)</f>
        <v>0</v>
      </c>
    </row>
    <row r="1260" spans="1:16" x14ac:dyDescent="0.25">
      <c r="A1260" t="s">
        <v>3957</v>
      </c>
      <c r="B1260" t="s">
        <v>3958</v>
      </c>
      <c r="C1260" t="s">
        <v>3948</v>
      </c>
      <c r="H126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60" s="49">
        <f ca="1">IFERROR(WEEKNUM(CRC_War_Room_SIMs[[#This Row],[Ops Date]]), "N/A")</f>
        <v>28</v>
      </c>
      <c r="J126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6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6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60" s="50">
        <f>IF(AND(CRC_War_Room_SIMs[[#This Row],[CI]] = 0, CRC_War_Room_SIMs[[#This Row],[Miss]] = 1), 1, 0)</f>
        <v>0</v>
      </c>
      <c r="N126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6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60" s="50">
        <f>IF(AND(CRC_War_Room_SIMs[[#This Row],[Excluded]] = 0, OR(CRC_War_Room_SIMs[[#This Row],[SLA Miss]] &lt;&gt; "", ISNUMBER(SEARCH("SLA", CRC_War_Room_SIMs[[#This Row],[Labels]])))), 1, 0)</f>
        <v>0</v>
      </c>
    </row>
    <row r="1261" spans="1:16" x14ac:dyDescent="0.25">
      <c r="A1261" t="s">
        <v>3959</v>
      </c>
      <c r="B1261" t="s">
        <v>3950</v>
      </c>
      <c r="C1261" t="s">
        <v>3948</v>
      </c>
      <c r="H126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61" s="49">
        <f ca="1">IFERROR(WEEKNUM(CRC_War_Room_SIMs[[#This Row],[Ops Date]]), "N/A")</f>
        <v>28</v>
      </c>
      <c r="J126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6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6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61" s="50">
        <f>IF(AND(CRC_War_Room_SIMs[[#This Row],[CI]] = 0, CRC_War_Room_SIMs[[#This Row],[Miss]] = 1), 1, 0)</f>
        <v>0</v>
      </c>
      <c r="N126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6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61" s="50">
        <f>IF(AND(CRC_War_Room_SIMs[[#This Row],[Excluded]] = 0, OR(CRC_War_Room_SIMs[[#This Row],[SLA Miss]] &lt;&gt; "", ISNUMBER(SEARCH("SLA", CRC_War_Room_SIMs[[#This Row],[Labels]])))), 1, 0)</f>
        <v>0</v>
      </c>
    </row>
    <row r="1262" spans="1:16" x14ac:dyDescent="0.25">
      <c r="A1262" t="s">
        <v>3960</v>
      </c>
      <c r="B1262" t="s">
        <v>3853</v>
      </c>
      <c r="C1262" t="s">
        <v>3948</v>
      </c>
      <c r="H126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62" s="49">
        <f ca="1">IFERROR(WEEKNUM(CRC_War_Room_SIMs[[#This Row],[Ops Date]]), "N/A")</f>
        <v>28</v>
      </c>
      <c r="J126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6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6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62" s="50">
        <f>IF(AND(CRC_War_Room_SIMs[[#This Row],[CI]] = 0, CRC_War_Room_SIMs[[#This Row],[Miss]] = 1), 1, 0)</f>
        <v>0</v>
      </c>
      <c r="N126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6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62" s="50">
        <f>IF(AND(CRC_War_Room_SIMs[[#This Row],[Excluded]] = 0, OR(CRC_War_Room_SIMs[[#This Row],[SLA Miss]] &lt;&gt; "", ISNUMBER(SEARCH("SLA", CRC_War_Room_SIMs[[#This Row],[Labels]])))), 1, 0)</f>
        <v>0</v>
      </c>
    </row>
    <row r="1263" spans="1:16" x14ac:dyDescent="0.25">
      <c r="A1263" t="s">
        <v>3961</v>
      </c>
      <c r="B1263" t="s">
        <v>3947</v>
      </c>
      <c r="C1263" t="s">
        <v>3948</v>
      </c>
      <c r="H126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63" s="49">
        <f ca="1">IFERROR(WEEKNUM(CRC_War_Room_SIMs[[#This Row],[Ops Date]]), "N/A")</f>
        <v>28</v>
      </c>
      <c r="J126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6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6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63" s="50">
        <f>IF(AND(CRC_War_Room_SIMs[[#This Row],[CI]] = 0, CRC_War_Room_SIMs[[#This Row],[Miss]] = 1), 1, 0)</f>
        <v>0</v>
      </c>
      <c r="N126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6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63" s="50">
        <f>IF(AND(CRC_War_Room_SIMs[[#This Row],[Excluded]] = 0, OR(CRC_War_Room_SIMs[[#This Row],[SLA Miss]] &lt;&gt; "", ISNUMBER(SEARCH("SLA", CRC_War_Room_SIMs[[#This Row],[Labels]])))), 1, 0)</f>
        <v>0</v>
      </c>
    </row>
    <row r="1264" spans="1:16" x14ac:dyDescent="0.25">
      <c r="A1264" t="s">
        <v>3962</v>
      </c>
      <c r="B1264" t="s">
        <v>3954</v>
      </c>
      <c r="C1264" t="s">
        <v>3854</v>
      </c>
      <c r="E1264" t="s">
        <v>2463</v>
      </c>
      <c r="H126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64" s="49">
        <f ca="1">IFERROR(WEEKNUM(CRC_War_Room_SIMs[[#This Row],[Ops Date]]), "N/A")</f>
        <v>28</v>
      </c>
      <c r="J126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6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26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264" s="50">
        <f>IF(AND(CRC_War_Room_SIMs[[#This Row],[CI]] = 0, CRC_War_Room_SIMs[[#This Row],[Miss]] = 1), 1, 0)</f>
        <v>0</v>
      </c>
      <c r="N1264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126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64" s="50">
        <f>IF(AND(CRC_War_Room_SIMs[[#This Row],[Excluded]] = 0, OR(CRC_War_Room_SIMs[[#This Row],[SLA Miss]] &lt;&gt; "", ISNUMBER(SEARCH("SLA", CRC_War_Room_SIMs[[#This Row],[Labels]])))), 1, 0)</f>
        <v>0</v>
      </c>
    </row>
    <row r="1265" spans="1:16" x14ac:dyDescent="0.25">
      <c r="A1265" t="s">
        <v>3963</v>
      </c>
      <c r="B1265" t="s">
        <v>3950</v>
      </c>
      <c r="C1265" t="s">
        <v>3948</v>
      </c>
      <c r="H126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65" s="49">
        <f ca="1">IFERROR(WEEKNUM(CRC_War_Room_SIMs[[#This Row],[Ops Date]]), "N/A")</f>
        <v>28</v>
      </c>
      <c r="J126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6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6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65" s="50">
        <f>IF(AND(CRC_War_Room_SIMs[[#This Row],[CI]] = 0, CRC_War_Room_SIMs[[#This Row],[Miss]] = 1), 1, 0)</f>
        <v>0</v>
      </c>
      <c r="N126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6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65" s="50">
        <f>IF(AND(CRC_War_Room_SIMs[[#This Row],[Excluded]] = 0, OR(CRC_War_Room_SIMs[[#This Row],[SLA Miss]] &lt;&gt; "", ISNUMBER(SEARCH("SLA", CRC_War_Room_SIMs[[#This Row],[Labels]])))), 1, 0)</f>
        <v>0</v>
      </c>
    </row>
    <row r="1266" spans="1:16" x14ac:dyDescent="0.25">
      <c r="A1266" t="s">
        <v>3964</v>
      </c>
      <c r="B1266" t="s">
        <v>3853</v>
      </c>
      <c r="C1266" t="s">
        <v>3948</v>
      </c>
      <c r="H126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66" s="49">
        <f ca="1">IFERROR(WEEKNUM(CRC_War_Room_SIMs[[#This Row],[Ops Date]]), "N/A")</f>
        <v>28</v>
      </c>
      <c r="J126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6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6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66" s="50">
        <f>IF(AND(CRC_War_Room_SIMs[[#This Row],[CI]] = 0, CRC_War_Room_SIMs[[#This Row],[Miss]] = 1), 1, 0)</f>
        <v>0</v>
      </c>
      <c r="N126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6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66" s="50">
        <f>IF(AND(CRC_War_Room_SIMs[[#This Row],[Excluded]] = 0, OR(CRC_War_Room_SIMs[[#This Row],[SLA Miss]] &lt;&gt; "", ISNUMBER(SEARCH("SLA", CRC_War_Room_SIMs[[#This Row],[Labels]])))), 1, 0)</f>
        <v>0</v>
      </c>
    </row>
    <row r="1267" spans="1:16" x14ac:dyDescent="0.25">
      <c r="A1267" t="s">
        <v>3965</v>
      </c>
      <c r="B1267" t="s">
        <v>3947</v>
      </c>
      <c r="C1267" t="s">
        <v>3948</v>
      </c>
      <c r="H126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67" s="49">
        <f ca="1">IFERROR(WEEKNUM(CRC_War_Room_SIMs[[#This Row],[Ops Date]]), "N/A")</f>
        <v>28</v>
      </c>
      <c r="J126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6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6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67" s="50">
        <f>IF(AND(CRC_War_Room_SIMs[[#This Row],[CI]] = 0, CRC_War_Room_SIMs[[#This Row],[Miss]] = 1), 1, 0)</f>
        <v>0</v>
      </c>
      <c r="N126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6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67" s="50">
        <f>IF(AND(CRC_War_Room_SIMs[[#This Row],[Excluded]] = 0, OR(CRC_War_Room_SIMs[[#This Row],[SLA Miss]] &lt;&gt; "", ISNUMBER(SEARCH("SLA", CRC_War_Room_SIMs[[#This Row],[Labels]])))), 1, 0)</f>
        <v>0</v>
      </c>
    </row>
    <row r="1268" spans="1:16" x14ac:dyDescent="0.25">
      <c r="A1268" t="s">
        <v>3966</v>
      </c>
      <c r="B1268" t="s">
        <v>3954</v>
      </c>
      <c r="C1268" t="s">
        <v>3948</v>
      </c>
      <c r="H126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68" s="49">
        <f ca="1">IFERROR(WEEKNUM(CRC_War_Room_SIMs[[#This Row],[Ops Date]]), "N/A")</f>
        <v>28</v>
      </c>
      <c r="J126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6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6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68" s="50">
        <f>IF(AND(CRC_War_Room_SIMs[[#This Row],[CI]] = 0, CRC_War_Room_SIMs[[#This Row],[Miss]] = 1), 1, 0)</f>
        <v>0</v>
      </c>
      <c r="N126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6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68" s="50">
        <f>IF(AND(CRC_War_Room_SIMs[[#This Row],[Excluded]] = 0, OR(CRC_War_Room_SIMs[[#This Row],[SLA Miss]] &lt;&gt; "", ISNUMBER(SEARCH("SLA", CRC_War_Room_SIMs[[#This Row],[Labels]])))), 1, 0)</f>
        <v>0</v>
      </c>
    </row>
    <row r="1269" spans="1:16" x14ac:dyDescent="0.25">
      <c r="A1269" t="s">
        <v>3967</v>
      </c>
      <c r="B1269" t="s">
        <v>3954</v>
      </c>
      <c r="C1269" t="s">
        <v>3948</v>
      </c>
      <c r="H126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69" s="49">
        <f ca="1">IFERROR(WEEKNUM(CRC_War_Room_SIMs[[#This Row],[Ops Date]]), "N/A")</f>
        <v>28</v>
      </c>
      <c r="J126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6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6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69" s="50">
        <f>IF(AND(CRC_War_Room_SIMs[[#This Row],[CI]] = 0, CRC_War_Room_SIMs[[#This Row],[Miss]] = 1), 1, 0)</f>
        <v>0</v>
      </c>
      <c r="N126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6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69" s="50">
        <f>IF(AND(CRC_War_Room_SIMs[[#This Row],[Excluded]] = 0, OR(CRC_War_Room_SIMs[[#This Row],[SLA Miss]] &lt;&gt; "", ISNUMBER(SEARCH("SLA", CRC_War_Room_SIMs[[#This Row],[Labels]])))), 1, 0)</f>
        <v>0</v>
      </c>
    </row>
    <row r="1270" spans="1:16" x14ac:dyDescent="0.25">
      <c r="A1270" t="s">
        <v>3968</v>
      </c>
      <c r="B1270" t="s">
        <v>3853</v>
      </c>
      <c r="C1270" t="s">
        <v>3948</v>
      </c>
      <c r="H127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70" s="49">
        <f ca="1">IFERROR(WEEKNUM(CRC_War_Room_SIMs[[#This Row],[Ops Date]]), "N/A")</f>
        <v>28</v>
      </c>
      <c r="J127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7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7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70" s="50">
        <f>IF(AND(CRC_War_Room_SIMs[[#This Row],[CI]] = 0, CRC_War_Room_SIMs[[#This Row],[Miss]] = 1), 1, 0)</f>
        <v>0</v>
      </c>
      <c r="N127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7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70" s="50">
        <f>IF(AND(CRC_War_Room_SIMs[[#This Row],[Excluded]] = 0, OR(CRC_War_Room_SIMs[[#This Row],[SLA Miss]] &lt;&gt; "", ISNUMBER(SEARCH("SLA", CRC_War_Room_SIMs[[#This Row],[Labels]])))), 1, 0)</f>
        <v>0</v>
      </c>
    </row>
    <row r="1271" spans="1:16" x14ac:dyDescent="0.25">
      <c r="A1271" t="s">
        <v>3969</v>
      </c>
      <c r="B1271" t="s">
        <v>3853</v>
      </c>
      <c r="C1271" t="s">
        <v>3948</v>
      </c>
      <c r="H127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71" s="49">
        <f ca="1">IFERROR(WEEKNUM(CRC_War_Room_SIMs[[#This Row],[Ops Date]]), "N/A")</f>
        <v>28</v>
      </c>
      <c r="J127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7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7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71" s="50">
        <f>IF(AND(CRC_War_Room_SIMs[[#This Row],[CI]] = 0, CRC_War_Room_SIMs[[#This Row],[Miss]] = 1), 1, 0)</f>
        <v>0</v>
      </c>
      <c r="N127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7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71" s="50">
        <f>IF(AND(CRC_War_Room_SIMs[[#This Row],[Excluded]] = 0, OR(CRC_War_Room_SIMs[[#This Row],[SLA Miss]] &lt;&gt; "", ISNUMBER(SEARCH("SLA", CRC_War_Room_SIMs[[#This Row],[Labels]])))), 1, 0)</f>
        <v>0</v>
      </c>
    </row>
    <row r="1272" spans="1:16" x14ac:dyDescent="0.25">
      <c r="A1272" t="s">
        <v>3970</v>
      </c>
      <c r="B1272" t="s">
        <v>3950</v>
      </c>
      <c r="C1272" t="s">
        <v>3948</v>
      </c>
      <c r="H127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72" s="49">
        <f ca="1">IFERROR(WEEKNUM(CRC_War_Room_SIMs[[#This Row],[Ops Date]]), "N/A")</f>
        <v>28</v>
      </c>
      <c r="J127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7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7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72" s="50">
        <f>IF(AND(CRC_War_Room_SIMs[[#This Row],[CI]] = 0, CRC_War_Room_SIMs[[#This Row],[Miss]] = 1), 1, 0)</f>
        <v>0</v>
      </c>
      <c r="N127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7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72" s="50">
        <f>IF(AND(CRC_War_Room_SIMs[[#This Row],[Excluded]] = 0, OR(CRC_War_Room_SIMs[[#This Row],[SLA Miss]] &lt;&gt; "", ISNUMBER(SEARCH("SLA", CRC_War_Room_SIMs[[#This Row],[Labels]])))), 1, 0)</f>
        <v>0</v>
      </c>
    </row>
    <row r="1273" spans="1:16" x14ac:dyDescent="0.25">
      <c r="A1273" t="s">
        <v>3971</v>
      </c>
      <c r="B1273" t="s">
        <v>3947</v>
      </c>
      <c r="C1273" t="s">
        <v>3948</v>
      </c>
      <c r="H127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73" s="49">
        <f ca="1">IFERROR(WEEKNUM(CRC_War_Room_SIMs[[#This Row],[Ops Date]]), "N/A")</f>
        <v>28</v>
      </c>
      <c r="J127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7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7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73" s="50">
        <f>IF(AND(CRC_War_Room_SIMs[[#This Row],[CI]] = 0, CRC_War_Room_SIMs[[#This Row],[Miss]] = 1), 1, 0)</f>
        <v>0</v>
      </c>
      <c r="N127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7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73" s="50">
        <f>IF(AND(CRC_War_Room_SIMs[[#This Row],[Excluded]] = 0, OR(CRC_War_Room_SIMs[[#This Row],[SLA Miss]] &lt;&gt; "", ISNUMBER(SEARCH("SLA", CRC_War_Room_SIMs[[#This Row],[Labels]])))), 1, 0)</f>
        <v>0</v>
      </c>
    </row>
    <row r="1274" spans="1:16" x14ac:dyDescent="0.25">
      <c r="A1274" t="s">
        <v>3972</v>
      </c>
      <c r="B1274" t="s">
        <v>3954</v>
      </c>
      <c r="C1274" t="s">
        <v>3948</v>
      </c>
      <c r="H127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74" s="49">
        <f ca="1">IFERROR(WEEKNUM(CRC_War_Room_SIMs[[#This Row],[Ops Date]]), "N/A")</f>
        <v>28</v>
      </c>
      <c r="J127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7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7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74" s="50">
        <f>IF(AND(CRC_War_Room_SIMs[[#This Row],[CI]] = 0, CRC_War_Room_SIMs[[#This Row],[Miss]] = 1), 1, 0)</f>
        <v>0</v>
      </c>
      <c r="N127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7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74" s="50">
        <f>IF(AND(CRC_War_Room_SIMs[[#This Row],[Excluded]] = 0, OR(CRC_War_Room_SIMs[[#This Row],[SLA Miss]] &lt;&gt; "", ISNUMBER(SEARCH("SLA", CRC_War_Room_SIMs[[#This Row],[Labels]])))), 1, 0)</f>
        <v>0</v>
      </c>
    </row>
    <row r="1275" spans="1:16" x14ac:dyDescent="0.25">
      <c r="A1275" t="s">
        <v>3973</v>
      </c>
      <c r="B1275" t="s">
        <v>3853</v>
      </c>
      <c r="C1275" t="s">
        <v>3948</v>
      </c>
      <c r="H127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75" s="49">
        <f ca="1">IFERROR(WEEKNUM(CRC_War_Room_SIMs[[#This Row],[Ops Date]]), "N/A")</f>
        <v>28</v>
      </c>
      <c r="J127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7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7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75" s="50">
        <f>IF(AND(CRC_War_Room_SIMs[[#This Row],[CI]] = 0, CRC_War_Room_SIMs[[#This Row],[Miss]] = 1), 1, 0)</f>
        <v>0</v>
      </c>
      <c r="N127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7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75" s="50">
        <f>IF(AND(CRC_War_Room_SIMs[[#This Row],[Excluded]] = 0, OR(CRC_War_Room_SIMs[[#This Row],[SLA Miss]] &lt;&gt; "", ISNUMBER(SEARCH("SLA", CRC_War_Room_SIMs[[#This Row],[Labels]])))), 1, 0)</f>
        <v>0</v>
      </c>
    </row>
    <row r="1276" spans="1:16" x14ac:dyDescent="0.25">
      <c r="A1276" t="s">
        <v>3974</v>
      </c>
      <c r="B1276" t="s">
        <v>3950</v>
      </c>
      <c r="C1276" t="s">
        <v>3948</v>
      </c>
      <c r="H127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76" s="49">
        <f ca="1">IFERROR(WEEKNUM(CRC_War_Room_SIMs[[#This Row],[Ops Date]]), "N/A")</f>
        <v>28</v>
      </c>
      <c r="J127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7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7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76" s="50">
        <f>IF(AND(CRC_War_Room_SIMs[[#This Row],[CI]] = 0, CRC_War_Room_SIMs[[#This Row],[Miss]] = 1), 1, 0)</f>
        <v>0</v>
      </c>
      <c r="N127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7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76" s="50">
        <f>IF(AND(CRC_War_Room_SIMs[[#This Row],[Excluded]] = 0, OR(CRC_War_Room_SIMs[[#This Row],[SLA Miss]] &lt;&gt; "", ISNUMBER(SEARCH("SLA", CRC_War_Room_SIMs[[#This Row],[Labels]])))), 1, 0)</f>
        <v>0</v>
      </c>
    </row>
    <row r="1277" spans="1:16" x14ac:dyDescent="0.25">
      <c r="A1277" t="s">
        <v>3975</v>
      </c>
      <c r="B1277" t="s">
        <v>3954</v>
      </c>
      <c r="C1277" t="s">
        <v>3948</v>
      </c>
      <c r="H127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77" s="49">
        <f ca="1">IFERROR(WEEKNUM(CRC_War_Room_SIMs[[#This Row],[Ops Date]]), "N/A")</f>
        <v>28</v>
      </c>
      <c r="J127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7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7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77" s="50">
        <f>IF(AND(CRC_War_Room_SIMs[[#This Row],[CI]] = 0, CRC_War_Room_SIMs[[#This Row],[Miss]] = 1), 1, 0)</f>
        <v>0</v>
      </c>
      <c r="N127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7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77" s="50">
        <f>IF(AND(CRC_War_Room_SIMs[[#This Row],[Excluded]] = 0, OR(CRC_War_Room_SIMs[[#This Row],[SLA Miss]] &lt;&gt; "", ISNUMBER(SEARCH("SLA", CRC_War_Room_SIMs[[#This Row],[Labels]])))), 1, 0)</f>
        <v>0</v>
      </c>
    </row>
    <row r="1278" spans="1:16" x14ac:dyDescent="0.25">
      <c r="A1278" t="s">
        <v>3976</v>
      </c>
      <c r="B1278" t="s">
        <v>3947</v>
      </c>
      <c r="C1278" t="s">
        <v>3948</v>
      </c>
      <c r="H127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78" s="49">
        <f ca="1">IFERROR(WEEKNUM(CRC_War_Room_SIMs[[#This Row],[Ops Date]]), "N/A")</f>
        <v>28</v>
      </c>
      <c r="J127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7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7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78" s="50">
        <f>IF(AND(CRC_War_Room_SIMs[[#This Row],[CI]] = 0, CRC_War_Room_SIMs[[#This Row],[Miss]] = 1), 1, 0)</f>
        <v>0</v>
      </c>
      <c r="N127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7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78" s="50">
        <f>IF(AND(CRC_War_Room_SIMs[[#This Row],[Excluded]] = 0, OR(CRC_War_Room_SIMs[[#This Row],[SLA Miss]] &lt;&gt; "", ISNUMBER(SEARCH("SLA", CRC_War_Room_SIMs[[#This Row],[Labels]])))), 1, 0)</f>
        <v>0</v>
      </c>
    </row>
    <row r="1279" spans="1:16" x14ac:dyDescent="0.25">
      <c r="A1279" t="s">
        <v>3977</v>
      </c>
      <c r="B1279" t="s">
        <v>3956</v>
      </c>
      <c r="C1279" t="s">
        <v>3948</v>
      </c>
      <c r="H127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79" s="49">
        <f ca="1">IFERROR(WEEKNUM(CRC_War_Room_SIMs[[#This Row],[Ops Date]]), "N/A")</f>
        <v>28</v>
      </c>
      <c r="J127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7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7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79" s="50">
        <f>IF(AND(CRC_War_Room_SIMs[[#This Row],[CI]] = 0, CRC_War_Room_SIMs[[#This Row],[Miss]] = 1), 1, 0)</f>
        <v>0</v>
      </c>
      <c r="N127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7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79" s="50">
        <f>IF(AND(CRC_War_Room_SIMs[[#This Row],[Excluded]] = 0, OR(CRC_War_Room_SIMs[[#This Row],[SLA Miss]] &lt;&gt; "", ISNUMBER(SEARCH("SLA", CRC_War_Room_SIMs[[#This Row],[Labels]])))), 1, 0)</f>
        <v>0</v>
      </c>
    </row>
    <row r="1280" spans="1:16" x14ac:dyDescent="0.25">
      <c r="A1280" t="s">
        <v>3978</v>
      </c>
      <c r="B1280" t="s">
        <v>3958</v>
      </c>
      <c r="C1280" t="s">
        <v>3948</v>
      </c>
      <c r="H128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80" s="49">
        <f ca="1">IFERROR(WEEKNUM(CRC_War_Room_SIMs[[#This Row],[Ops Date]]), "N/A")</f>
        <v>28</v>
      </c>
      <c r="J128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8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8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80" s="50">
        <f>IF(AND(CRC_War_Room_SIMs[[#This Row],[CI]] = 0, CRC_War_Room_SIMs[[#This Row],[Miss]] = 1), 1, 0)</f>
        <v>0</v>
      </c>
      <c r="N128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8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80" s="50">
        <f>IF(AND(CRC_War_Room_SIMs[[#This Row],[Excluded]] = 0, OR(CRC_War_Room_SIMs[[#This Row],[SLA Miss]] &lt;&gt; "", ISNUMBER(SEARCH("SLA", CRC_War_Room_SIMs[[#This Row],[Labels]])))), 1, 0)</f>
        <v>0</v>
      </c>
    </row>
    <row r="1281" spans="1:16" x14ac:dyDescent="0.25">
      <c r="A1281" t="s">
        <v>3979</v>
      </c>
      <c r="B1281" t="s">
        <v>3944</v>
      </c>
      <c r="C1281" t="s">
        <v>3948</v>
      </c>
      <c r="H128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81" s="49">
        <f ca="1">IFERROR(WEEKNUM(CRC_War_Room_SIMs[[#This Row],[Ops Date]]), "N/A")</f>
        <v>28</v>
      </c>
      <c r="J128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8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8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81" s="50">
        <f>IF(AND(CRC_War_Room_SIMs[[#This Row],[CI]] = 0, CRC_War_Room_SIMs[[#This Row],[Miss]] = 1), 1, 0)</f>
        <v>0</v>
      </c>
      <c r="N128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8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81" s="50">
        <f>IF(AND(CRC_War_Room_SIMs[[#This Row],[Excluded]] = 0, OR(CRC_War_Room_SIMs[[#This Row],[SLA Miss]] &lt;&gt; "", ISNUMBER(SEARCH("SLA", CRC_War_Room_SIMs[[#This Row],[Labels]])))), 1, 0)</f>
        <v>0</v>
      </c>
    </row>
    <row r="1282" spans="1:16" x14ac:dyDescent="0.25">
      <c r="A1282" t="s">
        <v>3980</v>
      </c>
      <c r="B1282" t="s">
        <v>3958</v>
      </c>
      <c r="C1282" t="s">
        <v>3948</v>
      </c>
      <c r="H128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82" s="49">
        <f ca="1">IFERROR(WEEKNUM(CRC_War_Room_SIMs[[#This Row],[Ops Date]]), "N/A")</f>
        <v>28</v>
      </c>
      <c r="J128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8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8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82" s="50">
        <f>IF(AND(CRC_War_Room_SIMs[[#This Row],[CI]] = 0, CRC_War_Room_SIMs[[#This Row],[Miss]] = 1), 1, 0)</f>
        <v>0</v>
      </c>
      <c r="N128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8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82" s="50">
        <f>IF(AND(CRC_War_Room_SIMs[[#This Row],[Excluded]] = 0, OR(CRC_War_Room_SIMs[[#This Row],[SLA Miss]] &lt;&gt; "", ISNUMBER(SEARCH("SLA", CRC_War_Room_SIMs[[#This Row],[Labels]])))), 1, 0)</f>
        <v>0</v>
      </c>
    </row>
    <row r="1283" spans="1:16" x14ac:dyDescent="0.25">
      <c r="A1283" t="s">
        <v>3981</v>
      </c>
      <c r="B1283" t="s">
        <v>3956</v>
      </c>
      <c r="C1283" t="s">
        <v>3948</v>
      </c>
      <c r="H128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83" s="49">
        <f ca="1">IFERROR(WEEKNUM(CRC_War_Room_SIMs[[#This Row],[Ops Date]]), "N/A")</f>
        <v>28</v>
      </c>
      <c r="J128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8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8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83" s="50">
        <f>IF(AND(CRC_War_Room_SIMs[[#This Row],[CI]] = 0, CRC_War_Room_SIMs[[#This Row],[Miss]] = 1), 1, 0)</f>
        <v>0</v>
      </c>
      <c r="N128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8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83" s="50">
        <f>IF(AND(CRC_War_Room_SIMs[[#This Row],[Excluded]] = 0, OR(CRC_War_Room_SIMs[[#This Row],[SLA Miss]] &lt;&gt; "", ISNUMBER(SEARCH("SLA", CRC_War_Room_SIMs[[#This Row],[Labels]])))), 1, 0)</f>
        <v>0</v>
      </c>
    </row>
    <row r="1284" spans="1:16" x14ac:dyDescent="0.25">
      <c r="A1284" t="s">
        <v>3982</v>
      </c>
      <c r="B1284" t="s">
        <v>3952</v>
      </c>
      <c r="C1284" t="s">
        <v>3948</v>
      </c>
      <c r="H128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84" s="49">
        <f ca="1">IFERROR(WEEKNUM(CRC_War_Room_SIMs[[#This Row],[Ops Date]]), "N/A")</f>
        <v>28</v>
      </c>
      <c r="J128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8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8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84" s="50">
        <f>IF(AND(CRC_War_Room_SIMs[[#This Row],[CI]] = 0, CRC_War_Room_SIMs[[#This Row],[Miss]] = 1), 1, 0)</f>
        <v>0</v>
      </c>
      <c r="N128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8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84" s="50">
        <f>IF(AND(CRC_War_Room_SIMs[[#This Row],[Excluded]] = 0, OR(CRC_War_Room_SIMs[[#This Row],[SLA Miss]] &lt;&gt; "", ISNUMBER(SEARCH("SLA", CRC_War_Room_SIMs[[#This Row],[Labels]])))), 1, 0)</f>
        <v>0</v>
      </c>
    </row>
    <row r="1285" spans="1:16" x14ac:dyDescent="0.25">
      <c r="A1285" t="s">
        <v>3983</v>
      </c>
      <c r="B1285" t="s">
        <v>3944</v>
      </c>
      <c r="C1285" t="s">
        <v>3948</v>
      </c>
      <c r="H128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85" s="49">
        <f ca="1">IFERROR(WEEKNUM(CRC_War_Room_SIMs[[#This Row],[Ops Date]]), "N/A")</f>
        <v>28</v>
      </c>
      <c r="J128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8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8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85" s="50">
        <f>IF(AND(CRC_War_Room_SIMs[[#This Row],[CI]] = 0, CRC_War_Room_SIMs[[#This Row],[Miss]] = 1), 1, 0)</f>
        <v>0</v>
      </c>
      <c r="N128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8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85" s="50">
        <f>IF(AND(CRC_War_Room_SIMs[[#This Row],[Excluded]] = 0, OR(CRC_War_Room_SIMs[[#This Row],[SLA Miss]] &lt;&gt; "", ISNUMBER(SEARCH("SLA", CRC_War_Room_SIMs[[#This Row],[Labels]])))), 1, 0)</f>
        <v>0</v>
      </c>
    </row>
    <row r="1286" spans="1:16" x14ac:dyDescent="0.25">
      <c r="A1286" t="s">
        <v>3984</v>
      </c>
      <c r="B1286" t="s">
        <v>3950</v>
      </c>
      <c r="C1286" t="s">
        <v>3948</v>
      </c>
      <c r="H128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86" s="49">
        <f ca="1">IFERROR(WEEKNUM(CRC_War_Room_SIMs[[#This Row],[Ops Date]]), "N/A")</f>
        <v>28</v>
      </c>
      <c r="J128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8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8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86" s="50">
        <f>IF(AND(CRC_War_Room_SIMs[[#This Row],[CI]] = 0, CRC_War_Room_SIMs[[#This Row],[Miss]] = 1), 1, 0)</f>
        <v>0</v>
      </c>
      <c r="N128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8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86" s="50">
        <f>IF(AND(CRC_War_Room_SIMs[[#This Row],[Excluded]] = 0, OR(CRC_War_Room_SIMs[[#This Row],[SLA Miss]] &lt;&gt; "", ISNUMBER(SEARCH("SLA", CRC_War_Room_SIMs[[#This Row],[Labels]])))), 1, 0)</f>
        <v>0</v>
      </c>
    </row>
    <row r="1287" spans="1:16" x14ac:dyDescent="0.25">
      <c r="A1287" t="s">
        <v>3985</v>
      </c>
      <c r="B1287" t="s">
        <v>3950</v>
      </c>
      <c r="C1287" t="s">
        <v>3948</v>
      </c>
      <c r="H128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87" s="49">
        <f ca="1">IFERROR(WEEKNUM(CRC_War_Room_SIMs[[#This Row],[Ops Date]]), "N/A")</f>
        <v>28</v>
      </c>
      <c r="J128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8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8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87" s="50">
        <f>IF(AND(CRC_War_Room_SIMs[[#This Row],[CI]] = 0, CRC_War_Room_SIMs[[#This Row],[Miss]] = 1), 1, 0)</f>
        <v>0</v>
      </c>
      <c r="N128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8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87" s="50">
        <f>IF(AND(CRC_War_Room_SIMs[[#This Row],[Excluded]] = 0, OR(CRC_War_Room_SIMs[[#This Row],[SLA Miss]] &lt;&gt; "", ISNUMBER(SEARCH("SLA", CRC_War_Room_SIMs[[#This Row],[Labels]])))), 1, 0)</f>
        <v>0</v>
      </c>
    </row>
    <row r="1288" spans="1:16" x14ac:dyDescent="0.25">
      <c r="A1288" t="s">
        <v>3986</v>
      </c>
      <c r="B1288" t="s">
        <v>3954</v>
      </c>
      <c r="C1288" t="s">
        <v>3948</v>
      </c>
      <c r="H128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88" s="49">
        <f ca="1">IFERROR(WEEKNUM(CRC_War_Room_SIMs[[#This Row],[Ops Date]]), "N/A")</f>
        <v>28</v>
      </c>
      <c r="J128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8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8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88" s="50">
        <f>IF(AND(CRC_War_Room_SIMs[[#This Row],[CI]] = 0, CRC_War_Room_SIMs[[#This Row],[Miss]] = 1), 1, 0)</f>
        <v>0</v>
      </c>
      <c r="N128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8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88" s="50">
        <f>IF(AND(CRC_War_Room_SIMs[[#This Row],[Excluded]] = 0, OR(CRC_War_Room_SIMs[[#This Row],[SLA Miss]] &lt;&gt; "", ISNUMBER(SEARCH("SLA", CRC_War_Room_SIMs[[#This Row],[Labels]])))), 1, 0)</f>
        <v>0</v>
      </c>
    </row>
    <row r="1289" spans="1:16" x14ac:dyDescent="0.25">
      <c r="A1289" t="s">
        <v>3987</v>
      </c>
      <c r="B1289" t="s">
        <v>3947</v>
      </c>
      <c r="C1289" t="s">
        <v>3948</v>
      </c>
      <c r="H128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89" s="49">
        <f ca="1">IFERROR(WEEKNUM(CRC_War_Room_SIMs[[#This Row],[Ops Date]]), "N/A")</f>
        <v>28</v>
      </c>
      <c r="J128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8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8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89" s="50">
        <f>IF(AND(CRC_War_Room_SIMs[[#This Row],[CI]] = 0, CRC_War_Room_SIMs[[#This Row],[Miss]] = 1), 1, 0)</f>
        <v>0</v>
      </c>
      <c r="N128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8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89" s="50">
        <f>IF(AND(CRC_War_Room_SIMs[[#This Row],[Excluded]] = 0, OR(CRC_War_Room_SIMs[[#This Row],[SLA Miss]] &lt;&gt; "", ISNUMBER(SEARCH("SLA", CRC_War_Room_SIMs[[#This Row],[Labels]])))), 1, 0)</f>
        <v>0</v>
      </c>
    </row>
    <row r="1290" spans="1:16" x14ac:dyDescent="0.25">
      <c r="A1290" t="s">
        <v>3988</v>
      </c>
      <c r="B1290" t="s">
        <v>3853</v>
      </c>
      <c r="C1290" t="s">
        <v>3948</v>
      </c>
      <c r="H129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90" s="49">
        <f ca="1">IFERROR(WEEKNUM(CRC_War_Room_SIMs[[#This Row],[Ops Date]]), "N/A")</f>
        <v>28</v>
      </c>
      <c r="J129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9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9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90" s="50">
        <f>IF(AND(CRC_War_Room_SIMs[[#This Row],[CI]] = 0, CRC_War_Room_SIMs[[#This Row],[Miss]] = 1), 1, 0)</f>
        <v>0</v>
      </c>
      <c r="N129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9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90" s="50">
        <f>IF(AND(CRC_War_Room_SIMs[[#This Row],[Excluded]] = 0, OR(CRC_War_Room_SIMs[[#This Row],[SLA Miss]] &lt;&gt; "", ISNUMBER(SEARCH("SLA", CRC_War_Room_SIMs[[#This Row],[Labels]])))), 1, 0)</f>
        <v>0</v>
      </c>
    </row>
    <row r="1291" spans="1:16" x14ac:dyDescent="0.25">
      <c r="A1291" t="s">
        <v>3989</v>
      </c>
      <c r="B1291" t="s">
        <v>3954</v>
      </c>
      <c r="C1291" t="s">
        <v>3948</v>
      </c>
      <c r="H129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91" s="49">
        <f ca="1">IFERROR(WEEKNUM(CRC_War_Room_SIMs[[#This Row],[Ops Date]]), "N/A")</f>
        <v>28</v>
      </c>
      <c r="J129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9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9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91" s="50">
        <f>IF(AND(CRC_War_Room_SIMs[[#This Row],[CI]] = 0, CRC_War_Room_SIMs[[#This Row],[Miss]] = 1), 1, 0)</f>
        <v>0</v>
      </c>
      <c r="N129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9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91" s="50">
        <f>IF(AND(CRC_War_Room_SIMs[[#This Row],[Excluded]] = 0, OR(CRC_War_Room_SIMs[[#This Row],[SLA Miss]] &lt;&gt; "", ISNUMBER(SEARCH("SLA", CRC_War_Room_SIMs[[#This Row],[Labels]])))), 1, 0)</f>
        <v>0</v>
      </c>
    </row>
    <row r="1292" spans="1:16" x14ac:dyDescent="0.25">
      <c r="A1292" t="s">
        <v>3990</v>
      </c>
      <c r="B1292" t="s">
        <v>3950</v>
      </c>
      <c r="C1292" t="s">
        <v>3948</v>
      </c>
      <c r="H129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92" s="49">
        <f ca="1">IFERROR(WEEKNUM(CRC_War_Room_SIMs[[#This Row],[Ops Date]]), "N/A")</f>
        <v>28</v>
      </c>
      <c r="J129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9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9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92" s="50">
        <f>IF(AND(CRC_War_Room_SIMs[[#This Row],[CI]] = 0, CRC_War_Room_SIMs[[#This Row],[Miss]] = 1), 1, 0)</f>
        <v>0</v>
      </c>
      <c r="N129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9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92" s="50">
        <f>IF(AND(CRC_War_Room_SIMs[[#This Row],[Excluded]] = 0, OR(CRC_War_Room_SIMs[[#This Row],[SLA Miss]] &lt;&gt; "", ISNUMBER(SEARCH("SLA", CRC_War_Room_SIMs[[#This Row],[Labels]])))), 1, 0)</f>
        <v>0</v>
      </c>
    </row>
    <row r="1293" spans="1:16" x14ac:dyDescent="0.25">
      <c r="A1293" t="s">
        <v>3991</v>
      </c>
      <c r="B1293" t="s">
        <v>3947</v>
      </c>
      <c r="C1293" t="s">
        <v>3948</v>
      </c>
      <c r="H129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93" s="49">
        <f ca="1">IFERROR(WEEKNUM(CRC_War_Room_SIMs[[#This Row],[Ops Date]]), "N/A")</f>
        <v>28</v>
      </c>
      <c r="J129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9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9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93" s="50">
        <f>IF(AND(CRC_War_Room_SIMs[[#This Row],[CI]] = 0, CRC_War_Room_SIMs[[#This Row],[Miss]] = 1), 1, 0)</f>
        <v>0</v>
      </c>
      <c r="N129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9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93" s="50">
        <f>IF(AND(CRC_War_Room_SIMs[[#This Row],[Excluded]] = 0, OR(CRC_War_Room_SIMs[[#This Row],[SLA Miss]] &lt;&gt; "", ISNUMBER(SEARCH("SLA", CRC_War_Room_SIMs[[#This Row],[Labels]])))), 1, 0)</f>
        <v>0</v>
      </c>
    </row>
    <row r="1294" spans="1:16" x14ac:dyDescent="0.25">
      <c r="A1294" t="s">
        <v>3992</v>
      </c>
      <c r="B1294" t="s">
        <v>3954</v>
      </c>
      <c r="C1294" t="s">
        <v>3948</v>
      </c>
      <c r="H129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94" s="49">
        <f ca="1">IFERROR(WEEKNUM(CRC_War_Room_SIMs[[#This Row],[Ops Date]]), "N/A")</f>
        <v>28</v>
      </c>
      <c r="J129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9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9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94" s="50">
        <f>IF(AND(CRC_War_Room_SIMs[[#This Row],[CI]] = 0, CRC_War_Room_SIMs[[#This Row],[Miss]] = 1), 1, 0)</f>
        <v>0</v>
      </c>
      <c r="N129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9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94" s="50">
        <f>IF(AND(CRC_War_Room_SIMs[[#This Row],[Excluded]] = 0, OR(CRC_War_Room_SIMs[[#This Row],[SLA Miss]] &lt;&gt; "", ISNUMBER(SEARCH("SLA", CRC_War_Room_SIMs[[#This Row],[Labels]])))), 1, 0)</f>
        <v>0</v>
      </c>
    </row>
    <row r="1295" spans="1:16" x14ac:dyDescent="0.25">
      <c r="A1295" t="s">
        <v>3993</v>
      </c>
      <c r="B1295" t="s">
        <v>3947</v>
      </c>
      <c r="C1295" t="s">
        <v>3948</v>
      </c>
      <c r="H129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95" s="49">
        <f ca="1">IFERROR(WEEKNUM(CRC_War_Room_SIMs[[#This Row],[Ops Date]]), "N/A")</f>
        <v>28</v>
      </c>
      <c r="J129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9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9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95" s="50">
        <f>IF(AND(CRC_War_Room_SIMs[[#This Row],[CI]] = 0, CRC_War_Room_SIMs[[#This Row],[Miss]] = 1), 1, 0)</f>
        <v>0</v>
      </c>
      <c r="N129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9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95" s="50">
        <f>IF(AND(CRC_War_Room_SIMs[[#This Row],[Excluded]] = 0, OR(CRC_War_Room_SIMs[[#This Row],[SLA Miss]] &lt;&gt; "", ISNUMBER(SEARCH("SLA", CRC_War_Room_SIMs[[#This Row],[Labels]])))), 1, 0)</f>
        <v>0</v>
      </c>
    </row>
    <row r="1296" spans="1:16" x14ac:dyDescent="0.25">
      <c r="A1296" t="s">
        <v>3994</v>
      </c>
      <c r="B1296" t="s">
        <v>3950</v>
      </c>
      <c r="C1296" t="s">
        <v>3948</v>
      </c>
      <c r="H129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96" s="49">
        <f ca="1">IFERROR(WEEKNUM(CRC_War_Room_SIMs[[#This Row],[Ops Date]]), "N/A")</f>
        <v>28</v>
      </c>
      <c r="J129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9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9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96" s="50">
        <f>IF(AND(CRC_War_Room_SIMs[[#This Row],[CI]] = 0, CRC_War_Room_SIMs[[#This Row],[Miss]] = 1), 1, 0)</f>
        <v>0</v>
      </c>
      <c r="N129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9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96" s="50">
        <f>IF(AND(CRC_War_Room_SIMs[[#This Row],[Excluded]] = 0, OR(CRC_War_Room_SIMs[[#This Row],[SLA Miss]] &lt;&gt; "", ISNUMBER(SEARCH("SLA", CRC_War_Room_SIMs[[#This Row],[Labels]])))), 1, 0)</f>
        <v>0</v>
      </c>
    </row>
    <row r="1297" spans="1:16" x14ac:dyDescent="0.25">
      <c r="A1297" t="s">
        <v>3995</v>
      </c>
      <c r="B1297" t="s">
        <v>3954</v>
      </c>
      <c r="C1297" t="s">
        <v>3948</v>
      </c>
      <c r="H129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97" s="49">
        <f ca="1">IFERROR(WEEKNUM(CRC_War_Room_SIMs[[#This Row],[Ops Date]]), "N/A")</f>
        <v>28</v>
      </c>
      <c r="J129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9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9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97" s="50">
        <f>IF(AND(CRC_War_Room_SIMs[[#This Row],[CI]] = 0, CRC_War_Room_SIMs[[#This Row],[Miss]] = 1), 1, 0)</f>
        <v>0</v>
      </c>
      <c r="N129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9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97" s="50">
        <f>IF(AND(CRC_War_Room_SIMs[[#This Row],[Excluded]] = 0, OR(CRC_War_Room_SIMs[[#This Row],[SLA Miss]] &lt;&gt; "", ISNUMBER(SEARCH("SLA", CRC_War_Room_SIMs[[#This Row],[Labels]])))), 1, 0)</f>
        <v>0</v>
      </c>
    </row>
    <row r="1298" spans="1:16" x14ac:dyDescent="0.25">
      <c r="A1298" t="s">
        <v>3996</v>
      </c>
      <c r="B1298" t="s">
        <v>3853</v>
      </c>
      <c r="C1298" t="s">
        <v>3854</v>
      </c>
      <c r="H129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98" s="49">
        <f ca="1">IFERROR(WEEKNUM(CRC_War_Room_SIMs[[#This Row],[Ops Date]]), "N/A")</f>
        <v>28</v>
      </c>
      <c r="J129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9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29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298" s="50">
        <f>IF(AND(CRC_War_Room_SIMs[[#This Row],[CI]] = 0, CRC_War_Room_SIMs[[#This Row],[Miss]] = 1), 1, 0)</f>
        <v>0</v>
      </c>
      <c r="N129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9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98" s="50">
        <f>IF(AND(CRC_War_Room_SIMs[[#This Row],[Excluded]] = 0, OR(CRC_War_Room_SIMs[[#This Row],[SLA Miss]] &lt;&gt; "", ISNUMBER(SEARCH("SLA", CRC_War_Room_SIMs[[#This Row],[Labels]])))), 1, 0)</f>
        <v>0</v>
      </c>
    </row>
    <row r="1299" spans="1:16" x14ac:dyDescent="0.25">
      <c r="A1299" t="s">
        <v>3997</v>
      </c>
      <c r="B1299" t="s">
        <v>3952</v>
      </c>
      <c r="C1299" t="s">
        <v>3948</v>
      </c>
      <c r="H129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299" s="49">
        <f ca="1">IFERROR(WEEKNUM(CRC_War_Room_SIMs[[#This Row],[Ops Date]]), "N/A")</f>
        <v>28</v>
      </c>
      <c r="J129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29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29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299" s="50">
        <f>IF(AND(CRC_War_Room_SIMs[[#This Row],[CI]] = 0, CRC_War_Room_SIMs[[#This Row],[Miss]] = 1), 1, 0)</f>
        <v>0</v>
      </c>
      <c r="N129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29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299" s="50">
        <f>IF(AND(CRC_War_Room_SIMs[[#This Row],[Excluded]] = 0, OR(CRC_War_Room_SIMs[[#This Row],[SLA Miss]] &lt;&gt; "", ISNUMBER(SEARCH("SLA", CRC_War_Room_SIMs[[#This Row],[Labels]])))), 1, 0)</f>
        <v>0</v>
      </c>
    </row>
    <row r="1300" spans="1:16" x14ac:dyDescent="0.25">
      <c r="A1300" t="s">
        <v>3998</v>
      </c>
      <c r="B1300" t="s">
        <v>3954</v>
      </c>
      <c r="C1300" t="s">
        <v>3948</v>
      </c>
      <c r="H130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00" s="49">
        <f ca="1">IFERROR(WEEKNUM(CRC_War_Room_SIMs[[#This Row],[Ops Date]]), "N/A")</f>
        <v>28</v>
      </c>
      <c r="J130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0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0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00" s="50">
        <f>IF(AND(CRC_War_Room_SIMs[[#This Row],[CI]] = 0, CRC_War_Room_SIMs[[#This Row],[Miss]] = 1), 1, 0)</f>
        <v>0</v>
      </c>
      <c r="N130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0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00" s="50">
        <f>IF(AND(CRC_War_Room_SIMs[[#This Row],[Excluded]] = 0, OR(CRC_War_Room_SIMs[[#This Row],[SLA Miss]] &lt;&gt; "", ISNUMBER(SEARCH("SLA", CRC_War_Room_SIMs[[#This Row],[Labels]])))), 1, 0)</f>
        <v>0</v>
      </c>
    </row>
    <row r="1301" spans="1:16" x14ac:dyDescent="0.25">
      <c r="A1301" t="s">
        <v>3999</v>
      </c>
      <c r="B1301" t="s">
        <v>3956</v>
      </c>
      <c r="C1301" t="s">
        <v>3948</v>
      </c>
      <c r="H130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01" s="49">
        <f ca="1">IFERROR(WEEKNUM(CRC_War_Room_SIMs[[#This Row],[Ops Date]]), "N/A")</f>
        <v>28</v>
      </c>
      <c r="J130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0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0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01" s="50">
        <f>IF(AND(CRC_War_Room_SIMs[[#This Row],[CI]] = 0, CRC_War_Room_SIMs[[#This Row],[Miss]] = 1), 1, 0)</f>
        <v>0</v>
      </c>
      <c r="N130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0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01" s="50">
        <f>IF(AND(CRC_War_Room_SIMs[[#This Row],[Excluded]] = 0, OR(CRC_War_Room_SIMs[[#This Row],[SLA Miss]] &lt;&gt; "", ISNUMBER(SEARCH("SLA", CRC_War_Room_SIMs[[#This Row],[Labels]])))), 1, 0)</f>
        <v>0</v>
      </c>
    </row>
    <row r="1302" spans="1:16" x14ac:dyDescent="0.25">
      <c r="A1302" t="s">
        <v>4000</v>
      </c>
      <c r="B1302" t="s">
        <v>3958</v>
      </c>
      <c r="C1302" t="s">
        <v>3948</v>
      </c>
      <c r="H130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02" s="49">
        <f ca="1">IFERROR(WEEKNUM(CRC_War_Room_SIMs[[#This Row],[Ops Date]]), "N/A")</f>
        <v>28</v>
      </c>
      <c r="J130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0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0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02" s="50">
        <f>IF(AND(CRC_War_Room_SIMs[[#This Row],[CI]] = 0, CRC_War_Room_SIMs[[#This Row],[Miss]] = 1), 1, 0)</f>
        <v>0</v>
      </c>
      <c r="N130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0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02" s="50">
        <f>IF(AND(CRC_War_Room_SIMs[[#This Row],[Excluded]] = 0, OR(CRC_War_Room_SIMs[[#This Row],[SLA Miss]] &lt;&gt; "", ISNUMBER(SEARCH("SLA", CRC_War_Room_SIMs[[#This Row],[Labels]])))), 1, 0)</f>
        <v>0</v>
      </c>
    </row>
    <row r="1303" spans="1:16" x14ac:dyDescent="0.25">
      <c r="A1303" t="s">
        <v>4001</v>
      </c>
      <c r="B1303" t="s">
        <v>3944</v>
      </c>
      <c r="C1303" t="s">
        <v>3948</v>
      </c>
      <c r="H130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03" s="49">
        <f ca="1">IFERROR(WEEKNUM(CRC_War_Room_SIMs[[#This Row],[Ops Date]]), "N/A")</f>
        <v>28</v>
      </c>
      <c r="J130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0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0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03" s="50">
        <f>IF(AND(CRC_War_Room_SIMs[[#This Row],[CI]] = 0, CRC_War_Room_SIMs[[#This Row],[Miss]] = 1), 1, 0)</f>
        <v>0</v>
      </c>
      <c r="N130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0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03" s="50">
        <f>IF(AND(CRC_War_Room_SIMs[[#This Row],[Excluded]] = 0, OR(CRC_War_Room_SIMs[[#This Row],[SLA Miss]] &lt;&gt; "", ISNUMBER(SEARCH("SLA", CRC_War_Room_SIMs[[#This Row],[Labels]])))), 1, 0)</f>
        <v>0</v>
      </c>
    </row>
    <row r="1304" spans="1:16" x14ac:dyDescent="0.25">
      <c r="A1304" t="s">
        <v>4002</v>
      </c>
      <c r="B1304" t="s">
        <v>3944</v>
      </c>
      <c r="C1304" t="s">
        <v>3948</v>
      </c>
      <c r="H130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04" s="49">
        <f ca="1">IFERROR(WEEKNUM(CRC_War_Room_SIMs[[#This Row],[Ops Date]]), "N/A")</f>
        <v>28</v>
      </c>
      <c r="J130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0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0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04" s="50">
        <f>IF(AND(CRC_War_Room_SIMs[[#This Row],[CI]] = 0, CRC_War_Room_SIMs[[#This Row],[Miss]] = 1), 1, 0)</f>
        <v>0</v>
      </c>
      <c r="N130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0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04" s="50">
        <f>IF(AND(CRC_War_Room_SIMs[[#This Row],[Excluded]] = 0, OR(CRC_War_Room_SIMs[[#This Row],[SLA Miss]] &lt;&gt; "", ISNUMBER(SEARCH("SLA", CRC_War_Room_SIMs[[#This Row],[Labels]])))), 1, 0)</f>
        <v>0</v>
      </c>
    </row>
    <row r="1305" spans="1:16" x14ac:dyDescent="0.25">
      <c r="A1305" t="s">
        <v>4003</v>
      </c>
      <c r="B1305" t="s">
        <v>3956</v>
      </c>
      <c r="C1305" t="s">
        <v>3948</v>
      </c>
      <c r="H130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05" s="49">
        <f ca="1">IFERROR(WEEKNUM(CRC_War_Room_SIMs[[#This Row],[Ops Date]]), "N/A")</f>
        <v>28</v>
      </c>
      <c r="J130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0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0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05" s="50">
        <f>IF(AND(CRC_War_Room_SIMs[[#This Row],[CI]] = 0, CRC_War_Room_SIMs[[#This Row],[Miss]] = 1), 1, 0)</f>
        <v>0</v>
      </c>
      <c r="N130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0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05" s="50">
        <f>IF(AND(CRC_War_Room_SIMs[[#This Row],[Excluded]] = 0, OR(CRC_War_Room_SIMs[[#This Row],[SLA Miss]] &lt;&gt; "", ISNUMBER(SEARCH("SLA", CRC_War_Room_SIMs[[#This Row],[Labels]])))), 1, 0)</f>
        <v>0</v>
      </c>
    </row>
    <row r="1306" spans="1:16" x14ac:dyDescent="0.25">
      <c r="A1306" t="s">
        <v>4004</v>
      </c>
      <c r="B1306" t="s">
        <v>3958</v>
      </c>
      <c r="C1306" t="s">
        <v>3948</v>
      </c>
      <c r="H130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06" s="49">
        <f ca="1">IFERROR(WEEKNUM(CRC_War_Room_SIMs[[#This Row],[Ops Date]]), "N/A")</f>
        <v>28</v>
      </c>
      <c r="J130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0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0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06" s="50">
        <f>IF(AND(CRC_War_Room_SIMs[[#This Row],[CI]] = 0, CRC_War_Room_SIMs[[#This Row],[Miss]] = 1), 1, 0)</f>
        <v>0</v>
      </c>
      <c r="N130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0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06" s="50">
        <f>IF(AND(CRC_War_Room_SIMs[[#This Row],[Excluded]] = 0, OR(CRC_War_Room_SIMs[[#This Row],[SLA Miss]] &lt;&gt; "", ISNUMBER(SEARCH("SLA", CRC_War_Room_SIMs[[#This Row],[Labels]])))), 1, 0)</f>
        <v>0</v>
      </c>
    </row>
    <row r="1307" spans="1:16" x14ac:dyDescent="0.25">
      <c r="A1307" t="s">
        <v>4005</v>
      </c>
      <c r="B1307" t="s">
        <v>3950</v>
      </c>
      <c r="C1307" t="s">
        <v>3948</v>
      </c>
      <c r="H130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07" s="49">
        <f ca="1">IFERROR(WEEKNUM(CRC_War_Room_SIMs[[#This Row],[Ops Date]]), "N/A")</f>
        <v>28</v>
      </c>
      <c r="J130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0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0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07" s="50">
        <f>IF(AND(CRC_War_Room_SIMs[[#This Row],[CI]] = 0, CRC_War_Room_SIMs[[#This Row],[Miss]] = 1), 1, 0)</f>
        <v>0</v>
      </c>
      <c r="N130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0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07" s="50">
        <f>IF(AND(CRC_War_Room_SIMs[[#This Row],[Excluded]] = 0, OR(CRC_War_Room_SIMs[[#This Row],[SLA Miss]] &lt;&gt; "", ISNUMBER(SEARCH("SLA", CRC_War_Room_SIMs[[#This Row],[Labels]])))), 1, 0)</f>
        <v>0</v>
      </c>
    </row>
    <row r="1308" spans="1:16" x14ac:dyDescent="0.25">
      <c r="A1308" t="s">
        <v>4006</v>
      </c>
      <c r="B1308" t="s">
        <v>3947</v>
      </c>
      <c r="C1308" t="s">
        <v>3948</v>
      </c>
      <c r="H130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08" s="49">
        <f ca="1">IFERROR(WEEKNUM(CRC_War_Room_SIMs[[#This Row],[Ops Date]]), "N/A")</f>
        <v>28</v>
      </c>
      <c r="J130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0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0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08" s="50">
        <f>IF(AND(CRC_War_Room_SIMs[[#This Row],[CI]] = 0, CRC_War_Room_SIMs[[#This Row],[Miss]] = 1), 1, 0)</f>
        <v>0</v>
      </c>
      <c r="N130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0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08" s="50">
        <f>IF(AND(CRC_War_Room_SIMs[[#This Row],[Excluded]] = 0, OR(CRC_War_Room_SIMs[[#This Row],[SLA Miss]] &lt;&gt; "", ISNUMBER(SEARCH("SLA", CRC_War_Room_SIMs[[#This Row],[Labels]])))), 1, 0)</f>
        <v>0</v>
      </c>
    </row>
    <row r="1309" spans="1:16" x14ac:dyDescent="0.25">
      <c r="A1309" t="s">
        <v>4007</v>
      </c>
      <c r="B1309" t="s">
        <v>3954</v>
      </c>
      <c r="C1309" t="s">
        <v>3948</v>
      </c>
      <c r="H130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09" s="49">
        <f ca="1">IFERROR(WEEKNUM(CRC_War_Room_SIMs[[#This Row],[Ops Date]]), "N/A")</f>
        <v>28</v>
      </c>
      <c r="J130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0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0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09" s="50">
        <f>IF(AND(CRC_War_Room_SIMs[[#This Row],[CI]] = 0, CRC_War_Room_SIMs[[#This Row],[Miss]] = 1), 1, 0)</f>
        <v>0</v>
      </c>
      <c r="N130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0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09" s="50">
        <f>IF(AND(CRC_War_Room_SIMs[[#This Row],[Excluded]] = 0, OR(CRC_War_Room_SIMs[[#This Row],[SLA Miss]] &lt;&gt; "", ISNUMBER(SEARCH("SLA", CRC_War_Room_SIMs[[#This Row],[Labels]])))), 1, 0)</f>
        <v>0</v>
      </c>
    </row>
    <row r="1310" spans="1:16" x14ac:dyDescent="0.25">
      <c r="A1310" t="s">
        <v>4008</v>
      </c>
      <c r="B1310" t="s">
        <v>3950</v>
      </c>
      <c r="C1310" t="s">
        <v>3948</v>
      </c>
      <c r="H131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10" s="49">
        <f ca="1">IFERROR(WEEKNUM(CRC_War_Room_SIMs[[#This Row],[Ops Date]]), "N/A")</f>
        <v>28</v>
      </c>
      <c r="J131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1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1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10" s="50">
        <f>IF(AND(CRC_War_Room_SIMs[[#This Row],[CI]] = 0, CRC_War_Room_SIMs[[#This Row],[Miss]] = 1), 1, 0)</f>
        <v>0</v>
      </c>
      <c r="N131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1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10" s="50">
        <f>IF(AND(CRC_War_Room_SIMs[[#This Row],[Excluded]] = 0, OR(CRC_War_Room_SIMs[[#This Row],[SLA Miss]] &lt;&gt; "", ISNUMBER(SEARCH("SLA", CRC_War_Room_SIMs[[#This Row],[Labels]])))), 1, 0)</f>
        <v>0</v>
      </c>
    </row>
    <row r="1311" spans="1:16" x14ac:dyDescent="0.25">
      <c r="A1311" t="s">
        <v>4009</v>
      </c>
      <c r="B1311" t="s">
        <v>3952</v>
      </c>
      <c r="C1311" t="s">
        <v>3948</v>
      </c>
      <c r="H131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11" s="49">
        <f ca="1">IFERROR(WEEKNUM(CRC_War_Room_SIMs[[#This Row],[Ops Date]]), "N/A")</f>
        <v>28</v>
      </c>
      <c r="J131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1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1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11" s="50">
        <f>IF(AND(CRC_War_Room_SIMs[[#This Row],[CI]] = 0, CRC_War_Room_SIMs[[#This Row],[Miss]] = 1), 1, 0)</f>
        <v>0</v>
      </c>
      <c r="N131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1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11" s="50">
        <f>IF(AND(CRC_War_Room_SIMs[[#This Row],[Excluded]] = 0, OR(CRC_War_Room_SIMs[[#This Row],[SLA Miss]] &lt;&gt; "", ISNUMBER(SEARCH("SLA", CRC_War_Room_SIMs[[#This Row],[Labels]])))), 1, 0)</f>
        <v>0</v>
      </c>
    </row>
    <row r="1312" spans="1:16" x14ac:dyDescent="0.25">
      <c r="A1312" t="s">
        <v>4010</v>
      </c>
      <c r="B1312" t="s">
        <v>3944</v>
      </c>
      <c r="C1312" t="s">
        <v>3948</v>
      </c>
      <c r="H131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12" s="49">
        <f ca="1">IFERROR(WEEKNUM(CRC_War_Room_SIMs[[#This Row],[Ops Date]]), "N/A")</f>
        <v>28</v>
      </c>
      <c r="J131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1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1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12" s="50">
        <f>IF(AND(CRC_War_Room_SIMs[[#This Row],[CI]] = 0, CRC_War_Room_SIMs[[#This Row],[Miss]] = 1), 1, 0)</f>
        <v>0</v>
      </c>
      <c r="N131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1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12" s="50">
        <f>IF(AND(CRC_War_Room_SIMs[[#This Row],[Excluded]] = 0, OR(CRC_War_Room_SIMs[[#This Row],[SLA Miss]] &lt;&gt; "", ISNUMBER(SEARCH("SLA", CRC_War_Room_SIMs[[#This Row],[Labels]])))), 1, 0)</f>
        <v>0</v>
      </c>
    </row>
    <row r="1313" spans="1:16" x14ac:dyDescent="0.25">
      <c r="A1313" t="s">
        <v>4011</v>
      </c>
      <c r="B1313" t="s">
        <v>3956</v>
      </c>
      <c r="C1313" t="s">
        <v>3948</v>
      </c>
      <c r="H131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13" s="49">
        <f ca="1">IFERROR(WEEKNUM(CRC_War_Room_SIMs[[#This Row],[Ops Date]]), "N/A")</f>
        <v>28</v>
      </c>
      <c r="J131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1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1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13" s="50">
        <f>IF(AND(CRC_War_Room_SIMs[[#This Row],[CI]] = 0, CRC_War_Room_SIMs[[#This Row],[Miss]] = 1), 1, 0)</f>
        <v>0</v>
      </c>
      <c r="N131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1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13" s="50">
        <f>IF(AND(CRC_War_Room_SIMs[[#This Row],[Excluded]] = 0, OR(CRC_War_Room_SIMs[[#This Row],[SLA Miss]] &lt;&gt; "", ISNUMBER(SEARCH("SLA", CRC_War_Room_SIMs[[#This Row],[Labels]])))), 1, 0)</f>
        <v>0</v>
      </c>
    </row>
    <row r="1314" spans="1:16" x14ac:dyDescent="0.25">
      <c r="A1314" t="s">
        <v>4012</v>
      </c>
      <c r="B1314" t="s">
        <v>3958</v>
      </c>
      <c r="C1314" t="s">
        <v>3948</v>
      </c>
      <c r="H131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14" s="49">
        <f ca="1">IFERROR(WEEKNUM(CRC_War_Room_SIMs[[#This Row],[Ops Date]]), "N/A")</f>
        <v>28</v>
      </c>
      <c r="J131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1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1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14" s="50">
        <f>IF(AND(CRC_War_Room_SIMs[[#This Row],[CI]] = 0, CRC_War_Room_SIMs[[#This Row],[Miss]] = 1), 1, 0)</f>
        <v>0</v>
      </c>
      <c r="N131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1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14" s="50">
        <f>IF(AND(CRC_War_Room_SIMs[[#This Row],[Excluded]] = 0, OR(CRC_War_Room_SIMs[[#This Row],[SLA Miss]] &lt;&gt; "", ISNUMBER(SEARCH("SLA", CRC_War_Room_SIMs[[#This Row],[Labels]])))), 1, 0)</f>
        <v>0</v>
      </c>
    </row>
    <row r="1315" spans="1:16" x14ac:dyDescent="0.25">
      <c r="A1315" t="s">
        <v>4013</v>
      </c>
      <c r="B1315" t="s">
        <v>3944</v>
      </c>
      <c r="C1315" t="s">
        <v>3948</v>
      </c>
      <c r="H131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15" s="49">
        <f ca="1">IFERROR(WEEKNUM(CRC_War_Room_SIMs[[#This Row],[Ops Date]]), "N/A")</f>
        <v>28</v>
      </c>
      <c r="J131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1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1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15" s="50">
        <f>IF(AND(CRC_War_Room_SIMs[[#This Row],[CI]] = 0, CRC_War_Room_SIMs[[#This Row],[Miss]] = 1), 1, 0)</f>
        <v>0</v>
      </c>
      <c r="N131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1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15" s="50">
        <f>IF(AND(CRC_War_Room_SIMs[[#This Row],[Excluded]] = 0, OR(CRC_War_Room_SIMs[[#This Row],[SLA Miss]] &lt;&gt; "", ISNUMBER(SEARCH("SLA", CRC_War_Room_SIMs[[#This Row],[Labels]])))), 1, 0)</f>
        <v>0</v>
      </c>
    </row>
    <row r="1316" spans="1:16" x14ac:dyDescent="0.25">
      <c r="A1316" t="s">
        <v>4014</v>
      </c>
      <c r="B1316" t="s">
        <v>3944</v>
      </c>
      <c r="C1316" t="s">
        <v>3948</v>
      </c>
      <c r="H131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16" s="49">
        <f ca="1">IFERROR(WEEKNUM(CRC_War_Room_SIMs[[#This Row],[Ops Date]]), "N/A")</f>
        <v>28</v>
      </c>
      <c r="J131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1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1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16" s="50">
        <f>IF(AND(CRC_War_Room_SIMs[[#This Row],[CI]] = 0, CRC_War_Room_SIMs[[#This Row],[Miss]] = 1), 1, 0)</f>
        <v>0</v>
      </c>
      <c r="N131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1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16" s="50">
        <f>IF(AND(CRC_War_Room_SIMs[[#This Row],[Excluded]] = 0, OR(CRC_War_Room_SIMs[[#This Row],[SLA Miss]] &lt;&gt; "", ISNUMBER(SEARCH("SLA", CRC_War_Room_SIMs[[#This Row],[Labels]])))), 1, 0)</f>
        <v>0</v>
      </c>
    </row>
    <row r="1317" spans="1:16" x14ac:dyDescent="0.25">
      <c r="A1317" t="s">
        <v>4015</v>
      </c>
      <c r="B1317" t="s">
        <v>3956</v>
      </c>
      <c r="C1317" t="s">
        <v>3948</v>
      </c>
      <c r="H131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17" s="49">
        <f ca="1">IFERROR(WEEKNUM(CRC_War_Room_SIMs[[#This Row],[Ops Date]]), "N/A")</f>
        <v>28</v>
      </c>
      <c r="J131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1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1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17" s="50">
        <f>IF(AND(CRC_War_Room_SIMs[[#This Row],[CI]] = 0, CRC_War_Room_SIMs[[#This Row],[Miss]] = 1), 1, 0)</f>
        <v>0</v>
      </c>
      <c r="N131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1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17" s="50">
        <f>IF(AND(CRC_War_Room_SIMs[[#This Row],[Excluded]] = 0, OR(CRC_War_Room_SIMs[[#This Row],[SLA Miss]] &lt;&gt; "", ISNUMBER(SEARCH("SLA", CRC_War_Room_SIMs[[#This Row],[Labels]])))), 1, 0)</f>
        <v>0</v>
      </c>
    </row>
    <row r="1318" spans="1:16" x14ac:dyDescent="0.25">
      <c r="A1318" t="s">
        <v>4016</v>
      </c>
      <c r="B1318" t="s">
        <v>3956</v>
      </c>
      <c r="C1318" t="s">
        <v>3948</v>
      </c>
      <c r="H131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18" s="49">
        <f ca="1">IFERROR(WEEKNUM(CRC_War_Room_SIMs[[#This Row],[Ops Date]]), "N/A")</f>
        <v>28</v>
      </c>
      <c r="J131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1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1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18" s="50">
        <f>IF(AND(CRC_War_Room_SIMs[[#This Row],[CI]] = 0, CRC_War_Room_SIMs[[#This Row],[Miss]] = 1), 1, 0)</f>
        <v>0</v>
      </c>
      <c r="N131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1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18" s="50">
        <f>IF(AND(CRC_War_Room_SIMs[[#This Row],[Excluded]] = 0, OR(CRC_War_Room_SIMs[[#This Row],[SLA Miss]] &lt;&gt; "", ISNUMBER(SEARCH("SLA", CRC_War_Room_SIMs[[#This Row],[Labels]])))), 1, 0)</f>
        <v>0</v>
      </c>
    </row>
    <row r="1319" spans="1:16" x14ac:dyDescent="0.25">
      <c r="A1319" t="s">
        <v>4017</v>
      </c>
      <c r="B1319" t="s">
        <v>3958</v>
      </c>
      <c r="C1319" t="s">
        <v>3948</v>
      </c>
      <c r="H131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19" s="49">
        <f ca="1">IFERROR(WEEKNUM(CRC_War_Room_SIMs[[#This Row],[Ops Date]]), "N/A")</f>
        <v>28</v>
      </c>
      <c r="J131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1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1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19" s="50">
        <f>IF(AND(CRC_War_Room_SIMs[[#This Row],[CI]] = 0, CRC_War_Room_SIMs[[#This Row],[Miss]] = 1), 1, 0)</f>
        <v>0</v>
      </c>
      <c r="N131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1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19" s="50">
        <f>IF(AND(CRC_War_Room_SIMs[[#This Row],[Excluded]] = 0, OR(CRC_War_Room_SIMs[[#This Row],[SLA Miss]] &lt;&gt; "", ISNUMBER(SEARCH("SLA", CRC_War_Room_SIMs[[#This Row],[Labels]])))), 1, 0)</f>
        <v>0</v>
      </c>
    </row>
    <row r="1320" spans="1:16" x14ac:dyDescent="0.25">
      <c r="A1320" t="s">
        <v>4018</v>
      </c>
      <c r="B1320" t="s">
        <v>3958</v>
      </c>
      <c r="C1320" t="s">
        <v>2313</v>
      </c>
      <c r="H132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20" s="49">
        <f ca="1">IFERROR(WEEKNUM(CRC_War_Room_SIMs[[#This Row],[Ops Date]]), "N/A")</f>
        <v>28</v>
      </c>
      <c r="J132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2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2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20" s="50">
        <f>IF(AND(CRC_War_Room_SIMs[[#This Row],[CI]] = 0, CRC_War_Room_SIMs[[#This Row],[Miss]] = 1), 1, 0)</f>
        <v>0</v>
      </c>
      <c r="N132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2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20" s="50">
        <f>IF(AND(CRC_War_Room_SIMs[[#This Row],[Excluded]] = 0, OR(CRC_War_Room_SIMs[[#This Row],[SLA Miss]] &lt;&gt; "", ISNUMBER(SEARCH("SLA", CRC_War_Room_SIMs[[#This Row],[Labels]])))), 1, 0)</f>
        <v>0</v>
      </c>
    </row>
    <row r="1321" spans="1:16" x14ac:dyDescent="0.25">
      <c r="A1321" t="s">
        <v>4019</v>
      </c>
      <c r="B1321" t="s">
        <v>3944</v>
      </c>
      <c r="C1321" t="s">
        <v>3948</v>
      </c>
      <c r="H132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21" s="49">
        <f ca="1">IFERROR(WEEKNUM(CRC_War_Room_SIMs[[#This Row],[Ops Date]]), "N/A")</f>
        <v>28</v>
      </c>
      <c r="J132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2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2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21" s="50">
        <f>IF(AND(CRC_War_Room_SIMs[[#This Row],[CI]] = 0, CRC_War_Room_SIMs[[#This Row],[Miss]] = 1), 1, 0)</f>
        <v>0</v>
      </c>
      <c r="N132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2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21" s="50">
        <f>IF(AND(CRC_War_Room_SIMs[[#This Row],[Excluded]] = 0, OR(CRC_War_Room_SIMs[[#This Row],[SLA Miss]] &lt;&gt; "", ISNUMBER(SEARCH("SLA", CRC_War_Room_SIMs[[#This Row],[Labels]])))), 1, 0)</f>
        <v>0</v>
      </c>
    </row>
    <row r="1322" spans="1:16" x14ac:dyDescent="0.25">
      <c r="A1322" t="s">
        <v>4020</v>
      </c>
      <c r="B1322" t="s">
        <v>3950</v>
      </c>
      <c r="C1322" t="s">
        <v>3948</v>
      </c>
      <c r="H132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22" s="49">
        <f ca="1">IFERROR(WEEKNUM(CRC_War_Room_SIMs[[#This Row],[Ops Date]]), "N/A")</f>
        <v>28</v>
      </c>
      <c r="J132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2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2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22" s="50">
        <f>IF(AND(CRC_War_Room_SIMs[[#This Row],[CI]] = 0, CRC_War_Room_SIMs[[#This Row],[Miss]] = 1), 1, 0)</f>
        <v>0</v>
      </c>
      <c r="N132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2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22" s="50">
        <f>IF(AND(CRC_War_Room_SIMs[[#This Row],[Excluded]] = 0, OR(CRC_War_Room_SIMs[[#This Row],[SLA Miss]] &lt;&gt; "", ISNUMBER(SEARCH("SLA", CRC_War_Room_SIMs[[#This Row],[Labels]])))), 1, 0)</f>
        <v>0</v>
      </c>
    </row>
    <row r="1323" spans="1:16" x14ac:dyDescent="0.25">
      <c r="A1323" t="s">
        <v>4021</v>
      </c>
      <c r="B1323" t="s">
        <v>3853</v>
      </c>
      <c r="C1323" t="s">
        <v>3948</v>
      </c>
      <c r="H132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23" s="49">
        <f ca="1">IFERROR(WEEKNUM(CRC_War_Room_SIMs[[#This Row],[Ops Date]]), "N/A")</f>
        <v>28</v>
      </c>
      <c r="J132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2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2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23" s="50">
        <f>IF(AND(CRC_War_Room_SIMs[[#This Row],[CI]] = 0, CRC_War_Room_SIMs[[#This Row],[Miss]] = 1), 1, 0)</f>
        <v>0</v>
      </c>
      <c r="N132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2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23" s="50">
        <f>IF(AND(CRC_War_Room_SIMs[[#This Row],[Excluded]] = 0, OR(CRC_War_Room_SIMs[[#This Row],[SLA Miss]] &lt;&gt; "", ISNUMBER(SEARCH("SLA", CRC_War_Room_SIMs[[#This Row],[Labels]])))), 1, 0)</f>
        <v>0</v>
      </c>
    </row>
    <row r="1324" spans="1:16" x14ac:dyDescent="0.25">
      <c r="A1324" t="s">
        <v>4022</v>
      </c>
      <c r="B1324" t="s">
        <v>3947</v>
      </c>
      <c r="C1324" t="s">
        <v>3948</v>
      </c>
      <c r="H132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24" s="49">
        <f ca="1">IFERROR(WEEKNUM(CRC_War_Room_SIMs[[#This Row],[Ops Date]]), "N/A")</f>
        <v>28</v>
      </c>
      <c r="J132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2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2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24" s="50">
        <f>IF(AND(CRC_War_Room_SIMs[[#This Row],[CI]] = 0, CRC_War_Room_SIMs[[#This Row],[Miss]] = 1), 1, 0)</f>
        <v>0</v>
      </c>
      <c r="N132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2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24" s="50">
        <f>IF(AND(CRC_War_Room_SIMs[[#This Row],[Excluded]] = 0, OR(CRC_War_Room_SIMs[[#This Row],[SLA Miss]] &lt;&gt; "", ISNUMBER(SEARCH("SLA", CRC_War_Room_SIMs[[#This Row],[Labels]])))), 1, 0)</f>
        <v>0</v>
      </c>
    </row>
    <row r="1325" spans="1:16" x14ac:dyDescent="0.25">
      <c r="A1325" t="s">
        <v>4023</v>
      </c>
      <c r="B1325" t="s">
        <v>3954</v>
      </c>
      <c r="C1325" t="s">
        <v>3948</v>
      </c>
      <c r="H132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25" s="49">
        <f ca="1">IFERROR(WEEKNUM(CRC_War_Room_SIMs[[#This Row],[Ops Date]]), "N/A")</f>
        <v>28</v>
      </c>
      <c r="J132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2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2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25" s="50">
        <f>IF(AND(CRC_War_Room_SIMs[[#This Row],[CI]] = 0, CRC_War_Room_SIMs[[#This Row],[Miss]] = 1), 1, 0)</f>
        <v>0</v>
      </c>
      <c r="N132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2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25" s="50">
        <f>IF(AND(CRC_War_Room_SIMs[[#This Row],[Excluded]] = 0, OR(CRC_War_Room_SIMs[[#This Row],[SLA Miss]] &lt;&gt; "", ISNUMBER(SEARCH("SLA", CRC_War_Room_SIMs[[#This Row],[Labels]])))), 1, 0)</f>
        <v>0</v>
      </c>
    </row>
    <row r="1326" spans="1:16" x14ac:dyDescent="0.25">
      <c r="A1326" t="s">
        <v>4024</v>
      </c>
      <c r="B1326" t="s">
        <v>3956</v>
      </c>
      <c r="C1326" t="s">
        <v>3948</v>
      </c>
      <c r="H132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26" s="49">
        <f ca="1">IFERROR(WEEKNUM(CRC_War_Room_SIMs[[#This Row],[Ops Date]]), "N/A")</f>
        <v>28</v>
      </c>
      <c r="J132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2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2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26" s="50">
        <f>IF(AND(CRC_War_Room_SIMs[[#This Row],[CI]] = 0, CRC_War_Room_SIMs[[#This Row],[Miss]] = 1), 1, 0)</f>
        <v>0</v>
      </c>
      <c r="N132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2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26" s="50">
        <f>IF(AND(CRC_War_Room_SIMs[[#This Row],[Excluded]] = 0, OR(CRC_War_Room_SIMs[[#This Row],[SLA Miss]] &lt;&gt; "", ISNUMBER(SEARCH("SLA", CRC_War_Room_SIMs[[#This Row],[Labels]])))), 1, 0)</f>
        <v>0</v>
      </c>
    </row>
    <row r="1327" spans="1:16" x14ac:dyDescent="0.25">
      <c r="A1327" t="s">
        <v>4025</v>
      </c>
      <c r="B1327" t="s">
        <v>3958</v>
      </c>
      <c r="C1327" t="s">
        <v>3948</v>
      </c>
      <c r="H132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27" s="49">
        <f ca="1">IFERROR(WEEKNUM(CRC_War_Room_SIMs[[#This Row],[Ops Date]]), "N/A")</f>
        <v>28</v>
      </c>
      <c r="J132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2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2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27" s="50">
        <f>IF(AND(CRC_War_Room_SIMs[[#This Row],[CI]] = 0, CRC_War_Room_SIMs[[#This Row],[Miss]] = 1), 1, 0)</f>
        <v>0</v>
      </c>
      <c r="N132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2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27" s="50">
        <f>IF(AND(CRC_War_Room_SIMs[[#This Row],[Excluded]] = 0, OR(CRC_War_Room_SIMs[[#This Row],[SLA Miss]] &lt;&gt; "", ISNUMBER(SEARCH("SLA", CRC_War_Room_SIMs[[#This Row],[Labels]])))), 1, 0)</f>
        <v>0</v>
      </c>
    </row>
    <row r="1328" spans="1:16" x14ac:dyDescent="0.25">
      <c r="A1328" t="s">
        <v>4026</v>
      </c>
      <c r="B1328" t="s">
        <v>3944</v>
      </c>
      <c r="C1328" t="s">
        <v>3948</v>
      </c>
      <c r="H132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28" s="49">
        <f ca="1">IFERROR(WEEKNUM(CRC_War_Room_SIMs[[#This Row],[Ops Date]]), "N/A")</f>
        <v>28</v>
      </c>
      <c r="J132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2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2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28" s="50">
        <f>IF(AND(CRC_War_Room_SIMs[[#This Row],[CI]] = 0, CRC_War_Room_SIMs[[#This Row],[Miss]] = 1), 1, 0)</f>
        <v>0</v>
      </c>
      <c r="N132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2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28" s="50">
        <f>IF(AND(CRC_War_Room_SIMs[[#This Row],[Excluded]] = 0, OR(CRC_War_Room_SIMs[[#This Row],[SLA Miss]] &lt;&gt; "", ISNUMBER(SEARCH("SLA", CRC_War_Room_SIMs[[#This Row],[Labels]])))), 1, 0)</f>
        <v>0</v>
      </c>
    </row>
    <row r="1329" spans="1:16" x14ac:dyDescent="0.25">
      <c r="A1329" t="s">
        <v>4027</v>
      </c>
      <c r="B1329" t="s">
        <v>3956</v>
      </c>
      <c r="C1329" t="s">
        <v>3948</v>
      </c>
      <c r="H132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29" s="49">
        <f ca="1">IFERROR(WEEKNUM(CRC_War_Room_SIMs[[#This Row],[Ops Date]]), "N/A")</f>
        <v>28</v>
      </c>
      <c r="J132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2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2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29" s="50">
        <f>IF(AND(CRC_War_Room_SIMs[[#This Row],[CI]] = 0, CRC_War_Room_SIMs[[#This Row],[Miss]] = 1), 1, 0)</f>
        <v>0</v>
      </c>
      <c r="N132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2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29" s="50">
        <f>IF(AND(CRC_War_Room_SIMs[[#This Row],[Excluded]] = 0, OR(CRC_War_Room_SIMs[[#This Row],[SLA Miss]] &lt;&gt; "", ISNUMBER(SEARCH("SLA", CRC_War_Room_SIMs[[#This Row],[Labels]])))), 1, 0)</f>
        <v>0</v>
      </c>
    </row>
    <row r="1330" spans="1:16" x14ac:dyDescent="0.25">
      <c r="A1330" t="s">
        <v>4028</v>
      </c>
      <c r="B1330" t="s">
        <v>3958</v>
      </c>
      <c r="C1330" t="s">
        <v>3948</v>
      </c>
      <c r="H133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30" s="49">
        <f ca="1">IFERROR(WEEKNUM(CRC_War_Room_SIMs[[#This Row],[Ops Date]]), "N/A")</f>
        <v>28</v>
      </c>
      <c r="J133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3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3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30" s="50">
        <f>IF(AND(CRC_War_Room_SIMs[[#This Row],[CI]] = 0, CRC_War_Room_SIMs[[#This Row],[Miss]] = 1), 1, 0)</f>
        <v>0</v>
      </c>
      <c r="N133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3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30" s="50">
        <f>IF(AND(CRC_War_Room_SIMs[[#This Row],[Excluded]] = 0, OR(CRC_War_Room_SIMs[[#This Row],[SLA Miss]] &lt;&gt; "", ISNUMBER(SEARCH("SLA", CRC_War_Room_SIMs[[#This Row],[Labels]])))), 1, 0)</f>
        <v>0</v>
      </c>
    </row>
    <row r="1331" spans="1:16" x14ac:dyDescent="0.25">
      <c r="A1331" t="s">
        <v>4029</v>
      </c>
      <c r="B1331" t="s">
        <v>3952</v>
      </c>
      <c r="C1331" t="s">
        <v>3948</v>
      </c>
      <c r="H133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31" s="49">
        <f ca="1">IFERROR(WEEKNUM(CRC_War_Room_SIMs[[#This Row],[Ops Date]]), "N/A")</f>
        <v>28</v>
      </c>
      <c r="J133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3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3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31" s="50">
        <f>IF(AND(CRC_War_Room_SIMs[[#This Row],[CI]] = 0, CRC_War_Room_SIMs[[#This Row],[Miss]] = 1), 1, 0)</f>
        <v>0</v>
      </c>
      <c r="N133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3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31" s="50">
        <f>IF(AND(CRC_War_Room_SIMs[[#This Row],[Excluded]] = 0, OR(CRC_War_Room_SIMs[[#This Row],[SLA Miss]] &lt;&gt; "", ISNUMBER(SEARCH("SLA", CRC_War_Room_SIMs[[#This Row],[Labels]])))), 1, 0)</f>
        <v>0</v>
      </c>
    </row>
    <row r="1332" spans="1:16" x14ac:dyDescent="0.25">
      <c r="A1332" t="s">
        <v>4030</v>
      </c>
      <c r="B1332" t="s">
        <v>3958</v>
      </c>
      <c r="C1332" t="s">
        <v>3948</v>
      </c>
      <c r="H133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32" s="49">
        <f ca="1">IFERROR(WEEKNUM(CRC_War_Room_SIMs[[#This Row],[Ops Date]]), "N/A")</f>
        <v>28</v>
      </c>
      <c r="J133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3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3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32" s="50">
        <f>IF(AND(CRC_War_Room_SIMs[[#This Row],[CI]] = 0, CRC_War_Room_SIMs[[#This Row],[Miss]] = 1), 1, 0)</f>
        <v>0</v>
      </c>
      <c r="N133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3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32" s="50">
        <f>IF(AND(CRC_War_Room_SIMs[[#This Row],[Excluded]] = 0, OR(CRC_War_Room_SIMs[[#This Row],[SLA Miss]] &lt;&gt; "", ISNUMBER(SEARCH("SLA", CRC_War_Room_SIMs[[#This Row],[Labels]])))), 1, 0)</f>
        <v>0</v>
      </c>
    </row>
    <row r="1333" spans="1:16" x14ac:dyDescent="0.25">
      <c r="A1333" t="s">
        <v>4031</v>
      </c>
      <c r="B1333" t="s">
        <v>3956</v>
      </c>
      <c r="C1333" t="s">
        <v>3948</v>
      </c>
      <c r="H133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33" s="49">
        <f ca="1">IFERROR(WEEKNUM(CRC_War_Room_SIMs[[#This Row],[Ops Date]]), "N/A")</f>
        <v>28</v>
      </c>
      <c r="J133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3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3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33" s="50">
        <f>IF(AND(CRC_War_Room_SIMs[[#This Row],[CI]] = 0, CRC_War_Room_SIMs[[#This Row],[Miss]] = 1), 1, 0)</f>
        <v>0</v>
      </c>
      <c r="N133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3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33" s="50">
        <f>IF(AND(CRC_War_Room_SIMs[[#This Row],[Excluded]] = 0, OR(CRC_War_Room_SIMs[[#This Row],[SLA Miss]] &lt;&gt; "", ISNUMBER(SEARCH("SLA", CRC_War_Room_SIMs[[#This Row],[Labels]])))), 1, 0)</f>
        <v>0</v>
      </c>
    </row>
    <row r="1334" spans="1:16" x14ac:dyDescent="0.25">
      <c r="A1334" t="s">
        <v>4032</v>
      </c>
      <c r="B1334" t="s">
        <v>3944</v>
      </c>
      <c r="C1334" t="s">
        <v>3948</v>
      </c>
      <c r="H133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34" s="49">
        <f ca="1">IFERROR(WEEKNUM(CRC_War_Room_SIMs[[#This Row],[Ops Date]]), "N/A")</f>
        <v>28</v>
      </c>
      <c r="J133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3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3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34" s="50">
        <f>IF(AND(CRC_War_Room_SIMs[[#This Row],[CI]] = 0, CRC_War_Room_SIMs[[#This Row],[Miss]] = 1), 1, 0)</f>
        <v>0</v>
      </c>
      <c r="N133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3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34" s="50">
        <f>IF(AND(CRC_War_Room_SIMs[[#This Row],[Excluded]] = 0, OR(CRC_War_Room_SIMs[[#This Row],[SLA Miss]] &lt;&gt; "", ISNUMBER(SEARCH("SLA", CRC_War_Room_SIMs[[#This Row],[Labels]])))), 1, 0)</f>
        <v>0</v>
      </c>
    </row>
    <row r="1335" spans="1:16" x14ac:dyDescent="0.25">
      <c r="A1335" t="s">
        <v>4033</v>
      </c>
      <c r="B1335" t="s">
        <v>3952</v>
      </c>
      <c r="C1335" t="s">
        <v>3948</v>
      </c>
      <c r="H133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45483</v>
      </c>
      <c r="I1335" s="49">
        <f ca="1">IFERROR(WEEKNUM(CRC_War_Room_SIMs[[#This Row],[Ops Date]]), "N/A")</f>
        <v>28</v>
      </c>
      <c r="J133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3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3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35" s="50">
        <f>IF(AND(CRC_War_Room_SIMs[[#This Row],[CI]] = 0, CRC_War_Room_SIMs[[#This Row],[Miss]] = 1), 1, 0)</f>
        <v>0</v>
      </c>
      <c r="N133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3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35" s="50">
        <f>IF(AND(CRC_War_Room_SIMs[[#This Row],[Excluded]] = 0, OR(CRC_War_Room_SIMs[[#This Row],[SLA Miss]] &lt;&gt; "", ISNUMBER(SEARCH("SLA", CRC_War_Room_SIMs[[#This Row],[Labels]])))), 1, 0)</f>
        <v>0</v>
      </c>
    </row>
    <row r="1336" spans="1:16" x14ac:dyDescent="0.25">
      <c r="A1336" t="s">
        <v>4034</v>
      </c>
      <c r="B1336" t="s">
        <v>3262</v>
      </c>
      <c r="C1336" t="s">
        <v>4035</v>
      </c>
      <c r="D1336" t="s">
        <v>1453</v>
      </c>
      <c r="E1336" t="s">
        <v>2490</v>
      </c>
      <c r="H133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36" s="49">
        <f ca="1">IFERROR(WEEKNUM(CRC_War_Room_SIMs[[#This Row],[Ops Date]]), "N/A")</f>
        <v>28</v>
      </c>
      <c r="J1336" s="49">
        <f>IF(OR(ISNUMBER(SEARCH("Excluded", CRC_War_Room_SIMs[[#This Row],[Labels]])), ISNUMBER(SEARCH("Quality", CRC_War_Room_SIMs[[#This Row],[Data Status]])), ISNUMBER(SEARCH("Exception", CRC_War_Room_SIMs[[#This Row],[Data Status]]))), 1, 0)</f>
        <v>1</v>
      </c>
      <c r="K133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3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36" s="50">
        <f>IF(AND(CRC_War_Room_SIMs[[#This Row],[CI]] = 0, CRC_War_Room_SIMs[[#This Row],[Miss]] = 1), 1, 0)</f>
        <v>0</v>
      </c>
      <c r="N133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3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36" s="50">
        <f>IF(AND(CRC_War_Room_SIMs[[#This Row],[Excluded]] = 0, OR(CRC_War_Room_SIMs[[#This Row],[SLA Miss]] &lt;&gt; "", ISNUMBER(SEARCH("SLA", CRC_War_Room_SIMs[[#This Row],[Labels]])))), 1, 0)</f>
        <v>0</v>
      </c>
    </row>
    <row r="1337" spans="1:16" x14ac:dyDescent="0.25">
      <c r="A1337" t="s">
        <v>4036</v>
      </c>
      <c r="B1337" t="s">
        <v>4037</v>
      </c>
      <c r="C1337" t="s">
        <v>4038</v>
      </c>
      <c r="E1337" t="s">
        <v>2463</v>
      </c>
      <c r="H133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37" s="49">
        <f ca="1">IFERROR(WEEKNUM(CRC_War_Room_SIMs[[#This Row],[Ops Date]]), "N/A")</f>
        <v>28</v>
      </c>
      <c r="J133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3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33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337" s="50">
        <f>IF(AND(CRC_War_Room_SIMs[[#This Row],[CI]] = 0, CRC_War_Room_SIMs[[#This Row],[Miss]] = 1), 1, 0)</f>
        <v>0</v>
      </c>
      <c r="N1337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133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37" s="50">
        <f>IF(AND(CRC_War_Room_SIMs[[#This Row],[Excluded]] = 0, OR(CRC_War_Room_SIMs[[#This Row],[SLA Miss]] &lt;&gt; "", ISNUMBER(SEARCH("SLA", CRC_War_Room_SIMs[[#This Row],[Labels]])))), 1, 0)</f>
        <v>0</v>
      </c>
    </row>
    <row r="1338" spans="1:16" x14ac:dyDescent="0.25">
      <c r="A1338" t="s">
        <v>4039</v>
      </c>
      <c r="B1338" t="s">
        <v>4040</v>
      </c>
      <c r="C1338" t="s">
        <v>4041</v>
      </c>
      <c r="D1338" t="s">
        <v>1453</v>
      </c>
      <c r="H133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38" s="49">
        <f ca="1">IFERROR(WEEKNUM(CRC_War_Room_SIMs[[#This Row],[Ops Date]]), "N/A")</f>
        <v>28</v>
      </c>
      <c r="J1338" s="49">
        <f>IF(OR(ISNUMBER(SEARCH("Excluded", CRC_War_Room_SIMs[[#This Row],[Labels]])), ISNUMBER(SEARCH("Quality", CRC_War_Room_SIMs[[#This Row],[Data Status]])), ISNUMBER(SEARCH("Exception", CRC_War_Room_SIMs[[#This Row],[Data Status]]))), 1, 0)</f>
        <v>1</v>
      </c>
      <c r="K133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3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38" s="50">
        <f>IF(AND(CRC_War_Room_SIMs[[#This Row],[CI]] = 0, CRC_War_Room_SIMs[[#This Row],[Miss]] = 1), 1, 0)</f>
        <v>0</v>
      </c>
      <c r="N133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3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38" s="50">
        <f>IF(AND(CRC_War_Room_SIMs[[#This Row],[Excluded]] = 0, OR(CRC_War_Room_SIMs[[#This Row],[SLA Miss]] &lt;&gt; "", ISNUMBER(SEARCH("SLA", CRC_War_Room_SIMs[[#This Row],[Labels]])))), 1, 0)</f>
        <v>0</v>
      </c>
    </row>
    <row r="1339" spans="1:16" x14ac:dyDescent="0.25">
      <c r="A1339" t="s">
        <v>4042</v>
      </c>
      <c r="B1339" t="s">
        <v>4040</v>
      </c>
      <c r="C1339" t="s">
        <v>4041</v>
      </c>
      <c r="D1339" t="s">
        <v>1453</v>
      </c>
      <c r="E1339" t="s">
        <v>2548</v>
      </c>
      <c r="H133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39" s="49">
        <f ca="1">IFERROR(WEEKNUM(CRC_War_Room_SIMs[[#This Row],[Ops Date]]), "N/A")</f>
        <v>28</v>
      </c>
      <c r="J1339" s="49">
        <f>IF(OR(ISNUMBER(SEARCH("Excluded", CRC_War_Room_SIMs[[#This Row],[Labels]])), ISNUMBER(SEARCH("Quality", CRC_War_Room_SIMs[[#This Row],[Data Status]])), ISNUMBER(SEARCH("Exception", CRC_War_Room_SIMs[[#This Row],[Data Status]]))), 1, 0)</f>
        <v>1</v>
      </c>
      <c r="K133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3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39" s="50">
        <f>IF(AND(CRC_War_Room_SIMs[[#This Row],[CI]] = 0, CRC_War_Room_SIMs[[#This Row],[Miss]] = 1), 1, 0)</f>
        <v>0</v>
      </c>
      <c r="N133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3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39" s="50">
        <f>IF(AND(CRC_War_Room_SIMs[[#This Row],[Excluded]] = 0, OR(CRC_War_Room_SIMs[[#This Row],[SLA Miss]] &lt;&gt; "", ISNUMBER(SEARCH("SLA", CRC_War_Room_SIMs[[#This Row],[Labels]])))), 1, 0)</f>
        <v>0</v>
      </c>
    </row>
    <row r="1340" spans="1:16" x14ac:dyDescent="0.25">
      <c r="A1340" t="s">
        <v>4043</v>
      </c>
      <c r="B1340" t="s">
        <v>4040</v>
      </c>
      <c r="C1340" t="s">
        <v>4041</v>
      </c>
      <c r="D1340" t="s">
        <v>1453</v>
      </c>
      <c r="H134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40" s="49">
        <f ca="1">IFERROR(WEEKNUM(CRC_War_Room_SIMs[[#This Row],[Ops Date]]), "N/A")</f>
        <v>28</v>
      </c>
      <c r="J1340" s="49">
        <f>IF(OR(ISNUMBER(SEARCH("Excluded", CRC_War_Room_SIMs[[#This Row],[Labels]])), ISNUMBER(SEARCH("Quality", CRC_War_Room_SIMs[[#This Row],[Data Status]])), ISNUMBER(SEARCH("Exception", CRC_War_Room_SIMs[[#This Row],[Data Status]]))), 1, 0)</f>
        <v>1</v>
      </c>
      <c r="K134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4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40" s="50">
        <f>IF(AND(CRC_War_Room_SIMs[[#This Row],[CI]] = 0, CRC_War_Room_SIMs[[#This Row],[Miss]] = 1), 1, 0)</f>
        <v>0</v>
      </c>
      <c r="N134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4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40" s="50">
        <f>IF(AND(CRC_War_Room_SIMs[[#This Row],[Excluded]] = 0, OR(CRC_War_Room_SIMs[[#This Row],[SLA Miss]] &lt;&gt; "", ISNUMBER(SEARCH("SLA", CRC_War_Room_SIMs[[#This Row],[Labels]])))), 1, 0)</f>
        <v>0</v>
      </c>
    </row>
    <row r="1341" spans="1:16" x14ac:dyDescent="0.25">
      <c r="A1341" t="s">
        <v>4044</v>
      </c>
      <c r="B1341" t="s">
        <v>4045</v>
      </c>
      <c r="C1341" t="s">
        <v>4041</v>
      </c>
      <c r="D1341" t="s">
        <v>1453</v>
      </c>
      <c r="E1341" t="s">
        <v>2548</v>
      </c>
      <c r="H134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41" s="49">
        <f ca="1">IFERROR(WEEKNUM(CRC_War_Room_SIMs[[#This Row],[Ops Date]]), "N/A")</f>
        <v>28</v>
      </c>
      <c r="J1341" s="49">
        <f>IF(OR(ISNUMBER(SEARCH("Excluded", CRC_War_Room_SIMs[[#This Row],[Labels]])), ISNUMBER(SEARCH("Quality", CRC_War_Room_SIMs[[#This Row],[Data Status]])), ISNUMBER(SEARCH("Exception", CRC_War_Room_SIMs[[#This Row],[Data Status]]))), 1, 0)</f>
        <v>1</v>
      </c>
      <c r="K134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4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41" s="50">
        <f>IF(AND(CRC_War_Room_SIMs[[#This Row],[CI]] = 0, CRC_War_Room_SIMs[[#This Row],[Miss]] = 1), 1, 0)</f>
        <v>0</v>
      </c>
      <c r="N134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4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41" s="50">
        <f>IF(AND(CRC_War_Room_SIMs[[#This Row],[Excluded]] = 0, OR(CRC_War_Room_SIMs[[#This Row],[SLA Miss]] &lt;&gt; "", ISNUMBER(SEARCH("SLA", CRC_War_Room_SIMs[[#This Row],[Labels]])))), 1, 0)</f>
        <v>0</v>
      </c>
    </row>
    <row r="1342" spans="1:16" x14ac:dyDescent="0.25">
      <c r="A1342" t="s">
        <v>4046</v>
      </c>
      <c r="B1342" t="s">
        <v>4040</v>
      </c>
      <c r="C1342" t="s">
        <v>3263</v>
      </c>
      <c r="D1342" t="s">
        <v>1453</v>
      </c>
      <c r="H134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42" s="49">
        <f ca="1">IFERROR(WEEKNUM(CRC_War_Room_SIMs[[#This Row],[Ops Date]]), "N/A")</f>
        <v>28</v>
      </c>
      <c r="J1342" s="49">
        <f>IF(OR(ISNUMBER(SEARCH("Excluded", CRC_War_Room_SIMs[[#This Row],[Labels]])), ISNUMBER(SEARCH("Quality", CRC_War_Room_SIMs[[#This Row],[Data Status]])), ISNUMBER(SEARCH("Exception", CRC_War_Room_SIMs[[#This Row],[Data Status]]))), 1, 0)</f>
        <v>1</v>
      </c>
      <c r="K134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4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42" s="50">
        <f>IF(AND(CRC_War_Room_SIMs[[#This Row],[CI]] = 0, CRC_War_Room_SIMs[[#This Row],[Miss]] = 1), 1, 0)</f>
        <v>0</v>
      </c>
      <c r="N134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4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42" s="50">
        <f>IF(AND(CRC_War_Room_SIMs[[#This Row],[Excluded]] = 0, OR(CRC_War_Room_SIMs[[#This Row],[SLA Miss]] &lt;&gt; "", ISNUMBER(SEARCH("SLA", CRC_War_Room_SIMs[[#This Row],[Labels]])))), 1, 0)</f>
        <v>0</v>
      </c>
    </row>
    <row r="1343" spans="1:16" x14ac:dyDescent="0.25">
      <c r="A1343" t="s">
        <v>4047</v>
      </c>
      <c r="B1343" t="s">
        <v>4040</v>
      </c>
      <c r="C1343" t="s">
        <v>4048</v>
      </c>
      <c r="D1343" t="s">
        <v>1453</v>
      </c>
      <c r="H134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43" s="49">
        <f ca="1">IFERROR(WEEKNUM(CRC_War_Room_SIMs[[#This Row],[Ops Date]]), "N/A")</f>
        <v>28</v>
      </c>
      <c r="J1343" s="49">
        <f>IF(OR(ISNUMBER(SEARCH("Excluded", CRC_War_Room_SIMs[[#This Row],[Labels]])), ISNUMBER(SEARCH("Quality", CRC_War_Room_SIMs[[#This Row],[Data Status]])), ISNUMBER(SEARCH("Exception", CRC_War_Room_SIMs[[#This Row],[Data Status]]))), 1, 0)</f>
        <v>1</v>
      </c>
      <c r="K134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4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43" s="50">
        <f>IF(AND(CRC_War_Room_SIMs[[#This Row],[CI]] = 0, CRC_War_Room_SIMs[[#This Row],[Miss]] = 1), 1, 0)</f>
        <v>0</v>
      </c>
      <c r="N134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4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43" s="50">
        <f>IF(AND(CRC_War_Room_SIMs[[#This Row],[Excluded]] = 0, OR(CRC_War_Room_SIMs[[#This Row],[SLA Miss]] &lt;&gt; "", ISNUMBER(SEARCH("SLA", CRC_War_Room_SIMs[[#This Row],[Labels]])))), 1, 0)</f>
        <v>0</v>
      </c>
    </row>
    <row r="1344" spans="1:16" x14ac:dyDescent="0.25">
      <c r="A1344" t="s">
        <v>4049</v>
      </c>
      <c r="B1344" t="s">
        <v>4050</v>
      </c>
      <c r="C1344" t="s">
        <v>4051</v>
      </c>
      <c r="E1344" t="s">
        <v>2463</v>
      </c>
      <c r="H134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344" s="49">
        <f ca="1">IFERROR(WEEKNUM(CRC_War_Room_SIMs[[#This Row],[Ops Date]]), "N/A")</f>
        <v>28</v>
      </c>
      <c r="J134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4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34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344" s="50">
        <f>IF(AND(CRC_War_Room_SIMs[[#This Row],[CI]] = 0, CRC_War_Room_SIMs[[#This Row],[Miss]] = 1), 1, 0)</f>
        <v>0</v>
      </c>
      <c r="N1344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134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44" s="50">
        <f>IF(AND(CRC_War_Room_SIMs[[#This Row],[Excluded]] = 0, OR(CRC_War_Room_SIMs[[#This Row],[SLA Miss]] &lt;&gt; "", ISNUMBER(SEARCH("SLA", CRC_War_Room_SIMs[[#This Row],[Labels]])))), 1, 0)</f>
        <v>0</v>
      </c>
    </row>
    <row r="1345" spans="1:16" x14ac:dyDescent="0.25">
      <c r="A1345" t="s">
        <v>4052</v>
      </c>
      <c r="B1345" t="s">
        <v>4053</v>
      </c>
      <c r="C1345" t="s">
        <v>4054</v>
      </c>
      <c r="H134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45" s="49">
        <f ca="1">IFERROR(WEEKNUM(CRC_War_Room_SIMs[[#This Row],[Ops Date]]), "N/A")</f>
        <v>28</v>
      </c>
      <c r="J134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4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4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45" s="50">
        <f>IF(AND(CRC_War_Room_SIMs[[#This Row],[CI]] = 0, CRC_War_Room_SIMs[[#This Row],[Miss]] = 1), 1, 0)</f>
        <v>0</v>
      </c>
      <c r="N134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4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45" s="50">
        <f>IF(AND(CRC_War_Room_SIMs[[#This Row],[Excluded]] = 0, OR(CRC_War_Room_SIMs[[#This Row],[SLA Miss]] &lt;&gt; "", ISNUMBER(SEARCH("SLA", CRC_War_Room_SIMs[[#This Row],[Labels]])))), 1, 0)</f>
        <v>0</v>
      </c>
    </row>
    <row r="1346" spans="1:16" x14ac:dyDescent="0.25">
      <c r="A1346" t="s">
        <v>4055</v>
      </c>
      <c r="B1346" t="s">
        <v>4056</v>
      </c>
      <c r="C1346" t="s">
        <v>4054</v>
      </c>
      <c r="H134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46" s="49">
        <f ca="1">IFERROR(WEEKNUM(CRC_War_Room_SIMs[[#This Row],[Ops Date]]), "N/A")</f>
        <v>28</v>
      </c>
      <c r="J134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4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4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46" s="50">
        <f>IF(AND(CRC_War_Room_SIMs[[#This Row],[CI]] = 0, CRC_War_Room_SIMs[[#This Row],[Miss]] = 1), 1, 0)</f>
        <v>0</v>
      </c>
      <c r="N134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4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46" s="50">
        <f>IF(AND(CRC_War_Room_SIMs[[#This Row],[Excluded]] = 0, OR(CRC_War_Room_SIMs[[#This Row],[SLA Miss]] &lt;&gt; "", ISNUMBER(SEARCH("SLA", CRC_War_Room_SIMs[[#This Row],[Labels]])))), 1, 0)</f>
        <v>0</v>
      </c>
    </row>
    <row r="1347" spans="1:16" x14ac:dyDescent="0.25">
      <c r="A1347" t="s">
        <v>4057</v>
      </c>
      <c r="B1347" t="s">
        <v>4058</v>
      </c>
      <c r="C1347" t="s">
        <v>4054</v>
      </c>
      <c r="H134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47" s="49">
        <f ca="1">IFERROR(WEEKNUM(CRC_War_Room_SIMs[[#This Row],[Ops Date]]), "N/A")</f>
        <v>28</v>
      </c>
      <c r="J134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4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4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47" s="50">
        <f>IF(AND(CRC_War_Room_SIMs[[#This Row],[CI]] = 0, CRC_War_Room_SIMs[[#This Row],[Miss]] = 1), 1, 0)</f>
        <v>0</v>
      </c>
      <c r="N134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4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47" s="50">
        <f>IF(AND(CRC_War_Room_SIMs[[#This Row],[Excluded]] = 0, OR(CRC_War_Room_SIMs[[#This Row],[SLA Miss]] &lt;&gt; "", ISNUMBER(SEARCH("SLA", CRC_War_Room_SIMs[[#This Row],[Labels]])))), 1, 0)</f>
        <v>0</v>
      </c>
    </row>
    <row r="1348" spans="1:16" x14ac:dyDescent="0.25">
      <c r="A1348" t="s">
        <v>4059</v>
      </c>
      <c r="B1348" t="s">
        <v>4037</v>
      </c>
      <c r="C1348" t="s">
        <v>4054</v>
      </c>
      <c r="H134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48" s="49">
        <f ca="1">IFERROR(WEEKNUM(CRC_War_Room_SIMs[[#This Row],[Ops Date]]), "N/A")</f>
        <v>28</v>
      </c>
      <c r="J134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4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4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48" s="50">
        <f>IF(AND(CRC_War_Room_SIMs[[#This Row],[CI]] = 0, CRC_War_Room_SIMs[[#This Row],[Miss]] = 1), 1, 0)</f>
        <v>0</v>
      </c>
      <c r="N134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4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48" s="50">
        <f>IF(AND(CRC_War_Room_SIMs[[#This Row],[Excluded]] = 0, OR(CRC_War_Room_SIMs[[#This Row],[SLA Miss]] &lt;&gt; "", ISNUMBER(SEARCH("SLA", CRC_War_Room_SIMs[[#This Row],[Labels]])))), 1, 0)</f>
        <v>0</v>
      </c>
    </row>
    <row r="1349" spans="1:16" x14ac:dyDescent="0.25">
      <c r="A1349" t="s">
        <v>4060</v>
      </c>
      <c r="B1349" t="s">
        <v>4061</v>
      </c>
      <c r="C1349" t="s">
        <v>4054</v>
      </c>
      <c r="H134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49" s="49">
        <f ca="1">IFERROR(WEEKNUM(CRC_War_Room_SIMs[[#This Row],[Ops Date]]), "N/A")</f>
        <v>28</v>
      </c>
      <c r="J134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4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4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49" s="50">
        <f>IF(AND(CRC_War_Room_SIMs[[#This Row],[CI]] = 0, CRC_War_Room_SIMs[[#This Row],[Miss]] = 1), 1, 0)</f>
        <v>0</v>
      </c>
      <c r="N134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4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49" s="50">
        <f>IF(AND(CRC_War_Room_SIMs[[#This Row],[Excluded]] = 0, OR(CRC_War_Room_SIMs[[#This Row],[SLA Miss]] &lt;&gt; "", ISNUMBER(SEARCH("SLA", CRC_War_Room_SIMs[[#This Row],[Labels]])))), 1, 0)</f>
        <v>0</v>
      </c>
    </row>
    <row r="1350" spans="1:16" x14ac:dyDescent="0.25">
      <c r="A1350" t="s">
        <v>4062</v>
      </c>
      <c r="B1350" t="s">
        <v>4040</v>
      </c>
      <c r="C1350" t="s">
        <v>4054</v>
      </c>
      <c r="H135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50" s="49">
        <f ca="1">IFERROR(WEEKNUM(CRC_War_Room_SIMs[[#This Row],[Ops Date]]), "N/A")</f>
        <v>28</v>
      </c>
      <c r="J135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5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5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50" s="50">
        <f>IF(AND(CRC_War_Room_SIMs[[#This Row],[CI]] = 0, CRC_War_Room_SIMs[[#This Row],[Miss]] = 1), 1, 0)</f>
        <v>0</v>
      </c>
      <c r="N135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5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50" s="50">
        <f>IF(AND(CRC_War_Room_SIMs[[#This Row],[Excluded]] = 0, OR(CRC_War_Room_SIMs[[#This Row],[SLA Miss]] &lt;&gt; "", ISNUMBER(SEARCH("SLA", CRC_War_Room_SIMs[[#This Row],[Labels]])))), 1, 0)</f>
        <v>0</v>
      </c>
    </row>
    <row r="1351" spans="1:16" x14ac:dyDescent="0.25">
      <c r="A1351" t="s">
        <v>4063</v>
      </c>
      <c r="B1351" t="s">
        <v>4037</v>
      </c>
      <c r="C1351" t="s">
        <v>4054</v>
      </c>
      <c r="H135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51" s="49">
        <f ca="1">IFERROR(WEEKNUM(CRC_War_Room_SIMs[[#This Row],[Ops Date]]), "N/A")</f>
        <v>28</v>
      </c>
      <c r="J135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5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5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51" s="50">
        <f>IF(AND(CRC_War_Room_SIMs[[#This Row],[CI]] = 0, CRC_War_Room_SIMs[[#This Row],[Miss]] = 1), 1, 0)</f>
        <v>0</v>
      </c>
      <c r="N135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5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51" s="50">
        <f>IF(AND(CRC_War_Room_SIMs[[#This Row],[Excluded]] = 0, OR(CRC_War_Room_SIMs[[#This Row],[SLA Miss]] &lt;&gt; "", ISNUMBER(SEARCH("SLA", CRC_War_Room_SIMs[[#This Row],[Labels]])))), 1, 0)</f>
        <v>0</v>
      </c>
    </row>
    <row r="1352" spans="1:16" x14ac:dyDescent="0.25">
      <c r="A1352" t="s">
        <v>4064</v>
      </c>
      <c r="B1352" t="s">
        <v>4053</v>
      </c>
      <c r="C1352" t="s">
        <v>4054</v>
      </c>
      <c r="H135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52" s="49">
        <f ca="1">IFERROR(WEEKNUM(CRC_War_Room_SIMs[[#This Row],[Ops Date]]), "N/A")</f>
        <v>28</v>
      </c>
      <c r="J135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5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5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52" s="50">
        <f>IF(AND(CRC_War_Room_SIMs[[#This Row],[CI]] = 0, CRC_War_Room_SIMs[[#This Row],[Miss]] = 1), 1, 0)</f>
        <v>0</v>
      </c>
      <c r="N135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5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52" s="50">
        <f>IF(AND(CRC_War_Room_SIMs[[#This Row],[Excluded]] = 0, OR(CRC_War_Room_SIMs[[#This Row],[SLA Miss]] &lt;&gt; "", ISNUMBER(SEARCH("SLA", CRC_War_Room_SIMs[[#This Row],[Labels]])))), 1, 0)</f>
        <v>0</v>
      </c>
    </row>
    <row r="1353" spans="1:16" x14ac:dyDescent="0.25">
      <c r="A1353" t="s">
        <v>4065</v>
      </c>
      <c r="B1353" t="s">
        <v>4053</v>
      </c>
      <c r="C1353" t="s">
        <v>4054</v>
      </c>
      <c r="H135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53" s="49">
        <f ca="1">IFERROR(WEEKNUM(CRC_War_Room_SIMs[[#This Row],[Ops Date]]), "N/A")</f>
        <v>28</v>
      </c>
      <c r="J135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5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5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53" s="50">
        <f>IF(AND(CRC_War_Room_SIMs[[#This Row],[CI]] = 0, CRC_War_Room_SIMs[[#This Row],[Miss]] = 1), 1, 0)</f>
        <v>0</v>
      </c>
      <c r="N135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5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53" s="50">
        <f>IF(AND(CRC_War_Room_SIMs[[#This Row],[Excluded]] = 0, OR(CRC_War_Room_SIMs[[#This Row],[SLA Miss]] &lt;&gt; "", ISNUMBER(SEARCH("SLA", CRC_War_Room_SIMs[[#This Row],[Labels]])))), 1, 0)</f>
        <v>0</v>
      </c>
    </row>
    <row r="1354" spans="1:16" x14ac:dyDescent="0.25">
      <c r="A1354" t="s">
        <v>4066</v>
      </c>
      <c r="B1354" t="s">
        <v>4056</v>
      </c>
      <c r="C1354" t="s">
        <v>4054</v>
      </c>
      <c r="H135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54" s="49">
        <f ca="1">IFERROR(WEEKNUM(CRC_War_Room_SIMs[[#This Row],[Ops Date]]), "N/A")</f>
        <v>28</v>
      </c>
      <c r="J135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5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5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54" s="50">
        <f>IF(AND(CRC_War_Room_SIMs[[#This Row],[CI]] = 0, CRC_War_Room_SIMs[[#This Row],[Miss]] = 1), 1, 0)</f>
        <v>0</v>
      </c>
      <c r="N135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5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54" s="50">
        <f>IF(AND(CRC_War_Room_SIMs[[#This Row],[Excluded]] = 0, OR(CRC_War_Room_SIMs[[#This Row],[SLA Miss]] &lt;&gt; "", ISNUMBER(SEARCH("SLA", CRC_War_Room_SIMs[[#This Row],[Labels]])))), 1, 0)</f>
        <v>0</v>
      </c>
    </row>
    <row r="1355" spans="1:16" x14ac:dyDescent="0.25">
      <c r="A1355" t="s">
        <v>4067</v>
      </c>
      <c r="B1355" t="s">
        <v>4040</v>
      </c>
      <c r="C1355" t="s">
        <v>4054</v>
      </c>
      <c r="H135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55" s="49">
        <f ca="1">IFERROR(WEEKNUM(CRC_War_Room_SIMs[[#This Row],[Ops Date]]), "N/A")</f>
        <v>28</v>
      </c>
      <c r="J135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5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5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55" s="50">
        <f>IF(AND(CRC_War_Room_SIMs[[#This Row],[CI]] = 0, CRC_War_Room_SIMs[[#This Row],[Miss]] = 1), 1, 0)</f>
        <v>0</v>
      </c>
      <c r="N135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5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55" s="50">
        <f>IF(AND(CRC_War_Room_SIMs[[#This Row],[Excluded]] = 0, OR(CRC_War_Room_SIMs[[#This Row],[SLA Miss]] &lt;&gt; "", ISNUMBER(SEARCH("SLA", CRC_War_Room_SIMs[[#This Row],[Labels]])))), 1, 0)</f>
        <v>0</v>
      </c>
    </row>
    <row r="1356" spans="1:16" x14ac:dyDescent="0.25">
      <c r="A1356" t="s">
        <v>4068</v>
      </c>
      <c r="B1356" t="s">
        <v>4037</v>
      </c>
      <c r="C1356" t="s">
        <v>4054</v>
      </c>
      <c r="H135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56" s="49">
        <f ca="1">IFERROR(WEEKNUM(CRC_War_Room_SIMs[[#This Row],[Ops Date]]), "N/A")</f>
        <v>28</v>
      </c>
      <c r="J135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5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5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56" s="50">
        <f>IF(AND(CRC_War_Room_SIMs[[#This Row],[CI]] = 0, CRC_War_Room_SIMs[[#This Row],[Miss]] = 1), 1, 0)</f>
        <v>0</v>
      </c>
      <c r="N135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5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56" s="50">
        <f>IF(AND(CRC_War_Room_SIMs[[#This Row],[Excluded]] = 0, OR(CRC_War_Room_SIMs[[#This Row],[SLA Miss]] &lt;&gt; "", ISNUMBER(SEARCH("SLA", CRC_War_Room_SIMs[[#This Row],[Labels]])))), 1, 0)</f>
        <v>0</v>
      </c>
    </row>
    <row r="1357" spans="1:16" x14ac:dyDescent="0.25">
      <c r="A1357" t="s">
        <v>4069</v>
      </c>
      <c r="B1357" t="s">
        <v>4056</v>
      </c>
      <c r="C1357" t="s">
        <v>4054</v>
      </c>
      <c r="H135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57" s="49">
        <f ca="1">IFERROR(WEEKNUM(CRC_War_Room_SIMs[[#This Row],[Ops Date]]), "N/A")</f>
        <v>28</v>
      </c>
      <c r="J135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5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5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57" s="50">
        <f>IF(AND(CRC_War_Room_SIMs[[#This Row],[CI]] = 0, CRC_War_Room_SIMs[[#This Row],[Miss]] = 1), 1, 0)</f>
        <v>0</v>
      </c>
      <c r="N135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5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57" s="50">
        <f>IF(AND(CRC_War_Room_SIMs[[#This Row],[Excluded]] = 0, OR(CRC_War_Room_SIMs[[#This Row],[SLA Miss]] &lt;&gt; "", ISNUMBER(SEARCH("SLA", CRC_War_Room_SIMs[[#This Row],[Labels]])))), 1, 0)</f>
        <v>0</v>
      </c>
    </row>
    <row r="1358" spans="1:16" x14ac:dyDescent="0.25">
      <c r="A1358" t="s">
        <v>4070</v>
      </c>
      <c r="B1358" t="s">
        <v>4037</v>
      </c>
      <c r="C1358" t="s">
        <v>4054</v>
      </c>
      <c r="H135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58" s="49">
        <f ca="1">IFERROR(WEEKNUM(CRC_War_Room_SIMs[[#This Row],[Ops Date]]), "N/A")</f>
        <v>28</v>
      </c>
      <c r="J135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5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5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58" s="50">
        <f>IF(AND(CRC_War_Room_SIMs[[#This Row],[CI]] = 0, CRC_War_Room_SIMs[[#This Row],[Miss]] = 1), 1, 0)</f>
        <v>0</v>
      </c>
      <c r="N135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5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58" s="50">
        <f>IF(AND(CRC_War_Room_SIMs[[#This Row],[Excluded]] = 0, OR(CRC_War_Room_SIMs[[#This Row],[SLA Miss]] &lt;&gt; "", ISNUMBER(SEARCH("SLA", CRC_War_Room_SIMs[[#This Row],[Labels]])))), 1, 0)</f>
        <v>0</v>
      </c>
    </row>
    <row r="1359" spans="1:16" x14ac:dyDescent="0.25">
      <c r="A1359" t="s">
        <v>4071</v>
      </c>
      <c r="B1359" t="s">
        <v>4037</v>
      </c>
      <c r="C1359" t="s">
        <v>4054</v>
      </c>
      <c r="H135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59" s="49">
        <f ca="1">IFERROR(WEEKNUM(CRC_War_Room_SIMs[[#This Row],[Ops Date]]), "N/A")</f>
        <v>28</v>
      </c>
      <c r="J135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5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5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59" s="50">
        <f>IF(AND(CRC_War_Room_SIMs[[#This Row],[CI]] = 0, CRC_War_Room_SIMs[[#This Row],[Miss]] = 1), 1, 0)</f>
        <v>0</v>
      </c>
      <c r="N135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5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59" s="50">
        <f>IF(AND(CRC_War_Room_SIMs[[#This Row],[Excluded]] = 0, OR(CRC_War_Room_SIMs[[#This Row],[SLA Miss]] &lt;&gt; "", ISNUMBER(SEARCH("SLA", CRC_War_Room_SIMs[[#This Row],[Labels]])))), 1, 0)</f>
        <v>0</v>
      </c>
    </row>
    <row r="1360" spans="1:16" x14ac:dyDescent="0.25">
      <c r="A1360" t="s">
        <v>4072</v>
      </c>
      <c r="B1360" t="s">
        <v>4040</v>
      </c>
      <c r="C1360" t="s">
        <v>4054</v>
      </c>
      <c r="H136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60" s="49">
        <f ca="1">IFERROR(WEEKNUM(CRC_War_Room_SIMs[[#This Row],[Ops Date]]), "N/A")</f>
        <v>28</v>
      </c>
      <c r="J136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6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6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60" s="50">
        <f>IF(AND(CRC_War_Room_SIMs[[#This Row],[CI]] = 0, CRC_War_Room_SIMs[[#This Row],[Miss]] = 1), 1, 0)</f>
        <v>0</v>
      </c>
      <c r="N136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6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60" s="50">
        <f>IF(AND(CRC_War_Room_SIMs[[#This Row],[Excluded]] = 0, OR(CRC_War_Room_SIMs[[#This Row],[SLA Miss]] &lt;&gt; "", ISNUMBER(SEARCH("SLA", CRC_War_Room_SIMs[[#This Row],[Labels]])))), 1, 0)</f>
        <v>0</v>
      </c>
    </row>
    <row r="1361" spans="1:16" x14ac:dyDescent="0.25">
      <c r="A1361" t="s">
        <v>4073</v>
      </c>
      <c r="B1361" t="s">
        <v>4056</v>
      </c>
      <c r="C1361" t="s">
        <v>4054</v>
      </c>
      <c r="H136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61" s="49">
        <f ca="1">IFERROR(WEEKNUM(CRC_War_Room_SIMs[[#This Row],[Ops Date]]), "N/A")</f>
        <v>28</v>
      </c>
      <c r="J136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6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6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61" s="50">
        <f>IF(AND(CRC_War_Room_SIMs[[#This Row],[CI]] = 0, CRC_War_Room_SIMs[[#This Row],[Miss]] = 1), 1, 0)</f>
        <v>0</v>
      </c>
      <c r="N136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6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61" s="50">
        <f>IF(AND(CRC_War_Room_SIMs[[#This Row],[Excluded]] = 0, OR(CRC_War_Room_SIMs[[#This Row],[SLA Miss]] &lt;&gt; "", ISNUMBER(SEARCH("SLA", CRC_War_Room_SIMs[[#This Row],[Labels]])))), 1, 0)</f>
        <v>0</v>
      </c>
    </row>
    <row r="1362" spans="1:16" x14ac:dyDescent="0.25">
      <c r="A1362" t="s">
        <v>4074</v>
      </c>
      <c r="B1362" t="s">
        <v>4040</v>
      </c>
      <c r="C1362" t="s">
        <v>4054</v>
      </c>
      <c r="H136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62" s="49">
        <f ca="1">IFERROR(WEEKNUM(CRC_War_Room_SIMs[[#This Row],[Ops Date]]), "N/A")</f>
        <v>28</v>
      </c>
      <c r="J136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6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6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62" s="50">
        <f>IF(AND(CRC_War_Room_SIMs[[#This Row],[CI]] = 0, CRC_War_Room_SIMs[[#This Row],[Miss]] = 1), 1, 0)</f>
        <v>0</v>
      </c>
      <c r="N136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6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62" s="50">
        <f>IF(AND(CRC_War_Room_SIMs[[#This Row],[Excluded]] = 0, OR(CRC_War_Room_SIMs[[#This Row],[SLA Miss]] &lt;&gt; "", ISNUMBER(SEARCH("SLA", CRC_War_Room_SIMs[[#This Row],[Labels]])))), 1, 0)</f>
        <v>0</v>
      </c>
    </row>
    <row r="1363" spans="1:16" x14ac:dyDescent="0.25">
      <c r="A1363" t="s">
        <v>4075</v>
      </c>
      <c r="B1363" t="s">
        <v>4056</v>
      </c>
      <c r="C1363" t="s">
        <v>4054</v>
      </c>
      <c r="H136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63" s="49">
        <f ca="1">IFERROR(WEEKNUM(CRC_War_Room_SIMs[[#This Row],[Ops Date]]), "N/A")</f>
        <v>28</v>
      </c>
      <c r="J136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6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6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63" s="50">
        <f>IF(AND(CRC_War_Room_SIMs[[#This Row],[CI]] = 0, CRC_War_Room_SIMs[[#This Row],[Miss]] = 1), 1, 0)</f>
        <v>0</v>
      </c>
      <c r="N136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6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63" s="50">
        <f>IF(AND(CRC_War_Room_SIMs[[#This Row],[Excluded]] = 0, OR(CRC_War_Room_SIMs[[#This Row],[SLA Miss]] &lt;&gt; "", ISNUMBER(SEARCH("SLA", CRC_War_Room_SIMs[[#This Row],[Labels]])))), 1, 0)</f>
        <v>0</v>
      </c>
    </row>
    <row r="1364" spans="1:16" x14ac:dyDescent="0.25">
      <c r="A1364" t="s">
        <v>4076</v>
      </c>
      <c r="B1364" t="s">
        <v>4053</v>
      </c>
      <c r="C1364" t="s">
        <v>4054</v>
      </c>
      <c r="H136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64" s="49">
        <f ca="1">IFERROR(WEEKNUM(CRC_War_Room_SIMs[[#This Row],[Ops Date]]), "N/A")</f>
        <v>28</v>
      </c>
      <c r="J136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6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6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64" s="50">
        <f>IF(AND(CRC_War_Room_SIMs[[#This Row],[CI]] = 0, CRC_War_Room_SIMs[[#This Row],[Miss]] = 1), 1, 0)</f>
        <v>0</v>
      </c>
      <c r="N136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6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64" s="50">
        <f>IF(AND(CRC_War_Room_SIMs[[#This Row],[Excluded]] = 0, OR(CRC_War_Room_SIMs[[#This Row],[SLA Miss]] &lt;&gt; "", ISNUMBER(SEARCH("SLA", CRC_War_Room_SIMs[[#This Row],[Labels]])))), 1, 0)</f>
        <v>0</v>
      </c>
    </row>
    <row r="1365" spans="1:16" x14ac:dyDescent="0.25">
      <c r="A1365" t="s">
        <v>4077</v>
      </c>
      <c r="B1365" t="s">
        <v>4037</v>
      </c>
      <c r="C1365" t="s">
        <v>4054</v>
      </c>
      <c r="H136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65" s="49">
        <f ca="1">IFERROR(WEEKNUM(CRC_War_Room_SIMs[[#This Row],[Ops Date]]), "N/A")</f>
        <v>28</v>
      </c>
      <c r="J136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6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6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65" s="50">
        <f>IF(AND(CRC_War_Room_SIMs[[#This Row],[CI]] = 0, CRC_War_Room_SIMs[[#This Row],[Miss]] = 1), 1, 0)</f>
        <v>0</v>
      </c>
      <c r="N136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6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65" s="50">
        <f>IF(AND(CRC_War_Room_SIMs[[#This Row],[Excluded]] = 0, OR(CRC_War_Room_SIMs[[#This Row],[SLA Miss]] &lt;&gt; "", ISNUMBER(SEARCH("SLA", CRC_War_Room_SIMs[[#This Row],[Labels]])))), 1, 0)</f>
        <v>0</v>
      </c>
    </row>
    <row r="1366" spans="1:16" x14ac:dyDescent="0.25">
      <c r="A1366" t="s">
        <v>4078</v>
      </c>
      <c r="B1366" t="s">
        <v>4040</v>
      </c>
      <c r="C1366" t="s">
        <v>4054</v>
      </c>
      <c r="H136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66" s="49">
        <f ca="1">IFERROR(WEEKNUM(CRC_War_Room_SIMs[[#This Row],[Ops Date]]), "N/A")</f>
        <v>28</v>
      </c>
      <c r="J136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6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6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66" s="50">
        <f>IF(AND(CRC_War_Room_SIMs[[#This Row],[CI]] = 0, CRC_War_Room_SIMs[[#This Row],[Miss]] = 1), 1, 0)</f>
        <v>0</v>
      </c>
      <c r="N136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6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66" s="50">
        <f>IF(AND(CRC_War_Room_SIMs[[#This Row],[Excluded]] = 0, OR(CRC_War_Room_SIMs[[#This Row],[SLA Miss]] &lt;&gt; "", ISNUMBER(SEARCH("SLA", CRC_War_Room_SIMs[[#This Row],[Labels]])))), 1, 0)</f>
        <v>0</v>
      </c>
    </row>
    <row r="1367" spans="1:16" x14ac:dyDescent="0.25">
      <c r="A1367" t="s">
        <v>4079</v>
      </c>
      <c r="B1367" t="s">
        <v>4053</v>
      </c>
      <c r="C1367" t="s">
        <v>4054</v>
      </c>
      <c r="H136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67" s="49">
        <f ca="1">IFERROR(WEEKNUM(CRC_War_Room_SIMs[[#This Row],[Ops Date]]), "N/A")</f>
        <v>28</v>
      </c>
      <c r="J136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6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6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67" s="50">
        <f>IF(AND(CRC_War_Room_SIMs[[#This Row],[CI]] = 0, CRC_War_Room_SIMs[[#This Row],[Miss]] = 1), 1, 0)</f>
        <v>0</v>
      </c>
      <c r="N136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6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67" s="50">
        <f>IF(AND(CRC_War_Room_SIMs[[#This Row],[Excluded]] = 0, OR(CRC_War_Room_SIMs[[#This Row],[SLA Miss]] &lt;&gt; "", ISNUMBER(SEARCH("SLA", CRC_War_Room_SIMs[[#This Row],[Labels]])))), 1, 0)</f>
        <v>0</v>
      </c>
    </row>
    <row r="1368" spans="1:16" x14ac:dyDescent="0.25">
      <c r="A1368" t="s">
        <v>4080</v>
      </c>
      <c r="B1368" t="s">
        <v>4037</v>
      </c>
      <c r="C1368" t="s">
        <v>4054</v>
      </c>
      <c r="H136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68" s="49">
        <f ca="1">IFERROR(WEEKNUM(CRC_War_Room_SIMs[[#This Row],[Ops Date]]), "N/A")</f>
        <v>28</v>
      </c>
      <c r="J136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6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6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68" s="50">
        <f>IF(AND(CRC_War_Room_SIMs[[#This Row],[CI]] = 0, CRC_War_Room_SIMs[[#This Row],[Miss]] = 1), 1, 0)</f>
        <v>0</v>
      </c>
      <c r="N136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6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68" s="50">
        <f>IF(AND(CRC_War_Room_SIMs[[#This Row],[Excluded]] = 0, OR(CRC_War_Room_SIMs[[#This Row],[SLA Miss]] &lt;&gt; "", ISNUMBER(SEARCH("SLA", CRC_War_Room_SIMs[[#This Row],[Labels]])))), 1, 0)</f>
        <v>0</v>
      </c>
    </row>
    <row r="1369" spans="1:16" x14ac:dyDescent="0.25">
      <c r="A1369" t="s">
        <v>4081</v>
      </c>
      <c r="B1369" t="s">
        <v>4056</v>
      </c>
      <c r="C1369" t="s">
        <v>4054</v>
      </c>
      <c r="H136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69" s="49">
        <f ca="1">IFERROR(WEEKNUM(CRC_War_Room_SIMs[[#This Row],[Ops Date]]), "N/A")</f>
        <v>28</v>
      </c>
      <c r="J136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6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6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69" s="50">
        <f>IF(AND(CRC_War_Room_SIMs[[#This Row],[CI]] = 0, CRC_War_Room_SIMs[[#This Row],[Miss]] = 1), 1, 0)</f>
        <v>0</v>
      </c>
      <c r="N136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6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69" s="50">
        <f>IF(AND(CRC_War_Room_SIMs[[#This Row],[Excluded]] = 0, OR(CRC_War_Room_SIMs[[#This Row],[SLA Miss]] &lt;&gt; "", ISNUMBER(SEARCH("SLA", CRC_War_Room_SIMs[[#This Row],[Labels]])))), 1, 0)</f>
        <v>0</v>
      </c>
    </row>
    <row r="1370" spans="1:16" x14ac:dyDescent="0.25">
      <c r="A1370" t="s">
        <v>4082</v>
      </c>
      <c r="B1370" t="s">
        <v>4040</v>
      </c>
      <c r="C1370" t="s">
        <v>4054</v>
      </c>
      <c r="H137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70" s="49">
        <f ca="1">IFERROR(WEEKNUM(CRC_War_Room_SIMs[[#This Row],[Ops Date]]), "N/A")</f>
        <v>28</v>
      </c>
      <c r="J137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7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7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70" s="50">
        <f>IF(AND(CRC_War_Room_SIMs[[#This Row],[CI]] = 0, CRC_War_Room_SIMs[[#This Row],[Miss]] = 1), 1, 0)</f>
        <v>0</v>
      </c>
      <c r="N137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7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70" s="50">
        <f>IF(AND(CRC_War_Room_SIMs[[#This Row],[Excluded]] = 0, OR(CRC_War_Room_SIMs[[#This Row],[SLA Miss]] &lt;&gt; "", ISNUMBER(SEARCH("SLA", CRC_War_Room_SIMs[[#This Row],[Labels]])))), 1, 0)</f>
        <v>0</v>
      </c>
    </row>
    <row r="1371" spans="1:16" x14ac:dyDescent="0.25">
      <c r="A1371" t="s">
        <v>4083</v>
      </c>
      <c r="B1371" t="s">
        <v>4037</v>
      </c>
      <c r="C1371" t="s">
        <v>4054</v>
      </c>
      <c r="H137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71" s="49">
        <f ca="1">IFERROR(WEEKNUM(CRC_War_Room_SIMs[[#This Row],[Ops Date]]), "N/A")</f>
        <v>28</v>
      </c>
      <c r="J137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7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7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71" s="50">
        <f>IF(AND(CRC_War_Room_SIMs[[#This Row],[CI]] = 0, CRC_War_Room_SIMs[[#This Row],[Miss]] = 1), 1, 0)</f>
        <v>0</v>
      </c>
      <c r="N137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7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71" s="50">
        <f>IF(AND(CRC_War_Room_SIMs[[#This Row],[Excluded]] = 0, OR(CRC_War_Room_SIMs[[#This Row],[SLA Miss]] &lt;&gt; "", ISNUMBER(SEARCH("SLA", CRC_War_Room_SIMs[[#This Row],[Labels]])))), 1, 0)</f>
        <v>0</v>
      </c>
    </row>
    <row r="1372" spans="1:16" x14ac:dyDescent="0.25">
      <c r="A1372" t="s">
        <v>4084</v>
      </c>
      <c r="B1372" t="s">
        <v>4053</v>
      </c>
      <c r="C1372" t="s">
        <v>4054</v>
      </c>
      <c r="H137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72" s="49">
        <f ca="1">IFERROR(WEEKNUM(CRC_War_Room_SIMs[[#This Row],[Ops Date]]), "N/A")</f>
        <v>28</v>
      </c>
      <c r="J137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7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7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72" s="50">
        <f>IF(AND(CRC_War_Room_SIMs[[#This Row],[CI]] = 0, CRC_War_Room_SIMs[[#This Row],[Miss]] = 1), 1, 0)</f>
        <v>0</v>
      </c>
      <c r="N137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7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72" s="50">
        <f>IF(AND(CRC_War_Room_SIMs[[#This Row],[Excluded]] = 0, OR(CRC_War_Room_SIMs[[#This Row],[SLA Miss]] &lt;&gt; "", ISNUMBER(SEARCH("SLA", CRC_War_Room_SIMs[[#This Row],[Labels]])))), 1, 0)</f>
        <v>0</v>
      </c>
    </row>
    <row r="1373" spans="1:16" x14ac:dyDescent="0.25">
      <c r="A1373" t="s">
        <v>4085</v>
      </c>
      <c r="B1373" t="s">
        <v>4056</v>
      </c>
      <c r="C1373" t="s">
        <v>4054</v>
      </c>
      <c r="H137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73" s="49">
        <f ca="1">IFERROR(WEEKNUM(CRC_War_Room_SIMs[[#This Row],[Ops Date]]), "N/A")</f>
        <v>28</v>
      </c>
      <c r="J137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7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7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73" s="50">
        <f>IF(AND(CRC_War_Room_SIMs[[#This Row],[CI]] = 0, CRC_War_Room_SIMs[[#This Row],[Miss]] = 1), 1, 0)</f>
        <v>0</v>
      </c>
      <c r="N137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7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73" s="50">
        <f>IF(AND(CRC_War_Room_SIMs[[#This Row],[Excluded]] = 0, OR(CRC_War_Room_SIMs[[#This Row],[SLA Miss]] &lt;&gt; "", ISNUMBER(SEARCH("SLA", CRC_War_Room_SIMs[[#This Row],[Labels]])))), 1, 0)</f>
        <v>0</v>
      </c>
    </row>
    <row r="1374" spans="1:16" x14ac:dyDescent="0.25">
      <c r="A1374" t="s">
        <v>4086</v>
      </c>
      <c r="B1374" t="s">
        <v>4053</v>
      </c>
      <c r="C1374" t="s">
        <v>4054</v>
      </c>
      <c r="H137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74" s="49">
        <f ca="1">IFERROR(WEEKNUM(CRC_War_Room_SIMs[[#This Row],[Ops Date]]), "N/A")</f>
        <v>28</v>
      </c>
      <c r="J137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7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7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74" s="50">
        <f>IF(AND(CRC_War_Room_SIMs[[#This Row],[CI]] = 0, CRC_War_Room_SIMs[[#This Row],[Miss]] = 1), 1, 0)</f>
        <v>0</v>
      </c>
      <c r="N137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7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74" s="50">
        <f>IF(AND(CRC_War_Room_SIMs[[#This Row],[Excluded]] = 0, OR(CRC_War_Room_SIMs[[#This Row],[SLA Miss]] &lt;&gt; "", ISNUMBER(SEARCH("SLA", CRC_War_Room_SIMs[[#This Row],[Labels]])))), 1, 0)</f>
        <v>0</v>
      </c>
    </row>
    <row r="1375" spans="1:16" x14ac:dyDescent="0.25">
      <c r="A1375" t="s">
        <v>4087</v>
      </c>
      <c r="B1375" t="s">
        <v>4037</v>
      </c>
      <c r="C1375" t="s">
        <v>4054</v>
      </c>
      <c r="H137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75" s="49">
        <f ca="1">IFERROR(WEEKNUM(CRC_War_Room_SIMs[[#This Row],[Ops Date]]), "N/A")</f>
        <v>28</v>
      </c>
      <c r="J137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7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7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75" s="50">
        <f>IF(AND(CRC_War_Room_SIMs[[#This Row],[CI]] = 0, CRC_War_Room_SIMs[[#This Row],[Miss]] = 1), 1, 0)</f>
        <v>0</v>
      </c>
      <c r="N137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7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75" s="50">
        <f>IF(AND(CRC_War_Room_SIMs[[#This Row],[Excluded]] = 0, OR(CRC_War_Room_SIMs[[#This Row],[SLA Miss]] &lt;&gt; "", ISNUMBER(SEARCH("SLA", CRC_War_Room_SIMs[[#This Row],[Labels]])))), 1, 0)</f>
        <v>0</v>
      </c>
    </row>
    <row r="1376" spans="1:16" x14ac:dyDescent="0.25">
      <c r="A1376" t="s">
        <v>4088</v>
      </c>
      <c r="B1376" t="s">
        <v>4040</v>
      </c>
      <c r="C1376" t="s">
        <v>4054</v>
      </c>
      <c r="H137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76" s="49">
        <f ca="1">IFERROR(WEEKNUM(CRC_War_Room_SIMs[[#This Row],[Ops Date]]), "N/A")</f>
        <v>28</v>
      </c>
      <c r="J137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7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7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76" s="50">
        <f>IF(AND(CRC_War_Room_SIMs[[#This Row],[CI]] = 0, CRC_War_Room_SIMs[[#This Row],[Miss]] = 1), 1, 0)</f>
        <v>0</v>
      </c>
      <c r="N137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7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76" s="50">
        <f>IF(AND(CRC_War_Room_SIMs[[#This Row],[Excluded]] = 0, OR(CRC_War_Room_SIMs[[#This Row],[SLA Miss]] &lt;&gt; "", ISNUMBER(SEARCH("SLA", CRC_War_Room_SIMs[[#This Row],[Labels]])))), 1, 0)</f>
        <v>0</v>
      </c>
    </row>
    <row r="1377" spans="1:16" x14ac:dyDescent="0.25">
      <c r="A1377" t="s">
        <v>4089</v>
      </c>
      <c r="B1377" t="s">
        <v>4056</v>
      </c>
      <c r="C1377" t="s">
        <v>4054</v>
      </c>
      <c r="H137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77" s="49">
        <f ca="1">IFERROR(WEEKNUM(CRC_War_Room_SIMs[[#This Row],[Ops Date]]), "N/A")</f>
        <v>28</v>
      </c>
      <c r="J137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7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7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77" s="50">
        <f>IF(AND(CRC_War_Room_SIMs[[#This Row],[CI]] = 0, CRC_War_Room_SIMs[[#This Row],[Miss]] = 1), 1, 0)</f>
        <v>0</v>
      </c>
      <c r="N137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7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77" s="50">
        <f>IF(AND(CRC_War_Room_SIMs[[#This Row],[Excluded]] = 0, OR(CRC_War_Room_SIMs[[#This Row],[SLA Miss]] &lt;&gt; "", ISNUMBER(SEARCH("SLA", CRC_War_Room_SIMs[[#This Row],[Labels]])))), 1, 0)</f>
        <v>0</v>
      </c>
    </row>
    <row r="1378" spans="1:16" x14ac:dyDescent="0.25">
      <c r="A1378" t="s">
        <v>4090</v>
      </c>
      <c r="B1378" t="s">
        <v>4037</v>
      </c>
      <c r="C1378" t="s">
        <v>4054</v>
      </c>
      <c r="H137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78" s="49">
        <f ca="1">IFERROR(WEEKNUM(CRC_War_Room_SIMs[[#This Row],[Ops Date]]), "N/A")</f>
        <v>28</v>
      </c>
      <c r="J137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7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7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78" s="50">
        <f>IF(AND(CRC_War_Room_SIMs[[#This Row],[CI]] = 0, CRC_War_Room_SIMs[[#This Row],[Miss]] = 1), 1, 0)</f>
        <v>0</v>
      </c>
      <c r="N137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7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78" s="50">
        <f>IF(AND(CRC_War_Room_SIMs[[#This Row],[Excluded]] = 0, OR(CRC_War_Room_SIMs[[#This Row],[SLA Miss]] &lt;&gt; "", ISNUMBER(SEARCH("SLA", CRC_War_Room_SIMs[[#This Row],[Labels]])))), 1, 0)</f>
        <v>0</v>
      </c>
    </row>
    <row r="1379" spans="1:16" x14ac:dyDescent="0.25">
      <c r="A1379" t="s">
        <v>4091</v>
      </c>
      <c r="B1379" t="s">
        <v>4040</v>
      </c>
      <c r="C1379" t="s">
        <v>4054</v>
      </c>
      <c r="H137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79" s="49">
        <f ca="1">IFERROR(WEEKNUM(CRC_War_Room_SIMs[[#This Row],[Ops Date]]), "N/A")</f>
        <v>28</v>
      </c>
      <c r="J137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7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7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79" s="50">
        <f>IF(AND(CRC_War_Room_SIMs[[#This Row],[CI]] = 0, CRC_War_Room_SIMs[[#This Row],[Miss]] = 1), 1, 0)</f>
        <v>0</v>
      </c>
      <c r="N137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7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79" s="50">
        <f>IF(AND(CRC_War_Room_SIMs[[#This Row],[Excluded]] = 0, OR(CRC_War_Room_SIMs[[#This Row],[SLA Miss]] &lt;&gt; "", ISNUMBER(SEARCH("SLA", CRC_War_Room_SIMs[[#This Row],[Labels]])))), 1, 0)</f>
        <v>0</v>
      </c>
    </row>
    <row r="1380" spans="1:16" x14ac:dyDescent="0.25">
      <c r="A1380" t="s">
        <v>4092</v>
      </c>
      <c r="B1380" t="s">
        <v>4056</v>
      </c>
      <c r="C1380" t="s">
        <v>4054</v>
      </c>
      <c r="H138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80" s="49">
        <f ca="1">IFERROR(WEEKNUM(CRC_War_Room_SIMs[[#This Row],[Ops Date]]), "N/A")</f>
        <v>28</v>
      </c>
      <c r="J138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8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8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80" s="50">
        <f>IF(AND(CRC_War_Room_SIMs[[#This Row],[CI]] = 0, CRC_War_Room_SIMs[[#This Row],[Miss]] = 1), 1, 0)</f>
        <v>0</v>
      </c>
      <c r="N138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8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80" s="50">
        <f>IF(AND(CRC_War_Room_SIMs[[#This Row],[Excluded]] = 0, OR(CRC_War_Room_SIMs[[#This Row],[SLA Miss]] &lt;&gt; "", ISNUMBER(SEARCH("SLA", CRC_War_Room_SIMs[[#This Row],[Labels]])))), 1, 0)</f>
        <v>0</v>
      </c>
    </row>
    <row r="1381" spans="1:16" x14ac:dyDescent="0.25">
      <c r="A1381" t="s">
        <v>4093</v>
      </c>
      <c r="B1381" t="s">
        <v>4053</v>
      </c>
      <c r="C1381" t="s">
        <v>4054</v>
      </c>
      <c r="H138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81" s="49">
        <f ca="1">IFERROR(WEEKNUM(CRC_War_Room_SIMs[[#This Row],[Ops Date]]), "N/A")</f>
        <v>28</v>
      </c>
      <c r="J138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8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8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81" s="50">
        <f>IF(AND(CRC_War_Room_SIMs[[#This Row],[CI]] = 0, CRC_War_Room_SIMs[[#This Row],[Miss]] = 1), 1, 0)</f>
        <v>0</v>
      </c>
      <c r="N138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8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81" s="50">
        <f>IF(AND(CRC_War_Room_SIMs[[#This Row],[Excluded]] = 0, OR(CRC_War_Room_SIMs[[#This Row],[SLA Miss]] &lt;&gt; "", ISNUMBER(SEARCH("SLA", CRC_War_Room_SIMs[[#This Row],[Labels]])))), 1, 0)</f>
        <v>0</v>
      </c>
    </row>
    <row r="1382" spans="1:16" x14ac:dyDescent="0.25">
      <c r="A1382" t="s">
        <v>4094</v>
      </c>
      <c r="B1382" t="s">
        <v>4053</v>
      </c>
      <c r="C1382" t="s">
        <v>4054</v>
      </c>
      <c r="H138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82" s="49">
        <f ca="1">IFERROR(WEEKNUM(CRC_War_Room_SIMs[[#This Row],[Ops Date]]), "N/A")</f>
        <v>28</v>
      </c>
      <c r="J138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8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8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82" s="50">
        <f>IF(AND(CRC_War_Room_SIMs[[#This Row],[CI]] = 0, CRC_War_Room_SIMs[[#This Row],[Miss]] = 1), 1, 0)</f>
        <v>0</v>
      </c>
      <c r="N138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8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82" s="50">
        <f>IF(AND(CRC_War_Room_SIMs[[#This Row],[Excluded]] = 0, OR(CRC_War_Room_SIMs[[#This Row],[SLA Miss]] &lt;&gt; "", ISNUMBER(SEARCH("SLA", CRC_War_Room_SIMs[[#This Row],[Labels]])))), 1, 0)</f>
        <v>0</v>
      </c>
    </row>
    <row r="1383" spans="1:16" x14ac:dyDescent="0.25">
      <c r="A1383" t="s">
        <v>4095</v>
      </c>
      <c r="B1383" t="s">
        <v>4056</v>
      </c>
      <c r="C1383" t="s">
        <v>4054</v>
      </c>
      <c r="H138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83" s="49">
        <f ca="1">IFERROR(WEEKNUM(CRC_War_Room_SIMs[[#This Row],[Ops Date]]), "N/A")</f>
        <v>28</v>
      </c>
      <c r="J138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8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8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83" s="50">
        <f>IF(AND(CRC_War_Room_SIMs[[#This Row],[CI]] = 0, CRC_War_Room_SIMs[[#This Row],[Miss]] = 1), 1, 0)</f>
        <v>0</v>
      </c>
      <c r="N138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8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83" s="50">
        <f>IF(AND(CRC_War_Room_SIMs[[#This Row],[Excluded]] = 0, OR(CRC_War_Room_SIMs[[#This Row],[SLA Miss]] &lt;&gt; "", ISNUMBER(SEARCH("SLA", CRC_War_Room_SIMs[[#This Row],[Labels]])))), 1, 0)</f>
        <v>0</v>
      </c>
    </row>
    <row r="1384" spans="1:16" x14ac:dyDescent="0.25">
      <c r="A1384" t="s">
        <v>4096</v>
      </c>
      <c r="B1384" t="s">
        <v>4037</v>
      </c>
      <c r="C1384" t="s">
        <v>4054</v>
      </c>
      <c r="H138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84" s="49">
        <f ca="1">IFERROR(WEEKNUM(CRC_War_Room_SIMs[[#This Row],[Ops Date]]), "N/A")</f>
        <v>28</v>
      </c>
      <c r="J138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8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8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84" s="50">
        <f>IF(AND(CRC_War_Room_SIMs[[#This Row],[CI]] = 0, CRC_War_Room_SIMs[[#This Row],[Miss]] = 1), 1, 0)</f>
        <v>0</v>
      </c>
      <c r="N138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8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84" s="50">
        <f>IF(AND(CRC_War_Room_SIMs[[#This Row],[Excluded]] = 0, OR(CRC_War_Room_SIMs[[#This Row],[SLA Miss]] &lt;&gt; "", ISNUMBER(SEARCH("SLA", CRC_War_Room_SIMs[[#This Row],[Labels]])))), 1, 0)</f>
        <v>0</v>
      </c>
    </row>
    <row r="1385" spans="1:16" x14ac:dyDescent="0.25">
      <c r="A1385" t="s">
        <v>4097</v>
      </c>
      <c r="B1385" t="s">
        <v>4040</v>
      </c>
      <c r="C1385" t="s">
        <v>4054</v>
      </c>
      <c r="H138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85" s="49">
        <f ca="1">IFERROR(WEEKNUM(CRC_War_Room_SIMs[[#This Row],[Ops Date]]), "N/A")</f>
        <v>28</v>
      </c>
      <c r="J138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8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8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85" s="50">
        <f>IF(AND(CRC_War_Room_SIMs[[#This Row],[CI]] = 0, CRC_War_Room_SIMs[[#This Row],[Miss]] = 1), 1, 0)</f>
        <v>0</v>
      </c>
      <c r="N138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8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85" s="50">
        <f>IF(AND(CRC_War_Room_SIMs[[#This Row],[Excluded]] = 0, OR(CRC_War_Room_SIMs[[#This Row],[SLA Miss]] &lt;&gt; "", ISNUMBER(SEARCH("SLA", CRC_War_Room_SIMs[[#This Row],[Labels]])))), 1, 0)</f>
        <v>0</v>
      </c>
    </row>
    <row r="1386" spans="1:16" x14ac:dyDescent="0.25">
      <c r="A1386" t="s">
        <v>4098</v>
      </c>
      <c r="B1386" t="s">
        <v>4056</v>
      </c>
      <c r="C1386" t="s">
        <v>4054</v>
      </c>
      <c r="H138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86" s="49">
        <f ca="1">IFERROR(WEEKNUM(CRC_War_Room_SIMs[[#This Row],[Ops Date]]), "N/A")</f>
        <v>28</v>
      </c>
      <c r="J138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8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8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86" s="50">
        <f>IF(AND(CRC_War_Room_SIMs[[#This Row],[CI]] = 0, CRC_War_Room_SIMs[[#This Row],[Miss]] = 1), 1, 0)</f>
        <v>0</v>
      </c>
      <c r="N138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8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86" s="50">
        <f>IF(AND(CRC_War_Room_SIMs[[#This Row],[Excluded]] = 0, OR(CRC_War_Room_SIMs[[#This Row],[SLA Miss]] &lt;&gt; "", ISNUMBER(SEARCH("SLA", CRC_War_Room_SIMs[[#This Row],[Labels]])))), 1, 0)</f>
        <v>0</v>
      </c>
    </row>
    <row r="1387" spans="1:16" x14ac:dyDescent="0.25">
      <c r="A1387" t="s">
        <v>4099</v>
      </c>
      <c r="B1387" t="s">
        <v>4040</v>
      </c>
      <c r="C1387" t="s">
        <v>4054</v>
      </c>
      <c r="H138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87" s="49">
        <f ca="1">IFERROR(WEEKNUM(CRC_War_Room_SIMs[[#This Row],[Ops Date]]), "N/A")</f>
        <v>28</v>
      </c>
      <c r="J138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8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8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87" s="50">
        <f>IF(AND(CRC_War_Room_SIMs[[#This Row],[CI]] = 0, CRC_War_Room_SIMs[[#This Row],[Miss]] = 1), 1, 0)</f>
        <v>0</v>
      </c>
      <c r="N138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8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87" s="50">
        <f>IF(AND(CRC_War_Room_SIMs[[#This Row],[Excluded]] = 0, OR(CRC_War_Room_SIMs[[#This Row],[SLA Miss]] &lt;&gt; "", ISNUMBER(SEARCH("SLA", CRC_War_Room_SIMs[[#This Row],[Labels]])))), 1, 0)</f>
        <v>0</v>
      </c>
    </row>
    <row r="1388" spans="1:16" x14ac:dyDescent="0.25">
      <c r="A1388" t="s">
        <v>4100</v>
      </c>
      <c r="B1388" t="s">
        <v>4040</v>
      </c>
      <c r="C1388" t="s">
        <v>4054</v>
      </c>
      <c r="H138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88" s="49">
        <f ca="1">IFERROR(WEEKNUM(CRC_War_Room_SIMs[[#This Row],[Ops Date]]), "N/A")</f>
        <v>28</v>
      </c>
      <c r="J138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8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8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88" s="50">
        <f>IF(AND(CRC_War_Room_SIMs[[#This Row],[CI]] = 0, CRC_War_Room_SIMs[[#This Row],[Miss]] = 1), 1, 0)</f>
        <v>0</v>
      </c>
      <c r="N138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8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88" s="50">
        <f>IF(AND(CRC_War_Room_SIMs[[#This Row],[Excluded]] = 0, OR(CRC_War_Room_SIMs[[#This Row],[SLA Miss]] &lt;&gt; "", ISNUMBER(SEARCH("SLA", CRC_War_Room_SIMs[[#This Row],[Labels]])))), 1, 0)</f>
        <v>0</v>
      </c>
    </row>
    <row r="1389" spans="1:16" x14ac:dyDescent="0.25">
      <c r="A1389" t="s">
        <v>4101</v>
      </c>
      <c r="B1389" t="s">
        <v>4056</v>
      </c>
      <c r="C1389" t="s">
        <v>4054</v>
      </c>
      <c r="H138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89" s="49">
        <f ca="1">IFERROR(WEEKNUM(CRC_War_Room_SIMs[[#This Row],[Ops Date]]), "N/A")</f>
        <v>28</v>
      </c>
      <c r="J138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8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8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89" s="50">
        <f>IF(AND(CRC_War_Room_SIMs[[#This Row],[CI]] = 0, CRC_War_Room_SIMs[[#This Row],[Miss]] = 1), 1, 0)</f>
        <v>0</v>
      </c>
      <c r="N138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8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89" s="50">
        <f>IF(AND(CRC_War_Room_SIMs[[#This Row],[Excluded]] = 0, OR(CRC_War_Room_SIMs[[#This Row],[SLA Miss]] &lt;&gt; "", ISNUMBER(SEARCH("SLA", CRC_War_Room_SIMs[[#This Row],[Labels]])))), 1, 0)</f>
        <v>0</v>
      </c>
    </row>
    <row r="1390" spans="1:16" x14ac:dyDescent="0.25">
      <c r="A1390" t="s">
        <v>4102</v>
      </c>
      <c r="B1390" t="s">
        <v>4061</v>
      </c>
      <c r="C1390" t="s">
        <v>4054</v>
      </c>
      <c r="H139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90" s="49">
        <f ca="1">IFERROR(WEEKNUM(CRC_War_Room_SIMs[[#This Row],[Ops Date]]), "N/A")</f>
        <v>28</v>
      </c>
      <c r="J139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9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9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90" s="50">
        <f>IF(AND(CRC_War_Room_SIMs[[#This Row],[CI]] = 0, CRC_War_Room_SIMs[[#This Row],[Miss]] = 1), 1, 0)</f>
        <v>0</v>
      </c>
      <c r="N139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9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90" s="50">
        <f>IF(AND(CRC_War_Room_SIMs[[#This Row],[Excluded]] = 0, OR(CRC_War_Room_SIMs[[#This Row],[SLA Miss]] &lt;&gt; "", ISNUMBER(SEARCH("SLA", CRC_War_Room_SIMs[[#This Row],[Labels]])))), 1, 0)</f>
        <v>0</v>
      </c>
    </row>
    <row r="1391" spans="1:16" x14ac:dyDescent="0.25">
      <c r="A1391" t="s">
        <v>4103</v>
      </c>
      <c r="B1391" t="s">
        <v>4037</v>
      </c>
      <c r="C1391" t="s">
        <v>4054</v>
      </c>
      <c r="H139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91" s="49">
        <f ca="1">IFERROR(WEEKNUM(CRC_War_Room_SIMs[[#This Row],[Ops Date]]), "N/A")</f>
        <v>28</v>
      </c>
      <c r="J139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9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9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91" s="50">
        <f>IF(AND(CRC_War_Room_SIMs[[#This Row],[CI]] = 0, CRC_War_Room_SIMs[[#This Row],[Miss]] = 1), 1, 0)</f>
        <v>0</v>
      </c>
      <c r="N139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9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91" s="50">
        <f>IF(AND(CRC_War_Room_SIMs[[#This Row],[Excluded]] = 0, OR(CRC_War_Room_SIMs[[#This Row],[SLA Miss]] &lt;&gt; "", ISNUMBER(SEARCH("SLA", CRC_War_Room_SIMs[[#This Row],[Labels]])))), 1, 0)</f>
        <v>0</v>
      </c>
    </row>
    <row r="1392" spans="1:16" x14ac:dyDescent="0.25">
      <c r="A1392" t="s">
        <v>4104</v>
      </c>
      <c r="B1392" t="s">
        <v>4053</v>
      </c>
      <c r="C1392" t="s">
        <v>4054</v>
      </c>
      <c r="H139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92" s="49">
        <f ca="1">IFERROR(WEEKNUM(CRC_War_Room_SIMs[[#This Row],[Ops Date]]), "N/A")</f>
        <v>28</v>
      </c>
      <c r="J139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9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9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92" s="50">
        <f>IF(AND(CRC_War_Room_SIMs[[#This Row],[CI]] = 0, CRC_War_Room_SIMs[[#This Row],[Miss]] = 1), 1, 0)</f>
        <v>0</v>
      </c>
      <c r="N139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9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92" s="50">
        <f>IF(AND(CRC_War_Room_SIMs[[#This Row],[Excluded]] = 0, OR(CRC_War_Room_SIMs[[#This Row],[SLA Miss]] &lt;&gt; "", ISNUMBER(SEARCH("SLA", CRC_War_Room_SIMs[[#This Row],[Labels]])))), 1, 0)</f>
        <v>0</v>
      </c>
    </row>
    <row r="1393" spans="1:16" x14ac:dyDescent="0.25">
      <c r="A1393" t="s">
        <v>4105</v>
      </c>
      <c r="B1393" t="s">
        <v>4056</v>
      </c>
      <c r="C1393" t="s">
        <v>4054</v>
      </c>
      <c r="H139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93" s="49">
        <f ca="1">IFERROR(WEEKNUM(CRC_War_Room_SIMs[[#This Row],[Ops Date]]), "N/A")</f>
        <v>28</v>
      </c>
      <c r="J139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9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9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93" s="50">
        <f>IF(AND(CRC_War_Room_SIMs[[#This Row],[CI]] = 0, CRC_War_Room_SIMs[[#This Row],[Miss]] = 1), 1, 0)</f>
        <v>0</v>
      </c>
      <c r="N139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9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93" s="50">
        <f>IF(AND(CRC_War_Room_SIMs[[#This Row],[Excluded]] = 0, OR(CRC_War_Room_SIMs[[#This Row],[SLA Miss]] &lt;&gt; "", ISNUMBER(SEARCH("SLA", CRC_War_Room_SIMs[[#This Row],[Labels]])))), 1, 0)</f>
        <v>0</v>
      </c>
    </row>
    <row r="1394" spans="1:16" x14ac:dyDescent="0.25">
      <c r="A1394" t="s">
        <v>4106</v>
      </c>
      <c r="B1394" t="s">
        <v>4045</v>
      </c>
      <c r="C1394" t="s">
        <v>4054</v>
      </c>
      <c r="H139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94" s="49">
        <f ca="1">IFERROR(WEEKNUM(CRC_War_Room_SIMs[[#This Row],[Ops Date]]), "N/A")</f>
        <v>28</v>
      </c>
      <c r="J139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9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9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94" s="50">
        <f>IF(AND(CRC_War_Room_SIMs[[#This Row],[CI]] = 0, CRC_War_Room_SIMs[[#This Row],[Miss]] = 1), 1, 0)</f>
        <v>0</v>
      </c>
      <c r="N139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9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94" s="50">
        <f>IF(AND(CRC_War_Room_SIMs[[#This Row],[Excluded]] = 0, OR(CRC_War_Room_SIMs[[#This Row],[SLA Miss]] &lt;&gt; "", ISNUMBER(SEARCH("SLA", CRC_War_Room_SIMs[[#This Row],[Labels]])))), 1, 0)</f>
        <v>0</v>
      </c>
    </row>
    <row r="1395" spans="1:16" x14ac:dyDescent="0.25">
      <c r="A1395" t="s">
        <v>4107</v>
      </c>
      <c r="B1395" t="s">
        <v>4037</v>
      </c>
      <c r="C1395" t="s">
        <v>4054</v>
      </c>
      <c r="H139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95" s="49">
        <f ca="1">IFERROR(WEEKNUM(CRC_War_Room_SIMs[[#This Row],[Ops Date]]), "N/A")</f>
        <v>28</v>
      </c>
      <c r="J139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9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9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95" s="50">
        <f>IF(AND(CRC_War_Room_SIMs[[#This Row],[CI]] = 0, CRC_War_Room_SIMs[[#This Row],[Miss]] = 1), 1, 0)</f>
        <v>0</v>
      </c>
      <c r="N139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9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95" s="50">
        <f>IF(AND(CRC_War_Room_SIMs[[#This Row],[Excluded]] = 0, OR(CRC_War_Room_SIMs[[#This Row],[SLA Miss]] &lt;&gt; "", ISNUMBER(SEARCH("SLA", CRC_War_Room_SIMs[[#This Row],[Labels]])))), 1, 0)</f>
        <v>0</v>
      </c>
    </row>
    <row r="1396" spans="1:16" x14ac:dyDescent="0.25">
      <c r="A1396" t="s">
        <v>4108</v>
      </c>
      <c r="B1396" t="s">
        <v>4058</v>
      </c>
      <c r="C1396" t="s">
        <v>4054</v>
      </c>
      <c r="H139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96" s="49">
        <f ca="1">IFERROR(WEEKNUM(CRC_War_Room_SIMs[[#This Row],[Ops Date]]), "N/A")</f>
        <v>28</v>
      </c>
      <c r="J139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9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9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96" s="50">
        <f>IF(AND(CRC_War_Room_SIMs[[#This Row],[CI]] = 0, CRC_War_Room_SIMs[[#This Row],[Miss]] = 1), 1, 0)</f>
        <v>0</v>
      </c>
      <c r="N139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9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96" s="50">
        <f>IF(AND(CRC_War_Room_SIMs[[#This Row],[Excluded]] = 0, OR(CRC_War_Room_SIMs[[#This Row],[SLA Miss]] &lt;&gt; "", ISNUMBER(SEARCH("SLA", CRC_War_Room_SIMs[[#This Row],[Labels]])))), 1, 0)</f>
        <v>0</v>
      </c>
    </row>
    <row r="1397" spans="1:16" x14ac:dyDescent="0.25">
      <c r="A1397" t="s">
        <v>4109</v>
      </c>
      <c r="B1397" t="s">
        <v>3262</v>
      </c>
      <c r="C1397" t="s">
        <v>4054</v>
      </c>
      <c r="H139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97" s="49">
        <f ca="1">IFERROR(WEEKNUM(CRC_War_Room_SIMs[[#This Row],[Ops Date]]), "N/A")</f>
        <v>28</v>
      </c>
      <c r="J139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9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9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97" s="50">
        <f>IF(AND(CRC_War_Room_SIMs[[#This Row],[CI]] = 0, CRC_War_Room_SIMs[[#This Row],[Miss]] = 1), 1, 0)</f>
        <v>0</v>
      </c>
      <c r="N139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9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97" s="50">
        <f>IF(AND(CRC_War_Room_SIMs[[#This Row],[Excluded]] = 0, OR(CRC_War_Room_SIMs[[#This Row],[SLA Miss]] &lt;&gt; "", ISNUMBER(SEARCH("SLA", CRC_War_Room_SIMs[[#This Row],[Labels]])))), 1, 0)</f>
        <v>0</v>
      </c>
    </row>
    <row r="1398" spans="1:16" x14ac:dyDescent="0.25">
      <c r="A1398" t="s">
        <v>4110</v>
      </c>
      <c r="B1398" t="s">
        <v>4045</v>
      </c>
      <c r="C1398" t="s">
        <v>4054</v>
      </c>
      <c r="H139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98" s="49">
        <f ca="1">IFERROR(WEEKNUM(CRC_War_Room_SIMs[[#This Row],[Ops Date]]), "N/A")</f>
        <v>28</v>
      </c>
      <c r="J139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9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9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98" s="50">
        <f>IF(AND(CRC_War_Room_SIMs[[#This Row],[CI]] = 0, CRC_War_Room_SIMs[[#This Row],[Miss]] = 1), 1, 0)</f>
        <v>0</v>
      </c>
      <c r="N139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9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98" s="50">
        <f>IF(AND(CRC_War_Room_SIMs[[#This Row],[Excluded]] = 0, OR(CRC_War_Room_SIMs[[#This Row],[SLA Miss]] &lt;&gt; "", ISNUMBER(SEARCH("SLA", CRC_War_Room_SIMs[[#This Row],[Labels]])))), 1, 0)</f>
        <v>0</v>
      </c>
    </row>
    <row r="1399" spans="1:16" x14ac:dyDescent="0.25">
      <c r="A1399" t="s">
        <v>4111</v>
      </c>
      <c r="B1399" t="s">
        <v>4058</v>
      </c>
      <c r="C1399" t="s">
        <v>4054</v>
      </c>
      <c r="H139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399" s="49">
        <f ca="1">IFERROR(WEEKNUM(CRC_War_Room_SIMs[[#This Row],[Ops Date]]), "N/A")</f>
        <v>28</v>
      </c>
      <c r="J139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39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39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399" s="50">
        <f>IF(AND(CRC_War_Room_SIMs[[#This Row],[CI]] = 0, CRC_War_Room_SIMs[[#This Row],[Miss]] = 1), 1, 0)</f>
        <v>0</v>
      </c>
      <c r="N139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39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399" s="50">
        <f>IF(AND(CRC_War_Room_SIMs[[#This Row],[Excluded]] = 0, OR(CRC_War_Room_SIMs[[#This Row],[SLA Miss]] &lt;&gt; "", ISNUMBER(SEARCH("SLA", CRC_War_Room_SIMs[[#This Row],[Labels]])))), 1, 0)</f>
        <v>0</v>
      </c>
    </row>
    <row r="1400" spans="1:16" x14ac:dyDescent="0.25">
      <c r="A1400" t="s">
        <v>4112</v>
      </c>
      <c r="B1400" t="s">
        <v>4037</v>
      </c>
      <c r="C1400" t="s">
        <v>4054</v>
      </c>
      <c r="H140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400" s="49">
        <f ca="1">IFERROR(WEEKNUM(CRC_War_Room_SIMs[[#This Row],[Ops Date]]), "N/A")</f>
        <v>28</v>
      </c>
      <c r="J140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0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0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00" s="50">
        <f>IF(AND(CRC_War_Room_SIMs[[#This Row],[CI]] = 0, CRC_War_Room_SIMs[[#This Row],[Miss]] = 1), 1, 0)</f>
        <v>0</v>
      </c>
      <c r="N140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0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00" s="50">
        <f>IF(AND(CRC_War_Room_SIMs[[#This Row],[Excluded]] = 0, OR(CRC_War_Room_SIMs[[#This Row],[SLA Miss]] &lt;&gt; "", ISNUMBER(SEARCH("SLA", CRC_War_Room_SIMs[[#This Row],[Labels]])))), 1, 0)</f>
        <v>0</v>
      </c>
    </row>
    <row r="1401" spans="1:16" x14ac:dyDescent="0.25">
      <c r="A1401" t="s">
        <v>4113</v>
      </c>
      <c r="B1401" t="s">
        <v>4037</v>
      </c>
      <c r="C1401" t="s">
        <v>4054</v>
      </c>
      <c r="H140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401" s="49">
        <f ca="1">IFERROR(WEEKNUM(CRC_War_Room_SIMs[[#This Row],[Ops Date]]), "N/A")</f>
        <v>28</v>
      </c>
      <c r="J140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0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0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01" s="50">
        <f>IF(AND(CRC_War_Room_SIMs[[#This Row],[CI]] = 0, CRC_War_Room_SIMs[[#This Row],[Miss]] = 1), 1, 0)</f>
        <v>0</v>
      </c>
      <c r="N140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0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01" s="50">
        <f>IF(AND(CRC_War_Room_SIMs[[#This Row],[Excluded]] = 0, OR(CRC_War_Room_SIMs[[#This Row],[SLA Miss]] &lt;&gt; "", ISNUMBER(SEARCH("SLA", CRC_War_Room_SIMs[[#This Row],[Labels]])))), 1, 0)</f>
        <v>0</v>
      </c>
    </row>
    <row r="1402" spans="1:16" x14ac:dyDescent="0.25">
      <c r="A1402" t="s">
        <v>4114</v>
      </c>
      <c r="B1402" t="s">
        <v>4053</v>
      </c>
      <c r="C1402" t="s">
        <v>4054</v>
      </c>
      <c r="H140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402" s="49">
        <f ca="1">IFERROR(WEEKNUM(CRC_War_Room_SIMs[[#This Row],[Ops Date]]), "N/A")</f>
        <v>28</v>
      </c>
      <c r="J140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0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0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02" s="50">
        <f>IF(AND(CRC_War_Room_SIMs[[#This Row],[CI]] = 0, CRC_War_Room_SIMs[[#This Row],[Miss]] = 1), 1, 0)</f>
        <v>0</v>
      </c>
      <c r="N140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0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02" s="50">
        <f>IF(AND(CRC_War_Room_SIMs[[#This Row],[Excluded]] = 0, OR(CRC_War_Room_SIMs[[#This Row],[SLA Miss]] &lt;&gt; "", ISNUMBER(SEARCH("SLA", CRC_War_Room_SIMs[[#This Row],[Labels]])))), 1, 0)</f>
        <v>0</v>
      </c>
    </row>
    <row r="1403" spans="1:16" x14ac:dyDescent="0.25">
      <c r="A1403" t="s">
        <v>4115</v>
      </c>
      <c r="B1403" t="s">
        <v>4058</v>
      </c>
      <c r="C1403" t="s">
        <v>4054</v>
      </c>
      <c r="H140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403" s="49">
        <f ca="1">IFERROR(WEEKNUM(CRC_War_Room_SIMs[[#This Row],[Ops Date]]), "N/A")</f>
        <v>28</v>
      </c>
      <c r="J140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0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0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03" s="50">
        <f>IF(AND(CRC_War_Room_SIMs[[#This Row],[CI]] = 0, CRC_War_Room_SIMs[[#This Row],[Miss]] = 1), 1, 0)</f>
        <v>0</v>
      </c>
      <c r="N140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0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03" s="50">
        <f>IF(AND(CRC_War_Room_SIMs[[#This Row],[Excluded]] = 0, OR(CRC_War_Room_SIMs[[#This Row],[SLA Miss]] &lt;&gt; "", ISNUMBER(SEARCH("SLA", CRC_War_Room_SIMs[[#This Row],[Labels]])))), 1, 0)</f>
        <v>0</v>
      </c>
    </row>
    <row r="1404" spans="1:16" x14ac:dyDescent="0.25">
      <c r="A1404" t="s">
        <v>4116</v>
      </c>
      <c r="B1404" t="s">
        <v>4045</v>
      </c>
      <c r="C1404" t="s">
        <v>4054</v>
      </c>
      <c r="H140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404" s="49">
        <f ca="1">IFERROR(WEEKNUM(CRC_War_Room_SIMs[[#This Row],[Ops Date]]), "N/A")</f>
        <v>28</v>
      </c>
      <c r="J140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0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0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04" s="50">
        <f>IF(AND(CRC_War_Room_SIMs[[#This Row],[CI]] = 0, CRC_War_Room_SIMs[[#This Row],[Miss]] = 1), 1, 0)</f>
        <v>0</v>
      </c>
      <c r="N140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0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04" s="50">
        <f>IF(AND(CRC_War_Room_SIMs[[#This Row],[Excluded]] = 0, OR(CRC_War_Room_SIMs[[#This Row],[SLA Miss]] &lt;&gt; "", ISNUMBER(SEARCH("SLA", CRC_War_Room_SIMs[[#This Row],[Labels]])))), 1, 0)</f>
        <v>0</v>
      </c>
    </row>
    <row r="1405" spans="1:16" x14ac:dyDescent="0.25">
      <c r="A1405" t="s">
        <v>4117</v>
      </c>
      <c r="B1405" t="s">
        <v>3262</v>
      </c>
      <c r="C1405" t="s">
        <v>4054</v>
      </c>
      <c r="H140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405" s="49">
        <f ca="1">IFERROR(WEEKNUM(CRC_War_Room_SIMs[[#This Row],[Ops Date]]), "N/A")</f>
        <v>28</v>
      </c>
      <c r="J140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0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0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05" s="50">
        <f>IF(AND(CRC_War_Room_SIMs[[#This Row],[CI]] = 0, CRC_War_Room_SIMs[[#This Row],[Miss]] = 1), 1, 0)</f>
        <v>0</v>
      </c>
      <c r="N140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0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05" s="50">
        <f>IF(AND(CRC_War_Room_SIMs[[#This Row],[Excluded]] = 0, OR(CRC_War_Room_SIMs[[#This Row],[SLA Miss]] &lt;&gt; "", ISNUMBER(SEARCH("SLA", CRC_War_Room_SIMs[[#This Row],[Labels]])))), 1, 0)</f>
        <v>0</v>
      </c>
    </row>
    <row r="1406" spans="1:16" x14ac:dyDescent="0.25">
      <c r="A1406" t="s">
        <v>4118</v>
      </c>
      <c r="B1406" t="s">
        <v>4045</v>
      </c>
      <c r="C1406" t="s">
        <v>4054</v>
      </c>
      <c r="H140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406" s="49">
        <f ca="1">IFERROR(WEEKNUM(CRC_War_Room_SIMs[[#This Row],[Ops Date]]), "N/A")</f>
        <v>28</v>
      </c>
      <c r="J140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0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0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06" s="50">
        <f>IF(AND(CRC_War_Room_SIMs[[#This Row],[CI]] = 0, CRC_War_Room_SIMs[[#This Row],[Miss]] = 1), 1, 0)</f>
        <v>0</v>
      </c>
      <c r="N140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0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06" s="50">
        <f>IF(AND(CRC_War_Room_SIMs[[#This Row],[Excluded]] = 0, OR(CRC_War_Room_SIMs[[#This Row],[SLA Miss]] &lt;&gt; "", ISNUMBER(SEARCH("SLA", CRC_War_Room_SIMs[[#This Row],[Labels]])))), 1, 0)</f>
        <v>0</v>
      </c>
    </row>
    <row r="1407" spans="1:16" x14ac:dyDescent="0.25">
      <c r="A1407" t="s">
        <v>4119</v>
      </c>
      <c r="B1407" t="s">
        <v>4058</v>
      </c>
      <c r="C1407" t="s">
        <v>4054</v>
      </c>
      <c r="H140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407" s="49">
        <f ca="1">IFERROR(WEEKNUM(CRC_War_Room_SIMs[[#This Row],[Ops Date]]), "N/A")</f>
        <v>28</v>
      </c>
      <c r="J140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0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0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07" s="50">
        <f>IF(AND(CRC_War_Room_SIMs[[#This Row],[CI]] = 0, CRC_War_Room_SIMs[[#This Row],[Miss]] = 1), 1, 0)</f>
        <v>0</v>
      </c>
      <c r="N140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0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07" s="50">
        <f>IF(AND(CRC_War_Room_SIMs[[#This Row],[Excluded]] = 0, OR(CRC_War_Room_SIMs[[#This Row],[SLA Miss]] &lt;&gt; "", ISNUMBER(SEARCH("SLA", CRC_War_Room_SIMs[[#This Row],[Labels]])))), 1, 0)</f>
        <v>0</v>
      </c>
    </row>
    <row r="1408" spans="1:16" x14ac:dyDescent="0.25">
      <c r="A1408" t="s">
        <v>4120</v>
      </c>
      <c r="B1408" t="s">
        <v>4056</v>
      </c>
      <c r="C1408" t="s">
        <v>4054</v>
      </c>
      <c r="H140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408" s="49">
        <f ca="1">IFERROR(WEEKNUM(CRC_War_Room_SIMs[[#This Row],[Ops Date]]), "N/A")</f>
        <v>28</v>
      </c>
      <c r="J140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0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0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08" s="50">
        <f>IF(AND(CRC_War_Room_SIMs[[#This Row],[CI]] = 0, CRC_War_Room_SIMs[[#This Row],[Miss]] = 1), 1, 0)</f>
        <v>0</v>
      </c>
      <c r="N140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0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08" s="50">
        <f>IF(AND(CRC_War_Room_SIMs[[#This Row],[Excluded]] = 0, OR(CRC_War_Room_SIMs[[#This Row],[SLA Miss]] &lt;&gt; "", ISNUMBER(SEARCH("SLA", CRC_War_Room_SIMs[[#This Row],[Labels]])))), 1, 0)</f>
        <v>0</v>
      </c>
    </row>
    <row r="1409" spans="1:16" x14ac:dyDescent="0.25">
      <c r="A1409" t="s">
        <v>4121</v>
      </c>
      <c r="B1409" t="s">
        <v>4053</v>
      </c>
      <c r="C1409" t="s">
        <v>4054</v>
      </c>
      <c r="H140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409" s="49">
        <f ca="1">IFERROR(WEEKNUM(CRC_War_Room_SIMs[[#This Row],[Ops Date]]), "N/A")</f>
        <v>28</v>
      </c>
      <c r="J140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0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0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09" s="50">
        <f>IF(AND(CRC_War_Room_SIMs[[#This Row],[CI]] = 0, CRC_War_Room_SIMs[[#This Row],[Miss]] = 1), 1, 0)</f>
        <v>0</v>
      </c>
      <c r="N140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0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09" s="50">
        <f>IF(AND(CRC_War_Room_SIMs[[#This Row],[Excluded]] = 0, OR(CRC_War_Room_SIMs[[#This Row],[SLA Miss]] &lt;&gt; "", ISNUMBER(SEARCH("SLA", CRC_War_Room_SIMs[[#This Row],[Labels]])))), 1, 0)</f>
        <v>0</v>
      </c>
    </row>
    <row r="1410" spans="1:16" x14ac:dyDescent="0.25">
      <c r="A1410" t="s">
        <v>4122</v>
      </c>
      <c r="B1410" t="s">
        <v>4037</v>
      </c>
      <c r="C1410" t="s">
        <v>4054</v>
      </c>
      <c r="H141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410" s="49">
        <f ca="1">IFERROR(WEEKNUM(CRC_War_Room_SIMs[[#This Row],[Ops Date]]), "N/A")</f>
        <v>28</v>
      </c>
      <c r="J141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1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1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10" s="50">
        <f>IF(AND(CRC_War_Room_SIMs[[#This Row],[CI]] = 0, CRC_War_Room_SIMs[[#This Row],[Miss]] = 1), 1, 0)</f>
        <v>0</v>
      </c>
      <c r="N141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1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10" s="50">
        <f>IF(AND(CRC_War_Room_SIMs[[#This Row],[Excluded]] = 0, OR(CRC_War_Room_SIMs[[#This Row],[SLA Miss]] &lt;&gt; "", ISNUMBER(SEARCH("SLA", CRC_War_Room_SIMs[[#This Row],[Labels]])))), 1, 0)</f>
        <v>0</v>
      </c>
    </row>
    <row r="1411" spans="1:16" x14ac:dyDescent="0.25">
      <c r="A1411" t="s">
        <v>4123</v>
      </c>
      <c r="B1411" t="s">
        <v>4061</v>
      </c>
      <c r="C1411" t="s">
        <v>4054</v>
      </c>
      <c r="H141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411" s="49">
        <f ca="1">IFERROR(WEEKNUM(CRC_War_Room_SIMs[[#This Row],[Ops Date]]), "N/A")</f>
        <v>28</v>
      </c>
      <c r="J141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1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1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11" s="50">
        <f>IF(AND(CRC_War_Room_SIMs[[#This Row],[CI]] = 0, CRC_War_Room_SIMs[[#This Row],[Miss]] = 1), 1, 0)</f>
        <v>0</v>
      </c>
      <c r="N141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1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11" s="50">
        <f>IF(AND(CRC_War_Room_SIMs[[#This Row],[Excluded]] = 0, OR(CRC_War_Room_SIMs[[#This Row],[SLA Miss]] &lt;&gt; "", ISNUMBER(SEARCH("SLA", CRC_War_Room_SIMs[[#This Row],[Labels]])))), 1, 0)</f>
        <v>0</v>
      </c>
    </row>
    <row r="1412" spans="1:16" x14ac:dyDescent="0.25">
      <c r="A1412" t="s">
        <v>4124</v>
      </c>
      <c r="B1412" t="s">
        <v>3262</v>
      </c>
      <c r="C1412" t="s">
        <v>4054</v>
      </c>
      <c r="H141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412" s="49">
        <f ca="1">IFERROR(WEEKNUM(CRC_War_Room_SIMs[[#This Row],[Ops Date]]), "N/A")</f>
        <v>28</v>
      </c>
      <c r="J141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1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1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12" s="50">
        <f>IF(AND(CRC_War_Room_SIMs[[#This Row],[CI]] = 0, CRC_War_Room_SIMs[[#This Row],[Miss]] = 1), 1, 0)</f>
        <v>0</v>
      </c>
      <c r="N141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1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12" s="50">
        <f>IF(AND(CRC_War_Room_SIMs[[#This Row],[Excluded]] = 0, OR(CRC_War_Room_SIMs[[#This Row],[SLA Miss]] &lt;&gt; "", ISNUMBER(SEARCH("SLA", CRC_War_Room_SIMs[[#This Row],[Labels]])))), 1, 0)</f>
        <v>0</v>
      </c>
    </row>
    <row r="1413" spans="1:16" x14ac:dyDescent="0.25">
      <c r="A1413" t="s">
        <v>4125</v>
      </c>
      <c r="B1413" t="s">
        <v>4056</v>
      </c>
      <c r="C1413" t="s">
        <v>4054</v>
      </c>
      <c r="H141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413" s="49">
        <f ca="1">IFERROR(WEEKNUM(CRC_War_Room_SIMs[[#This Row],[Ops Date]]), "N/A")</f>
        <v>28</v>
      </c>
      <c r="J141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1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1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13" s="50">
        <f>IF(AND(CRC_War_Room_SIMs[[#This Row],[CI]] = 0, CRC_War_Room_SIMs[[#This Row],[Miss]] = 1), 1, 0)</f>
        <v>0</v>
      </c>
      <c r="N141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1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13" s="50">
        <f>IF(AND(CRC_War_Room_SIMs[[#This Row],[Excluded]] = 0, OR(CRC_War_Room_SIMs[[#This Row],[SLA Miss]] &lt;&gt; "", ISNUMBER(SEARCH("SLA", CRC_War_Room_SIMs[[#This Row],[Labels]])))), 1, 0)</f>
        <v>0</v>
      </c>
    </row>
    <row r="1414" spans="1:16" x14ac:dyDescent="0.25">
      <c r="A1414" t="s">
        <v>4126</v>
      </c>
      <c r="B1414" t="s">
        <v>4040</v>
      </c>
      <c r="C1414" t="s">
        <v>4054</v>
      </c>
      <c r="H141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414" s="49">
        <f ca="1">IFERROR(WEEKNUM(CRC_War_Room_SIMs[[#This Row],[Ops Date]]), "N/A")</f>
        <v>28</v>
      </c>
      <c r="J141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1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1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14" s="50">
        <f>IF(AND(CRC_War_Room_SIMs[[#This Row],[CI]] = 0, CRC_War_Room_SIMs[[#This Row],[Miss]] = 1), 1, 0)</f>
        <v>0</v>
      </c>
      <c r="N141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1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14" s="50">
        <f>IF(AND(CRC_War_Room_SIMs[[#This Row],[Excluded]] = 0, OR(CRC_War_Room_SIMs[[#This Row],[SLA Miss]] &lt;&gt; "", ISNUMBER(SEARCH("SLA", CRC_War_Room_SIMs[[#This Row],[Labels]])))), 1, 0)</f>
        <v>0</v>
      </c>
    </row>
    <row r="1415" spans="1:16" x14ac:dyDescent="0.25">
      <c r="A1415" t="s">
        <v>4127</v>
      </c>
      <c r="B1415" t="s">
        <v>4053</v>
      </c>
      <c r="C1415" t="s">
        <v>4054</v>
      </c>
      <c r="H141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415" s="49">
        <f ca="1">IFERROR(WEEKNUM(CRC_War_Room_SIMs[[#This Row],[Ops Date]]), "N/A")</f>
        <v>28</v>
      </c>
      <c r="J141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1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1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15" s="50">
        <f>IF(AND(CRC_War_Room_SIMs[[#This Row],[CI]] = 0, CRC_War_Room_SIMs[[#This Row],[Miss]] = 1), 1, 0)</f>
        <v>0</v>
      </c>
      <c r="N141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1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15" s="50">
        <f>IF(AND(CRC_War_Room_SIMs[[#This Row],[Excluded]] = 0, OR(CRC_War_Room_SIMs[[#This Row],[SLA Miss]] &lt;&gt; "", ISNUMBER(SEARCH("SLA", CRC_War_Room_SIMs[[#This Row],[Labels]])))), 1, 0)</f>
        <v>0</v>
      </c>
    </row>
    <row r="1416" spans="1:16" x14ac:dyDescent="0.25">
      <c r="A1416" t="s">
        <v>4128</v>
      </c>
      <c r="B1416" t="s">
        <v>4045</v>
      </c>
      <c r="C1416" t="s">
        <v>4054</v>
      </c>
      <c r="H141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416" s="49">
        <f ca="1">IFERROR(WEEKNUM(CRC_War_Room_SIMs[[#This Row],[Ops Date]]), "N/A")</f>
        <v>28</v>
      </c>
      <c r="J141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1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1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16" s="50">
        <f>IF(AND(CRC_War_Room_SIMs[[#This Row],[CI]] = 0, CRC_War_Room_SIMs[[#This Row],[Miss]] = 1), 1, 0)</f>
        <v>0</v>
      </c>
      <c r="N141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1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16" s="50">
        <f>IF(AND(CRC_War_Room_SIMs[[#This Row],[Excluded]] = 0, OR(CRC_War_Room_SIMs[[#This Row],[SLA Miss]] &lt;&gt; "", ISNUMBER(SEARCH("SLA", CRC_War_Room_SIMs[[#This Row],[Labels]])))), 1, 0)</f>
        <v>0</v>
      </c>
    </row>
    <row r="1417" spans="1:16" x14ac:dyDescent="0.25">
      <c r="A1417" t="s">
        <v>4129</v>
      </c>
      <c r="B1417" t="s">
        <v>4058</v>
      </c>
      <c r="C1417" t="s">
        <v>4054</v>
      </c>
      <c r="H141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417" s="49">
        <f ca="1">IFERROR(WEEKNUM(CRC_War_Room_SIMs[[#This Row],[Ops Date]]), "N/A")</f>
        <v>28</v>
      </c>
      <c r="J141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1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1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17" s="50">
        <f>IF(AND(CRC_War_Room_SIMs[[#This Row],[CI]] = 0, CRC_War_Room_SIMs[[#This Row],[Miss]] = 1), 1, 0)</f>
        <v>0</v>
      </c>
      <c r="N141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1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17" s="50">
        <f>IF(AND(CRC_War_Room_SIMs[[#This Row],[Excluded]] = 0, OR(CRC_War_Room_SIMs[[#This Row],[SLA Miss]] &lt;&gt; "", ISNUMBER(SEARCH("SLA", CRC_War_Room_SIMs[[#This Row],[Labels]])))), 1, 0)</f>
        <v>0</v>
      </c>
    </row>
    <row r="1418" spans="1:16" x14ac:dyDescent="0.25">
      <c r="A1418" t="s">
        <v>4130</v>
      </c>
      <c r="B1418" t="s">
        <v>4061</v>
      </c>
      <c r="C1418" t="s">
        <v>4054</v>
      </c>
      <c r="H141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418" s="49">
        <f ca="1">IFERROR(WEEKNUM(CRC_War_Room_SIMs[[#This Row],[Ops Date]]), "N/A")</f>
        <v>28</v>
      </c>
      <c r="J141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1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1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18" s="50">
        <f>IF(AND(CRC_War_Room_SIMs[[#This Row],[CI]] = 0, CRC_War_Room_SIMs[[#This Row],[Miss]] = 1), 1, 0)</f>
        <v>0</v>
      </c>
      <c r="N141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1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18" s="50">
        <f>IF(AND(CRC_War_Room_SIMs[[#This Row],[Excluded]] = 0, OR(CRC_War_Room_SIMs[[#This Row],[SLA Miss]] &lt;&gt; "", ISNUMBER(SEARCH("SLA", CRC_War_Room_SIMs[[#This Row],[Labels]])))), 1, 0)</f>
        <v>0</v>
      </c>
    </row>
    <row r="1419" spans="1:16" x14ac:dyDescent="0.25">
      <c r="A1419" t="s">
        <v>4131</v>
      </c>
      <c r="B1419" t="s">
        <v>3262</v>
      </c>
      <c r="C1419" t="s">
        <v>4054</v>
      </c>
      <c r="H141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45482</v>
      </c>
      <c r="I1419" s="49">
        <f ca="1">IFERROR(WEEKNUM(CRC_War_Room_SIMs[[#This Row],[Ops Date]]), "N/A")</f>
        <v>28</v>
      </c>
      <c r="J141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1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1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19" s="50">
        <f>IF(AND(CRC_War_Room_SIMs[[#This Row],[CI]] = 0, CRC_War_Room_SIMs[[#This Row],[Miss]] = 1), 1, 0)</f>
        <v>0</v>
      </c>
      <c r="N141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1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19" s="50">
        <f>IF(AND(CRC_War_Room_SIMs[[#This Row],[Excluded]] = 0, OR(CRC_War_Room_SIMs[[#This Row],[SLA Miss]] &lt;&gt; "", ISNUMBER(SEARCH("SLA", CRC_War_Room_SIMs[[#This Row],[Labels]])))), 1, 0)</f>
        <v>0</v>
      </c>
    </row>
    <row r="1420" spans="1:16" x14ac:dyDescent="0.25">
      <c r="A1420" t="s">
        <v>4132</v>
      </c>
      <c r="B1420" t="s">
        <v>4133</v>
      </c>
      <c r="C1420" t="s">
        <v>4134</v>
      </c>
      <c r="H142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20" s="49">
        <f ca="1">IFERROR(WEEKNUM(CRC_War_Room_SIMs[[#This Row],[Ops Date]]), "N/A")</f>
        <v>28</v>
      </c>
      <c r="J142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2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2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20" s="50">
        <f>IF(AND(CRC_War_Room_SIMs[[#This Row],[CI]] = 0, CRC_War_Room_SIMs[[#This Row],[Miss]] = 1), 1, 0)</f>
        <v>0</v>
      </c>
      <c r="N142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2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20" s="50">
        <f>IF(AND(CRC_War_Room_SIMs[[#This Row],[Excluded]] = 0, OR(CRC_War_Room_SIMs[[#This Row],[SLA Miss]] &lt;&gt; "", ISNUMBER(SEARCH("SLA", CRC_War_Room_SIMs[[#This Row],[Labels]])))), 1, 0)</f>
        <v>0</v>
      </c>
    </row>
    <row r="1421" spans="1:16" x14ac:dyDescent="0.25">
      <c r="A1421" t="s">
        <v>4135</v>
      </c>
      <c r="B1421" t="s">
        <v>4136</v>
      </c>
      <c r="C1421" t="s">
        <v>4051</v>
      </c>
      <c r="E1421" t="s">
        <v>2784</v>
      </c>
      <c r="H142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21" s="49">
        <f ca="1">IFERROR(WEEKNUM(CRC_War_Room_SIMs[[#This Row],[Ops Date]]), "N/A")</f>
        <v>28</v>
      </c>
      <c r="J142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2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42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421" s="50">
        <f>IF(AND(CRC_War_Room_SIMs[[#This Row],[CI]] = 0, CRC_War_Room_SIMs[[#This Row],[Miss]] = 1), 1, 0)</f>
        <v>0</v>
      </c>
      <c r="N1421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142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21" s="50">
        <f>IF(AND(CRC_War_Room_SIMs[[#This Row],[Excluded]] = 0, OR(CRC_War_Room_SIMs[[#This Row],[SLA Miss]] &lt;&gt; "", ISNUMBER(SEARCH("SLA", CRC_War_Room_SIMs[[#This Row],[Labels]])))), 1, 0)</f>
        <v>0</v>
      </c>
    </row>
    <row r="1422" spans="1:16" x14ac:dyDescent="0.25">
      <c r="A1422" t="s">
        <v>4137</v>
      </c>
      <c r="B1422" t="s">
        <v>3940</v>
      </c>
      <c r="C1422" t="s">
        <v>4051</v>
      </c>
      <c r="H142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22" s="49">
        <f ca="1">IFERROR(WEEKNUM(CRC_War_Room_SIMs[[#This Row],[Ops Date]]), "N/A")</f>
        <v>28</v>
      </c>
      <c r="J142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2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42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422" s="50">
        <f>IF(AND(CRC_War_Room_SIMs[[#This Row],[CI]] = 0, CRC_War_Room_SIMs[[#This Row],[Miss]] = 1), 1, 0)</f>
        <v>0</v>
      </c>
      <c r="N142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2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22" s="50">
        <f>IF(AND(CRC_War_Room_SIMs[[#This Row],[Excluded]] = 0, OR(CRC_War_Room_SIMs[[#This Row],[SLA Miss]] &lt;&gt; "", ISNUMBER(SEARCH("SLA", CRC_War_Room_SIMs[[#This Row],[Labels]])))), 1, 0)</f>
        <v>0</v>
      </c>
    </row>
    <row r="1423" spans="1:16" x14ac:dyDescent="0.25">
      <c r="A1423" t="s">
        <v>4138</v>
      </c>
      <c r="B1423" t="s">
        <v>3940</v>
      </c>
      <c r="C1423" t="s">
        <v>4134</v>
      </c>
      <c r="H142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23" s="49">
        <f ca="1">IFERROR(WEEKNUM(CRC_War_Room_SIMs[[#This Row],[Ops Date]]), "N/A")</f>
        <v>28</v>
      </c>
      <c r="J142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2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2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23" s="50">
        <f>IF(AND(CRC_War_Room_SIMs[[#This Row],[CI]] = 0, CRC_War_Room_SIMs[[#This Row],[Miss]] = 1), 1, 0)</f>
        <v>0</v>
      </c>
      <c r="N142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2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23" s="50">
        <f>IF(AND(CRC_War_Room_SIMs[[#This Row],[Excluded]] = 0, OR(CRC_War_Room_SIMs[[#This Row],[SLA Miss]] &lt;&gt; "", ISNUMBER(SEARCH("SLA", CRC_War_Room_SIMs[[#This Row],[Labels]])))), 1, 0)</f>
        <v>0</v>
      </c>
    </row>
    <row r="1424" spans="1:16" x14ac:dyDescent="0.25">
      <c r="A1424" t="s">
        <v>4139</v>
      </c>
      <c r="B1424" t="s">
        <v>4140</v>
      </c>
      <c r="C1424" t="s">
        <v>4134</v>
      </c>
      <c r="H142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24" s="49">
        <f ca="1">IFERROR(WEEKNUM(CRC_War_Room_SIMs[[#This Row],[Ops Date]]), "N/A")</f>
        <v>28</v>
      </c>
      <c r="J142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2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2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24" s="50">
        <f>IF(AND(CRC_War_Room_SIMs[[#This Row],[CI]] = 0, CRC_War_Room_SIMs[[#This Row],[Miss]] = 1), 1, 0)</f>
        <v>0</v>
      </c>
      <c r="N142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2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24" s="50">
        <f>IF(AND(CRC_War_Room_SIMs[[#This Row],[Excluded]] = 0, OR(CRC_War_Room_SIMs[[#This Row],[SLA Miss]] &lt;&gt; "", ISNUMBER(SEARCH("SLA", CRC_War_Room_SIMs[[#This Row],[Labels]])))), 1, 0)</f>
        <v>0</v>
      </c>
    </row>
    <row r="1425" spans="1:16" x14ac:dyDescent="0.25">
      <c r="A1425" t="s">
        <v>4141</v>
      </c>
      <c r="B1425" t="s">
        <v>3940</v>
      </c>
      <c r="C1425" t="s">
        <v>4134</v>
      </c>
      <c r="H142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25" s="49">
        <f ca="1">IFERROR(WEEKNUM(CRC_War_Room_SIMs[[#This Row],[Ops Date]]), "N/A")</f>
        <v>28</v>
      </c>
      <c r="J142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2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2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25" s="50">
        <f>IF(AND(CRC_War_Room_SIMs[[#This Row],[CI]] = 0, CRC_War_Room_SIMs[[#This Row],[Miss]] = 1), 1, 0)</f>
        <v>0</v>
      </c>
      <c r="N142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2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25" s="50">
        <f>IF(AND(CRC_War_Room_SIMs[[#This Row],[Excluded]] = 0, OR(CRC_War_Room_SIMs[[#This Row],[SLA Miss]] &lt;&gt; "", ISNUMBER(SEARCH("SLA", CRC_War_Room_SIMs[[#This Row],[Labels]])))), 1, 0)</f>
        <v>0</v>
      </c>
    </row>
    <row r="1426" spans="1:16" x14ac:dyDescent="0.25">
      <c r="A1426" t="s">
        <v>4142</v>
      </c>
      <c r="B1426" t="s">
        <v>3940</v>
      </c>
      <c r="C1426" t="s">
        <v>4134</v>
      </c>
      <c r="H142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26" s="49">
        <f ca="1">IFERROR(WEEKNUM(CRC_War_Room_SIMs[[#This Row],[Ops Date]]), "N/A")</f>
        <v>28</v>
      </c>
      <c r="J142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2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2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26" s="50">
        <f>IF(AND(CRC_War_Room_SIMs[[#This Row],[CI]] = 0, CRC_War_Room_SIMs[[#This Row],[Miss]] = 1), 1, 0)</f>
        <v>0</v>
      </c>
      <c r="N142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2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26" s="50">
        <f>IF(AND(CRC_War_Room_SIMs[[#This Row],[Excluded]] = 0, OR(CRC_War_Room_SIMs[[#This Row],[SLA Miss]] &lt;&gt; "", ISNUMBER(SEARCH("SLA", CRC_War_Room_SIMs[[#This Row],[Labels]])))), 1, 0)</f>
        <v>0</v>
      </c>
    </row>
    <row r="1427" spans="1:16" x14ac:dyDescent="0.25">
      <c r="A1427" t="s">
        <v>4143</v>
      </c>
      <c r="B1427" t="s">
        <v>4050</v>
      </c>
      <c r="C1427" t="s">
        <v>4134</v>
      </c>
      <c r="H142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27" s="49">
        <f ca="1">IFERROR(WEEKNUM(CRC_War_Room_SIMs[[#This Row],[Ops Date]]), "N/A")</f>
        <v>28</v>
      </c>
      <c r="J142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2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2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27" s="50">
        <f>IF(AND(CRC_War_Room_SIMs[[#This Row],[CI]] = 0, CRC_War_Room_SIMs[[#This Row],[Miss]] = 1), 1, 0)</f>
        <v>0</v>
      </c>
      <c r="N142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2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27" s="50">
        <f>IF(AND(CRC_War_Room_SIMs[[#This Row],[Excluded]] = 0, OR(CRC_War_Room_SIMs[[#This Row],[SLA Miss]] &lt;&gt; "", ISNUMBER(SEARCH("SLA", CRC_War_Room_SIMs[[#This Row],[Labels]])))), 1, 0)</f>
        <v>0</v>
      </c>
    </row>
    <row r="1428" spans="1:16" x14ac:dyDescent="0.25">
      <c r="A1428" t="s">
        <v>4144</v>
      </c>
      <c r="B1428" t="s">
        <v>4145</v>
      </c>
      <c r="C1428" t="s">
        <v>4134</v>
      </c>
      <c r="H142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28" s="49">
        <f ca="1">IFERROR(WEEKNUM(CRC_War_Room_SIMs[[#This Row],[Ops Date]]), "N/A")</f>
        <v>28</v>
      </c>
      <c r="J142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2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2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28" s="50">
        <f>IF(AND(CRC_War_Room_SIMs[[#This Row],[CI]] = 0, CRC_War_Room_SIMs[[#This Row],[Miss]] = 1), 1, 0)</f>
        <v>0</v>
      </c>
      <c r="N142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2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28" s="50">
        <f>IF(AND(CRC_War_Room_SIMs[[#This Row],[Excluded]] = 0, OR(CRC_War_Room_SIMs[[#This Row],[SLA Miss]] &lt;&gt; "", ISNUMBER(SEARCH("SLA", CRC_War_Room_SIMs[[#This Row],[Labels]])))), 1, 0)</f>
        <v>0</v>
      </c>
    </row>
    <row r="1429" spans="1:16" x14ac:dyDescent="0.25">
      <c r="A1429" t="s">
        <v>4146</v>
      </c>
      <c r="B1429" t="s">
        <v>4145</v>
      </c>
      <c r="C1429" t="s">
        <v>4134</v>
      </c>
      <c r="H142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29" s="49">
        <f ca="1">IFERROR(WEEKNUM(CRC_War_Room_SIMs[[#This Row],[Ops Date]]), "N/A")</f>
        <v>28</v>
      </c>
      <c r="J142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2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2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29" s="50">
        <f>IF(AND(CRC_War_Room_SIMs[[#This Row],[CI]] = 0, CRC_War_Room_SIMs[[#This Row],[Miss]] = 1), 1, 0)</f>
        <v>0</v>
      </c>
      <c r="N142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2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29" s="50">
        <f>IF(AND(CRC_War_Room_SIMs[[#This Row],[Excluded]] = 0, OR(CRC_War_Room_SIMs[[#This Row],[SLA Miss]] &lt;&gt; "", ISNUMBER(SEARCH("SLA", CRC_War_Room_SIMs[[#This Row],[Labels]])))), 1, 0)</f>
        <v>0</v>
      </c>
    </row>
    <row r="1430" spans="1:16" x14ac:dyDescent="0.25">
      <c r="A1430" t="s">
        <v>4147</v>
      </c>
      <c r="B1430" t="s">
        <v>4050</v>
      </c>
      <c r="C1430" t="s">
        <v>4134</v>
      </c>
      <c r="H143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30" s="49">
        <f ca="1">IFERROR(WEEKNUM(CRC_War_Room_SIMs[[#This Row],[Ops Date]]), "N/A")</f>
        <v>28</v>
      </c>
      <c r="J143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3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3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30" s="50">
        <f>IF(AND(CRC_War_Room_SIMs[[#This Row],[CI]] = 0, CRC_War_Room_SIMs[[#This Row],[Miss]] = 1), 1, 0)</f>
        <v>0</v>
      </c>
      <c r="N143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3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30" s="50">
        <f>IF(AND(CRC_War_Room_SIMs[[#This Row],[Excluded]] = 0, OR(CRC_War_Room_SIMs[[#This Row],[SLA Miss]] &lt;&gt; "", ISNUMBER(SEARCH("SLA", CRC_War_Room_SIMs[[#This Row],[Labels]])))), 1, 0)</f>
        <v>0</v>
      </c>
    </row>
    <row r="1431" spans="1:16" x14ac:dyDescent="0.25">
      <c r="A1431" t="s">
        <v>4148</v>
      </c>
      <c r="B1431" t="s">
        <v>4145</v>
      </c>
      <c r="C1431" t="s">
        <v>4134</v>
      </c>
      <c r="H143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31" s="49">
        <f ca="1">IFERROR(WEEKNUM(CRC_War_Room_SIMs[[#This Row],[Ops Date]]), "N/A")</f>
        <v>28</v>
      </c>
      <c r="J143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3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3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31" s="50">
        <f>IF(AND(CRC_War_Room_SIMs[[#This Row],[CI]] = 0, CRC_War_Room_SIMs[[#This Row],[Miss]] = 1), 1, 0)</f>
        <v>0</v>
      </c>
      <c r="N143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3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31" s="50">
        <f>IF(AND(CRC_War_Room_SIMs[[#This Row],[Excluded]] = 0, OR(CRC_War_Room_SIMs[[#This Row],[SLA Miss]] &lt;&gt; "", ISNUMBER(SEARCH("SLA", CRC_War_Room_SIMs[[#This Row],[Labels]])))), 1, 0)</f>
        <v>0</v>
      </c>
    </row>
    <row r="1432" spans="1:16" x14ac:dyDescent="0.25">
      <c r="A1432" t="s">
        <v>4149</v>
      </c>
      <c r="B1432" t="s">
        <v>3940</v>
      </c>
      <c r="C1432" t="s">
        <v>4134</v>
      </c>
      <c r="H143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32" s="49">
        <f ca="1">IFERROR(WEEKNUM(CRC_War_Room_SIMs[[#This Row],[Ops Date]]), "N/A")</f>
        <v>28</v>
      </c>
      <c r="J143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3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3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32" s="50">
        <f>IF(AND(CRC_War_Room_SIMs[[#This Row],[CI]] = 0, CRC_War_Room_SIMs[[#This Row],[Miss]] = 1), 1, 0)</f>
        <v>0</v>
      </c>
      <c r="N143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3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32" s="50">
        <f>IF(AND(CRC_War_Room_SIMs[[#This Row],[Excluded]] = 0, OR(CRC_War_Room_SIMs[[#This Row],[SLA Miss]] &lt;&gt; "", ISNUMBER(SEARCH("SLA", CRC_War_Room_SIMs[[#This Row],[Labels]])))), 1, 0)</f>
        <v>0</v>
      </c>
    </row>
    <row r="1433" spans="1:16" x14ac:dyDescent="0.25">
      <c r="A1433" t="s">
        <v>4150</v>
      </c>
      <c r="B1433" t="s">
        <v>4050</v>
      </c>
      <c r="C1433" t="s">
        <v>4134</v>
      </c>
      <c r="H143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33" s="49">
        <f ca="1">IFERROR(WEEKNUM(CRC_War_Room_SIMs[[#This Row],[Ops Date]]), "N/A")</f>
        <v>28</v>
      </c>
      <c r="J143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3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3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33" s="50">
        <f>IF(AND(CRC_War_Room_SIMs[[#This Row],[CI]] = 0, CRC_War_Room_SIMs[[#This Row],[Miss]] = 1), 1, 0)</f>
        <v>0</v>
      </c>
      <c r="N143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3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33" s="50">
        <f>IF(AND(CRC_War_Room_SIMs[[#This Row],[Excluded]] = 0, OR(CRC_War_Room_SIMs[[#This Row],[SLA Miss]] &lt;&gt; "", ISNUMBER(SEARCH("SLA", CRC_War_Room_SIMs[[#This Row],[Labels]])))), 1, 0)</f>
        <v>0</v>
      </c>
    </row>
    <row r="1434" spans="1:16" x14ac:dyDescent="0.25">
      <c r="A1434" t="s">
        <v>4151</v>
      </c>
      <c r="B1434" t="s">
        <v>4145</v>
      </c>
      <c r="C1434" t="s">
        <v>4134</v>
      </c>
      <c r="H143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34" s="49">
        <f ca="1">IFERROR(WEEKNUM(CRC_War_Room_SIMs[[#This Row],[Ops Date]]), "N/A")</f>
        <v>28</v>
      </c>
      <c r="J143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3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3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34" s="50">
        <f>IF(AND(CRC_War_Room_SIMs[[#This Row],[CI]] = 0, CRC_War_Room_SIMs[[#This Row],[Miss]] = 1), 1, 0)</f>
        <v>0</v>
      </c>
      <c r="N143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3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34" s="50">
        <f>IF(AND(CRC_War_Room_SIMs[[#This Row],[Excluded]] = 0, OR(CRC_War_Room_SIMs[[#This Row],[SLA Miss]] &lt;&gt; "", ISNUMBER(SEARCH("SLA", CRC_War_Room_SIMs[[#This Row],[Labels]])))), 1, 0)</f>
        <v>0</v>
      </c>
    </row>
    <row r="1435" spans="1:16" x14ac:dyDescent="0.25">
      <c r="A1435" t="s">
        <v>4152</v>
      </c>
      <c r="B1435" t="s">
        <v>3940</v>
      </c>
      <c r="C1435" t="s">
        <v>4134</v>
      </c>
      <c r="H143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35" s="49">
        <f ca="1">IFERROR(WEEKNUM(CRC_War_Room_SIMs[[#This Row],[Ops Date]]), "N/A")</f>
        <v>28</v>
      </c>
      <c r="J143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3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3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35" s="50">
        <f>IF(AND(CRC_War_Room_SIMs[[#This Row],[CI]] = 0, CRC_War_Room_SIMs[[#This Row],[Miss]] = 1), 1, 0)</f>
        <v>0</v>
      </c>
      <c r="N143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3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35" s="50">
        <f>IF(AND(CRC_War_Room_SIMs[[#This Row],[Excluded]] = 0, OR(CRC_War_Room_SIMs[[#This Row],[SLA Miss]] &lt;&gt; "", ISNUMBER(SEARCH("SLA", CRC_War_Room_SIMs[[#This Row],[Labels]])))), 1, 0)</f>
        <v>0</v>
      </c>
    </row>
    <row r="1436" spans="1:16" x14ac:dyDescent="0.25">
      <c r="A1436" t="s">
        <v>4153</v>
      </c>
      <c r="B1436" t="s">
        <v>4050</v>
      </c>
      <c r="C1436" t="s">
        <v>4134</v>
      </c>
      <c r="H143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36" s="49">
        <f ca="1">IFERROR(WEEKNUM(CRC_War_Room_SIMs[[#This Row],[Ops Date]]), "N/A")</f>
        <v>28</v>
      </c>
      <c r="J143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3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3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36" s="50">
        <f>IF(AND(CRC_War_Room_SIMs[[#This Row],[CI]] = 0, CRC_War_Room_SIMs[[#This Row],[Miss]] = 1), 1, 0)</f>
        <v>0</v>
      </c>
      <c r="N143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3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36" s="50">
        <f>IF(AND(CRC_War_Room_SIMs[[#This Row],[Excluded]] = 0, OR(CRC_War_Room_SIMs[[#This Row],[SLA Miss]] &lt;&gt; "", ISNUMBER(SEARCH("SLA", CRC_War_Room_SIMs[[#This Row],[Labels]])))), 1, 0)</f>
        <v>0</v>
      </c>
    </row>
    <row r="1437" spans="1:16" x14ac:dyDescent="0.25">
      <c r="A1437" t="s">
        <v>4154</v>
      </c>
      <c r="B1437" t="s">
        <v>4145</v>
      </c>
      <c r="C1437" t="s">
        <v>4134</v>
      </c>
      <c r="H143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37" s="49">
        <f ca="1">IFERROR(WEEKNUM(CRC_War_Room_SIMs[[#This Row],[Ops Date]]), "N/A")</f>
        <v>28</v>
      </c>
      <c r="J143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3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3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37" s="50">
        <f>IF(AND(CRC_War_Room_SIMs[[#This Row],[CI]] = 0, CRC_War_Room_SIMs[[#This Row],[Miss]] = 1), 1, 0)</f>
        <v>0</v>
      </c>
      <c r="N143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3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37" s="50">
        <f>IF(AND(CRC_War_Room_SIMs[[#This Row],[Excluded]] = 0, OR(CRC_War_Room_SIMs[[#This Row],[SLA Miss]] &lt;&gt; "", ISNUMBER(SEARCH("SLA", CRC_War_Room_SIMs[[#This Row],[Labels]])))), 1, 0)</f>
        <v>0</v>
      </c>
    </row>
    <row r="1438" spans="1:16" x14ac:dyDescent="0.25">
      <c r="A1438" t="s">
        <v>4155</v>
      </c>
      <c r="B1438" t="s">
        <v>3940</v>
      </c>
      <c r="C1438" t="s">
        <v>4134</v>
      </c>
      <c r="H143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38" s="49">
        <f ca="1">IFERROR(WEEKNUM(CRC_War_Room_SIMs[[#This Row],[Ops Date]]), "N/A")</f>
        <v>28</v>
      </c>
      <c r="J143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3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3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38" s="50">
        <f>IF(AND(CRC_War_Room_SIMs[[#This Row],[CI]] = 0, CRC_War_Room_SIMs[[#This Row],[Miss]] = 1), 1, 0)</f>
        <v>0</v>
      </c>
      <c r="N143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3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38" s="50">
        <f>IF(AND(CRC_War_Room_SIMs[[#This Row],[Excluded]] = 0, OR(CRC_War_Room_SIMs[[#This Row],[SLA Miss]] &lt;&gt; "", ISNUMBER(SEARCH("SLA", CRC_War_Room_SIMs[[#This Row],[Labels]])))), 1, 0)</f>
        <v>0</v>
      </c>
    </row>
    <row r="1439" spans="1:16" x14ac:dyDescent="0.25">
      <c r="A1439" t="s">
        <v>4156</v>
      </c>
      <c r="B1439" t="s">
        <v>4050</v>
      </c>
      <c r="C1439" t="s">
        <v>4134</v>
      </c>
      <c r="H143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39" s="49">
        <f ca="1">IFERROR(WEEKNUM(CRC_War_Room_SIMs[[#This Row],[Ops Date]]), "N/A")</f>
        <v>28</v>
      </c>
      <c r="J143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3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3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39" s="50">
        <f>IF(AND(CRC_War_Room_SIMs[[#This Row],[CI]] = 0, CRC_War_Room_SIMs[[#This Row],[Miss]] = 1), 1, 0)</f>
        <v>0</v>
      </c>
      <c r="N143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3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39" s="50">
        <f>IF(AND(CRC_War_Room_SIMs[[#This Row],[Excluded]] = 0, OR(CRC_War_Room_SIMs[[#This Row],[SLA Miss]] &lt;&gt; "", ISNUMBER(SEARCH("SLA", CRC_War_Room_SIMs[[#This Row],[Labels]])))), 1, 0)</f>
        <v>0</v>
      </c>
    </row>
    <row r="1440" spans="1:16" x14ac:dyDescent="0.25">
      <c r="A1440" t="s">
        <v>4157</v>
      </c>
      <c r="B1440" t="s">
        <v>4145</v>
      </c>
      <c r="C1440" t="s">
        <v>4134</v>
      </c>
      <c r="H144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40" s="49">
        <f ca="1">IFERROR(WEEKNUM(CRC_War_Room_SIMs[[#This Row],[Ops Date]]), "N/A")</f>
        <v>28</v>
      </c>
      <c r="J144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4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4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40" s="50">
        <f>IF(AND(CRC_War_Room_SIMs[[#This Row],[CI]] = 0, CRC_War_Room_SIMs[[#This Row],[Miss]] = 1), 1, 0)</f>
        <v>0</v>
      </c>
      <c r="N144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4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40" s="50">
        <f>IF(AND(CRC_War_Room_SIMs[[#This Row],[Excluded]] = 0, OR(CRC_War_Room_SIMs[[#This Row],[SLA Miss]] &lt;&gt; "", ISNUMBER(SEARCH("SLA", CRC_War_Room_SIMs[[#This Row],[Labels]])))), 1, 0)</f>
        <v>0</v>
      </c>
    </row>
    <row r="1441" spans="1:16" x14ac:dyDescent="0.25">
      <c r="A1441" t="s">
        <v>4158</v>
      </c>
      <c r="B1441" t="s">
        <v>3940</v>
      </c>
      <c r="C1441" t="s">
        <v>4134</v>
      </c>
      <c r="H144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41" s="49">
        <f ca="1">IFERROR(WEEKNUM(CRC_War_Room_SIMs[[#This Row],[Ops Date]]), "N/A")</f>
        <v>28</v>
      </c>
      <c r="J144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4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4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41" s="50">
        <f>IF(AND(CRC_War_Room_SIMs[[#This Row],[CI]] = 0, CRC_War_Room_SIMs[[#This Row],[Miss]] = 1), 1, 0)</f>
        <v>0</v>
      </c>
      <c r="N144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4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41" s="50">
        <f>IF(AND(CRC_War_Room_SIMs[[#This Row],[Excluded]] = 0, OR(CRC_War_Room_SIMs[[#This Row],[SLA Miss]] &lt;&gt; "", ISNUMBER(SEARCH("SLA", CRC_War_Room_SIMs[[#This Row],[Labels]])))), 1, 0)</f>
        <v>0</v>
      </c>
    </row>
    <row r="1442" spans="1:16" x14ac:dyDescent="0.25">
      <c r="A1442" t="s">
        <v>4159</v>
      </c>
      <c r="B1442" t="s">
        <v>4133</v>
      </c>
      <c r="C1442" t="s">
        <v>4134</v>
      </c>
      <c r="H144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42" s="49">
        <f ca="1">IFERROR(WEEKNUM(CRC_War_Room_SIMs[[#This Row],[Ops Date]]), "N/A")</f>
        <v>28</v>
      </c>
      <c r="J144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4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4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42" s="50">
        <f>IF(AND(CRC_War_Room_SIMs[[#This Row],[CI]] = 0, CRC_War_Room_SIMs[[#This Row],[Miss]] = 1), 1, 0)</f>
        <v>0</v>
      </c>
      <c r="N144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4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42" s="50">
        <f>IF(AND(CRC_War_Room_SIMs[[#This Row],[Excluded]] = 0, OR(CRC_War_Room_SIMs[[#This Row],[SLA Miss]] &lt;&gt; "", ISNUMBER(SEARCH("SLA", CRC_War_Room_SIMs[[#This Row],[Labels]])))), 1, 0)</f>
        <v>0</v>
      </c>
    </row>
    <row r="1443" spans="1:16" x14ac:dyDescent="0.25">
      <c r="A1443" t="s">
        <v>4160</v>
      </c>
      <c r="B1443" t="s">
        <v>4050</v>
      </c>
      <c r="C1443" t="s">
        <v>4134</v>
      </c>
      <c r="H144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43" s="49">
        <f ca="1">IFERROR(WEEKNUM(CRC_War_Room_SIMs[[#This Row],[Ops Date]]), "N/A")</f>
        <v>28</v>
      </c>
      <c r="J144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4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4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43" s="50">
        <f>IF(AND(CRC_War_Room_SIMs[[#This Row],[CI]] = 0, CRC_War_Room_SIMs[[#This Row],[Miss]] = 1), 1, 0)</f>
        <v>0</v>
      </c>
      <c r="N144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4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43" s="50">
        <f>IF(AND(CRC_War_Room_SIMs[[#This Row],[Excluded]] = 0, OR(CRC_War_Room_SIMs[[#This Row],[SLA Miss]] &lt;&gt; "", ISNUMBER(SEARCH("SLA", CRC_War_Room_SIMs[[#This Row],[Labels]])))), 1, 0)</f>
        <v>0</v>
      </c>
    </row>
    <row r="1444" spans="1:16" x14ac:dyDescent="0.25">
      <c r="A1444" t="s">
        <v>4161</v>
      </c>
      <c r="B1444" t="s">
        <v>4145</v>
      </c>
      <c r="C1444" t="s">
        <v>4134</v>
      </c>
      <c r="H144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44" s="49">
        <f ca="1">IFERROR(WEEKNUM(CRC_War_Room_SIMs[[#This Row],[Ops Date]]), "N/A")</f>
        <v>28</v>
      </c>
      <c r="J144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4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4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44" s="50">
        <f>IF(AND(CRC_War_Room_SIMs[[#This Row],[CI]] = 0, CRC_War_Room_SIMs[[#This Row],[Miss]] = 1), 1, 0)</f>
        <v>0</v>
      </c>
      <c r="N144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4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44" s="50">
        <f>IF(AND(CRC_War_Room_SIMs[[#This Row],[Excluded]] = 0, OR(CRC_War_Room_SIMs[[#This Row],[SLA Miss]] &lt;&gt; "", ISNUMBER(SEARCH("SLA", CRC_War_Room_SIMs[[#This Row],[Labels]])))), 1, 0)</f>
        <v>0</v>
      </c>
    </row>
    <row r="1445" spans="1:16" x14ac:dyDescent="0.25">
      <c r="A1445" t="s">
        <v>4162</v>
      </c>
      <c r="B1445" t="s">
        <v>4133</v>
      </c>
      <c r="C1445" t="s">
        <v>4134</v>
      </c>
      <c r="H144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45" s="49">
        <f ca="1">IFERROR(WEEKNUM(CRC_War_Room_SIMs[[#This Row],[Ops Date]]), "N/A")</f>
        <v>28</v>
      </c>
      <c r="J144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4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4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45" s="50">
        <f>IF(AND(CRC_War_Room_SIMs[[#This Row],[CI]] = 0, CRC_War_Room_SIMs[[#This Row],[Miss]] = 1), 1, 0)</f>
        <v>0</v>
      </c>
      <c r="N144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4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45" s="50">
        <f>IF(AND(CRC_War_Room_SIMs[[#This Row],[Excluded]] = 0, OR(CRC_War_Room_SIMs[[#This Row],[SLA Miss]] &lt;&gt; "", ISNUMBER(SEARCH("SLA", CRC_War_Room_SIMs[[#This Row],[Labels]])))), 1, 0)</f>
        <v>0</v>
      </c>
    </row>
    <row r="1446" spans="1:16" x14ac:dyDescent="0.25">
      <c r="A1446" t="s">
        <v>4163</v>
      </c>
      <c r="B1446" t="s">
        <v>4145</v>
      </c>
      <c r="C1446" t="s">
        <v>4134</v>
      </c>
      <c r="H144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46" s="49">
        <f ca="1">IFERROR(WEEKNUM(CRC_War_Room_SIMs[[#This Row],[Ops Date]]), "N/A")</f>
        <v>28</v>
      </c>
      <c r="J144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4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4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46" s="50">
        <f>IF(AND(CRC_War_Room_SIMs[[#This Row],[CI]] = 0, CRC_War_Room_SIMs[[#This Row],[Miss]] = 1), 1, 0)</f>
        <v>0</v>
      </c>
      <c r="N144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4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46" s="50">
        <f>IF(AND(CRC_War_Room_SIMs[[#This Row],[Excluded]] = 0, OR(CRC_War_Room_SIMs[[#This Row],[SLA Miss]] &lt;&gt; "", ISNUMBER(SEARCH("SLA", CRC_War_Room_SIMs[[#This Row],[Labels]])))), 1, 0)</f>
        <v>0</v>
      </c>
    </row>
    <row r="1447" spans="1:16" x14ac:dyDescent="0.25">
      <c r="A1447" t="s">
        <v>4164</v>
      </c>
      <c r="B1447" t="s">
        <v>3940</v>
      </c>
      <c r="C1447" t="s">
        <v>4134</v>
      </c>
      <c r="H144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47" s="49">
        <f ca="1">IFERROR(WEEKNUM(CRC_War_Room_SIMs[[#This Row],[Ops Date]]), "N/A")</f>
        <v>28</v>
      </c>
      <c r="J144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4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4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47" s="50">
        <f>IF(AND(CRC_War_Room_SIMs[[#This Row],[CI]] = 0, CRC_War_Room_SIMs[[#This Row],[Miss]] = 1), 1, 0)</f>
        <v>0</v>
      </c>
      <c r="N144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4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47" s="50">
        <f>IF(AND(CRC_War_Room_SIMs[[#This Row],[Excluded]] = 0, OR(CRC_War_Room_SIMs[[#This Row],[SLA Miss]] &lt;&gt; "", ISNUMBER(SEARCH("SLA", CRC_War_Room_SIMs[[#This Row],[Labels]])))), 1, 0)</f>
        <v>0</v>
      </c>
    </row>
    <row r="1448" spans="1:16" x14ac:dyDescent="0.25">
      <c r="A1448" t="s">
        <v>4165</v>
      </c>
      <c r="B1448" t="s">
        <v>4133</v>
      </c>
      <c r="C1448" t="s">
        <v>4134</v>
      </c>
      <c r="H144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48" s="49">
        <f ca="1">IFERROR(WEEKNUM(CRC_War_Room_SIMs[[#This Row],[Ops Date]]), "N/A")</f>
        <v>28</v>
      </c>
      <c r="J144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4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4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48" s="50">
        <f>IF(AND(CRC_War_Room_SIMs[[#This Row],[CI]] = 0, CRC_War_Room_SIMs[[#This Row],[Miss]] = 1), 1, 0)</f>
        <v>0</v>
      </c>
      <c r="N144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4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48" s="50">
        <f>IF(AND(CRC_War_Room_SIMs[[#This Row],[Excluded]] = 0, OR(CRC_War_Room_SIMs[[#This Row],[SLA Miss]] &lt;&gt; "", ISNUMBER(SEARCH("SLA", CRC_War_Room_SIMs[[#This Row],[Labels]])))), 1, 0)</f>
        <v>0</v>
      </c>
    </row>
    <row r="1449" spans="1:16" x14ac:dyDescent="0.25">
      <c r="A1449" t="s">
        <v>4166</v>
      </c>
      <c r="B1449" t="s">
        <v>4050</v>
      </c>
      <c r="C1449" t="s">
        <v>4134</v>
      </c>
      <c r="H144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49" s="49">
        <f ca="1">IFERROR(WEEKNUM(CRC_War_Room_SIMs[[#This Row],[Ops Date]]), "N/A")</f>
        <v>28</v>
      </c>
      <c r="J144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4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4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49" s="50">
        <f>IF(AND(CRC_War_Room_SIMs[[#This Row],[CI]] = 0, CRC_War_Room_SIMs[[#This Row],[Miss]] = 1), 1, 0)</f>
        <v>0</v>
      </c>
      <c r="N144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4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49" s="50">
        <f>IF(AND(CRC_War_Room_SIMs[[#This Row],[Excluded]] = 0, OR(CRC_War_Room_SIMs[[#This Row],[SLA Miss]] &lt;&gt; "", ISNUMBER(SEARCH("SLA", CRC_War_Room_SIMs[[#This Row],[Labels]])))), 1, 0)</f>
        <v>0</v>
      </c>
    </row>
    <row r="1450" spans="1:16" x14ac:dyDescent="0.25">
      <c r="A1450" t="s">
        <v>4167</v>
      </c>
      <c r="B1450" t="s">
        <v>4145</v>
      </c>
      <c r="C1450" t="s">
        <v>4134</v>
      </c>
      <c r="H145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50" s="49">
        <f ca="1">IFERROR(WEEKNUM(CRC_War_Room_SIMs[[#This Row],[Ops Date]]), "N/A")</f>
        <v>28</v>
      </c>
      <c r="J145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5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5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50" s="50">
        <f>IF(AND(CRC_War_Room_SIMs[[#This Row],[CI]] = 0, CRC_War_Room_SIMs[[#This Row],[Miss]] = 1), 1, 0)</f>
        <v>0</v>
      </c>
      <c r="N145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5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50" s="50">
        <f>IF(AND(CRC_War_Room_SIMs[[#This Row],[Excluded]] = 0, OR(CRC_War_Room_SIMs[[#This Row],[SLA Miss]] &lt;&gt; "", ISNUMBER(SEARCH("SLA", CRC_War_Room_SIMs[[#This Row],[Labels]])))), 1, 0)</f>
        <v>0</v>
      </c>
    </row>
    <row r="1451" spans="1:16" x14ac:dyDescent="0.25">
      <c r="A1451" t="s">
        <v>4168</v>
      </c>
      <c r="B1451" t="s">
        <v>3940</v>
      </c>
      <c r="C1451" t="s">
        <v>4134</v>
      </c>
      <c r="H145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51" s="49">
        <f ca="1">IFERROR(WEEKNUM(CRC_War_Room_SIMs[[#This Row],[Ops Date]]), "N/A")</f>
        <v>28</v>
      </c>
      <c r="J145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5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5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51" s="50">
        <f>IF(AND(CRC_War_Room_SIMs[[#This Row],[CI]] = 0, CRC_War_Room_SIMs[[#This Row],[Miss]] = 1), 1, 0)</f>
        <v>0</v>
      </c>
      <c r="N145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5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51" s="50">
        <f>IF(AND(CRC_War_Room_SIMs[[#This Row],[Excluded]] = 0, OR(CRC_War_Room_SIMs[[#This Row],[SLA Miss]] &lt;&gt; "", ISNUMBER(SEARCH("SLA", CRC_War_Room_SIMs[[#This Row],[Labels]])))), 1, 0)</f>
        <v>0</v>
      </c>
    </row>
    <row r="1452" spans="1:16" x14ac:dyDescent="0.25">
      <c r="A1452" t="s">
        <v>4169</v>
      </c>
      <c r="B1452" t="s">
        <v>4133</v>
      </c>
      <c r="C1452" t="s">
        <v>4134</v>
      </c>
      <c r="H145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52" s="49">
        <f ca="1">IFERROR(WEEKNUM(CRC_War_Room_SIMs[[#This Row],[Ops Date]]), "N/A")</f>
        <v>28</v>
      </c>
      <c r="J145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5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5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52" s="50">
        <f>IF(AND(CRC_War_Room_SIMs[[#This Row],[CI]] = 0, CRC_War_Room_SIMs[[#This Row],[Miss]] = 1), 1, 0)</f>
        <v>0</v>
      </c>
      <c r="N145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5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52" s="50">
        <f>IF(AND(CRC_War_Room_SIMs[[#This Row],[Excluded]] = 0, OR(CRC_War_Room_SIMs[[#This Row],[SLA Miss]] &lt;&gt; "", ISNUMBER(SEARCH("SLA", CRC_War_Room_SIMs[[#This Row],[Labels]])))), 1, 0)</f>
        <v>0</v>
      </c>
    </row>
    <row r="1453" spans="1:16" x14ac:dyDescent="0.25">
      <c r="A1453" t="s">
        <v>4170</v>
      </c>
      <c r="B1453" t="s">
        <v>4050</v>
      </c>
      <c r="C1453" t="s">
        <v>4134</v>
      </c>
      <c r="H145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53" s="49">
        <f ca="1">IFERROR(WEEKNUM(CRC_War_Room_SIMs[[#This Row],[Ops Date]]), "N/A")</f>
        <v>28</v>
      </c>
      <c r="J145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5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5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53" s="50">
        <f>IF(AND(CRC_War_Room_SIMs[[#This Row],[CI]] = 0, CRC_War_Room_SIMs[[#This Row],[Miss]] = 1), 1, 0)</f>
        <v>0</v>
      </c>
      <c r="N145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5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53" s="50">
        <f>IF(AND(CRC_War_Room_SIMs[[#This Row],[Excluded]] = 0, OR(CRC_War_Room_SIMs[[#This Row],[SLA Miss]] &lt;&gt; "", ISNUMBER(SEARCH("SLA", CRC_War_Room_SIMs[[#This Row],[Labels]])))), 1, 0)</f>
        <v>0</v>
      </c>
    </row>
    <row r="1454" spans="1:16" x14ac:dyDescent="0.25">
      <c r="A1454" t="s">
        <v>4171</v>
      </c>
      <c r="B1454" t="s">
        <v>4145</v>
      </c>
      <c r="C1454" t="s">
        <v>4134</v>
      </c>
      <c r="H145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54" s="49">
        <f ca="1">IFERROR(WEEKNUM(CRC_War_Room_SIMs[[#This Row],[Ops Date]]), "N/A")</f>
        <v>28</v>
      </c>
      <c r="J145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5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5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54" s="50">
        <f>IF(AND(CRC_War_Room_SIMs[[#This Row],[CI]] = 0, CRC_War_Room_SIMs[[#This Row],[Miss]] = 1), 1, 0)</f>
        <v>0</v>
      </c>
      <c r="N145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5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54" s="50">
        <f>IF(AND(CRC_War_Room_SIMs[[#This Row],[Excluded]] = 0, OR(CRC_War_Room_SIMs[[#This Row],[SLA Miss]] &lt;&gt; "", ISNUMBER(SEARCH("SLA", CRC_War_Room_SIMs[[#This Row],[Labels]])))), 1, 0)</f>
        <v>0</v>
      </c>
    </row>
    <row r="1455" spans="1:16" x14ac:dyDescent="0.25">
      <c r="A1455" t="s">
        <v>4172</v>
      </c>
      <c r="B1455" t="s">
        <v>3940</v>
      </c>
      <c r="C1455" t="s">
        <v>4134</v>
      </c>
      <c r="H145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55" s="49">
        <f ca="1">IFERROR(WEEKNUM(CRC_War_Room_SIMs[[#This Row],[Ops Date]]), "N/A")</f>
        <v>28</v>
      </c>
      <c r="J145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5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5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55" s="50">
        <f>IF(AND(CRC_War_Room_SIMs[[#This Row],[CI]] = 0, CRC_War_Room_SIMs[[#This Row],[Miss]] = 1), 1, 0)</f>
        <v>0</v>
      </c>
      <c r="N145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5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55" s="50">
        <f>IF(AND(CRC_War_Room_SIMs[[#This Row],[Excluded]] = 0, OR(CRC_War_Room_SIMs[[#This Row],[SLA Miss]] &lt;&gt; "", ISNUMBER(SEARCH("SLA", CRC_War_Room_SIMs[[#This Row],[Labels]])))), 1, 0)</f>
        <v>0</v>
      </c>
    </row>
    <row r="1456" spans="1:16" x14ac:dyDescent="0.25">
      <c r="A1456" t="s">
        <v>4173</v>
      </c>
      <c r="B1456" t="s">
        <v>4133</v>
      </c>
      <c r="C1456" t="s">
        <v>4134</v>
      </c>
      <c r="H145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56" s="49">
        <f ca="1">IFERROR(WEEKNUM(CRC_War_Room_SIMs[[#This Row],[Ops Date]]), "N/A")</f>
        <v>28</v>
      </c>
      <c r="J145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5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5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56" s="50">
        <f>IF(AND(CRC_War_Room_SIMs[[#This Row],[CI]] = 0, CRC_War_Room_SIMs[[#This Row],[Miss]] = 1), 1, 0)</f>
        <v>0</v>
      </c>
      <c r="N145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5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56" s="50">
        <f>IF(AND(CRC_War_Room_SIMs[[#This Row],[Excluded]] = 0, OR(CRC_War_Room_SIMs[[#This Row],[SLA Miss]] &lt;&gt; "", ISNUMBER(SEARCH("SLA", CRC_War_Room_SIMs[[#This Row],[Labels]])))), 1, 0)</f>
        <v>0</v>
      </c>
    </row>
    <row r="1457" spans="1:16" x14ac:dyDescent="0.25">
      <c r="A1457" t="s">
        <v>4174</v>
      </c>
      <c r="B1457" t="s">
        <v>4050</v>
      </c>
      <c r="C1457" t="s">
        <v>4134</v>
      </c>
      <c r="H145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57" s="49">
        <f ca="1">IFERROR(WEEKNUM(CRC_War_Room_SIMs[[#This Row],[Ops Date]]), "N/A")</f>
        <v>28</v>
      </c>
      <c r="J145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5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5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57" s="50">
        <f>IF(AND(CRC_War_Room_SIMs[[#This Row],[CI]] = 0, CRC_War_Room_SIMs[[#This Row],[Miss]] = 1), 1, 0)</f>
        <v>0</v>
      </c>
      <c r="N145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5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57" s="50">
        <f>IF(AND(CRC_War_Room_SIMs[[#This Row],[Excluded]] = 0, OR(CRC_War_Room_SIMs[[#This Row],[SLA Miss]] &lt;&gt; "", ISNUMBER(SEARCH("SLA", CRC_War_Room_SIMs[[#This Row],[Labels]])))), 1, 0)</f>
        <v>0</v>
      </c>
    </row>
    <row r="1458" spans="1:16" x14ac:dyDescent="0.25">
      <c r="A1458" t="s">
        <v>4175</v>
      </c>
      <c r="B1458" t="s">
        <v>4145</v>
      </c>
      <c r="C1458" t="s">
        <v>4134</v>
      </c>
      <c r="H145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58" s="49">
        <f ca="1">IFERROR(WEEKNUM(CRC_War_Room_SIMs[[#This Row],[Ops Date]]), "N/A")</f>
        <v>28</v>
      </c>
      <c r="J145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5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5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58" s="50">
        <f>IF(AND(CRC_War_Room_SIMs[[#This Row],[CI]] = 0, CRC_War_Room_SIMs[[#This Row],[Miss]] = 1), 1, 0)</f>
        <v>0</v>
      </c>
      <c r="N145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5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58" s="50">
        <f>IF(AND(CRC_War_Room_SIMs[[#This Row],[Excluded]] = 0, OR(CRC_War_Room_SIMs[[#This Row],[SLA Miss]] &lt;&gt; "", ISNUMBER(SEARCH("SLA", CRC_War_Room_SIMs[[#This Row],[Labels]])))), 1, 0)</f>
        <v>0</v>
      </c>
    </row>
    <row r="1459" spans="1:16" x14ac:dyDescent="0.25">
      <c r="A1459" t="s">
        <v>4176</v>
      </c>
      <c r="B1459" t="s">
        <v>3940</v>
      </c>
      <c r="C1459" t="s">
        <v>4134</v>
      </c>
      <c r="H145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59" s="49">
        <f ca="1">IFERROR(WEEKNUM(CRC_War_Room_SIMs[[#This Row],[Ops Date]]), "N/A")</f>
        <v>28</v>
      </c>
      <c r="J145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5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5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59" s="50">
        <f>IF(AND(CRC_War_Room_SIMs[[#This Row],[CI]] = 0, CRC_War_Room_SIMs[[#This Row],[Miss]] = 1), 1, 0)</f>
        <v>0</v>
      </c>
      <c r="N145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5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59" s="50">
        <f>IF(AND(CRC_War_Room_SIMs[[#This Row],[Excluded]] = 0, OR(CRC_War_Room_SIMs[[#This Row],[SLA Miss]] &lt;&gt; "", ISNUMBER(SEARCH("SLA", CRC_War_Room_SIMs[[#This Row],[Labels]])))), 1, 0)</f>
        <v>0</v>
      </c>
    </row>
    <row r="1460" spans="1:16" x14ac:dyDescent="0.25">
      <c r="A1460" t="s">
        <v>4177</v>
      </c>
      <c r="B1460" t="s">
        <v>4133</v>
      </c>
      <c r="C1460" t="s">
        <v>4134</v>
      </c>
      <c r="H146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60" s="49">
        <f ca="1">IFERROR(WEEKNUM(CRC_War_Room_SIMs[[#This Row],[Ops Date]]), "N/A")</f>
        <v>28</v>
      </c>
      <c r="J146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6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6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60" s="50">
        <f>IF(AND(CRC_War_Room_SIMs[[#This Row],[CI]] = 0, CRC_War_Room_SIMs[[#This Row],[Miss]] = 1), 1, 0)</f>
        <v>0</v>
      </c>
      <c r="N146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6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60" s="50">
        <f>IF(AND(CRC_War_Room_SIMs[[#This Row],[Excluded]] = 0, OR(CRC_War_Room_SIMs[[#This Row],[SLA Miss]] &lt;&gt; "", ISNUMBER(SEARCH("SLA", CRC_War_Room_SIMs[[#This Row],[Labels]])))), 1, 0)</f>
        <v>0</v>
      </c>
    </row>
    <row r="1461" spans="1:16" x14ac:dyDescent="0.25">
      <c r="A1461" t="s">
        <v>4178</v>
      </c>
      <c r="B1461" t="s">
        <v>4050</v>
      </c>
      <c r="C1461" t="s">
        <v>4134</v>
      </c>
      <c r="H146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61" s="49">
        <f ca="1">IFERROR(WEEKNUM(CRC_War_Room_SIMs[[#This Row],[Ops Date]]), "N/A")</f>
        <v>28</v>
      </c>
      <c r="J146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6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6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61" s="50">
        <f>IF(AND(CRC_War_Room_SIMs[[#This Row],[CI]] = 0, CRC_War_Room_SIMs[[#This Row],[Miss]] = 1), 1, 0)</f>
        <v>0</v>
      </c>
      <c r="N146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6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61" s="50">
        <f>IF(AND(CRC_War_Room_SIMs[[#This Row],[Excluded]] = 0, OR(CRC_War_Room_SIMs[[#This Row],[SLA Miss]] &lt;&gt; "", ISNUMBER(SEARCH("SLA", CRC_War_Room_SIMs[[#This Row],[Labels]])))), 1, 0)</f>
        <v>0</v>
      </c>
    </row>
    <row r="1462" spans="1:16" x14ac:dyDescent="0.25">
      <c r="A1462" t="s">
        <v>4179</v>
      </c>
      <c r="B1462" t="s">
        <v>4145</v>
      </c>
      <c r="C1462" t="s">
        <v>4134</v>
      </c>
      <c r="H146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62" s="49">
        <f ca="1">IFERROR(WEEKNUM(CRC_War_Room_SIMs[[#This Row],[Ops Date]]), "N/A")</f>
        <v>28</v>
      </c>
      <c r="J146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6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6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62" s="50">
        <f>IF(AND(CRC_War_Room_SIMs[[#This Row],[CI]] = 0, CRC_War_Room_SIMs[[#This Row],[Miss]] = 1), 1, 0)</f>
        <v>0</v>
      </c>
      <c r="N146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6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62" s="50">
        <f>IF(AND(CRC_War_Room_SIMs[[#This Row],[Excluded]] = 0, OR(CRC_War_Room_SIMs[[#This Row],[SLA Miss]] &lt;&gt; "", ISNUMBER(SEARCH("SLA", CRC_War_Room_SIMs[[#This Row],[Labels]])))), 1, 0)</f>
        <v>0</v>
      </c>
    </row>
    <row r="1463" spans="1:16" x14ac:dyDescent="0.25">
      <c r="A1463" t="s">
        <v>4180</v>
      </c>
      <c r="B1463" t="s">
        <v>3940</v>
      </c>
      <c r="C1463" t="s">
        <v>4134</v>
      </c>
      <c r="H146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63" s="49">
        <f ca="1">IFERROR(WEEKNUM(CRC_War_Room_SIMs[[#This Row],[Ops Date]]), "N/A")</f>
        <v>28</v>
      </c>
      <c r="J146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6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6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63" s="50">
        <f>IF(AND(CRC_War_Room_SIMs[[#This Row],[CI]] = 0, CRC_War_Room_SIMs[[#This Row],[Miss]] = 1), 1, 0)</f>
        <v>0</v>
      </c>
      <c r="N146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6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63" s="50">
        <f>IF(AND(CRC_War_Room_SIMs[[#This Row],[Excluded]] = 0, OR(CRC_War_Room_SIMs[[#This Row],[SLA Miss]] &lt;&gt; "", ISNUMBER(SEARCH("SLA", CRC_War_Room_SIMs[[#This Row],[Labels]])))), 1, 0)</f>
        <v>0</v>
      </c>
    </row>
    <row r="1464" spans="1:16" x14ac:dyDescent="0.25">
      <c r="A1464" t="s">
        <v>4181</v>
      </c>
      <c r="B1464" t="s">
        <v>4133</v>
      </c>
      <c r="C1464" t="s">
        <v>4134</v>
      </c>
      <c r="H146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64" s="49">
        <f ca="1">IFERROR(WEEKNUM(CRC_War_Room_SIMs[[#This Row],[Ops Date]]), "N/A")</f>
        <v>28</v>
      </c>
      <c r="J146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6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6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64" s="50">
        <f>IF(AND(CRC_War_Room_SIMs[[#This Row],[CI]] = 0, CRC_War_Room_SIMs[[#This Row],[Miss]] = 1), 1, 0)</f>
        <v>0</v>
      </c>
      <c r="N146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6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64" s="50">
        <f>IF(AND(CRC_War_Room_SIMs[[#This Row],[Excluded]] = 0, OR(CRC_War_Room_SIMs[[#This Row],[SLA Miss]] &lt;&gt; "", ISNUMBER(SEARCH("SLA", CRC_War_Room_SIMs[[#This Row],[Labels]])))), 1, 0)</f>
        <v>0</v>
      </c>
    </row>
    <row r="1465" spans="1:16" x14ac:dyDescent="0.25">
      <c r="A1465" t="s">
        <v>4182</v>
      </c>
      <c r="B1465" t="s">
        <v>4050</v>
      </c>
      <c r="C1465" t="s">
        <v>4134</v>
      </c>
      <c r="H146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65" s="49">
        <f ca="1">IFERROR(WEEKNUM(CRC_War_Room_SIMs[[#This Row],[Ops Date]]), "N/A")</f>
        <v>28</v>
      </c>
      <c r="J146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6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6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65" s="50">
        <f>IF(AND(CRC_War_Room_SIMs[[#This Row],[CI]] = 0, CRC_War_Room_SIMs[[#This Row],[Miss]] = 1), 1, 0)</f>
        <v>0</v>
      </c>
      <c r="N146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6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65" s="50">
        <f>IF(AND(CRC_War_Room_SIMs[[#This Row],[Excluded]] = 0, OR(CRC_War_Room_SIMs[[#This Row],[SLA Miss]] &lt;&gt; "", ISNUMBER(SEARCH("SLA", CRC_War_Room_SIMs[[#This Row],[Labels]])))), 1, 0)</f>
        <v>0</v>
      </c>
    </row>
    <row r="1466" spans="1:16" x14ac:dyDescent="0.25">
      <c r="A1466" t="s">
        <v>4183</v>
      </c>
      <c r="B1466" t="s">
        <v>4145</v>
      </c>
      <c r="C1466" t="s">
        <v>4134</v>
      </c>
      <c r="H146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66" s="49">
        <f ca="1">IFERROR(WEEKNUM(CRC_War_Room_SIMs[[#This Row],[Ops Date]]), "N/A")</f>
        <v>28</v>
      </c>
      <c r="J146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6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6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66" s="50">
        <f>IF(AND(CRC_War_Room_SIMs[[#This Row],[CI]] = 0, CRC_War_Room_SIMs[[#This Row],[Miss]] = 1), 1, 0)</f>
        <v>0</v>
      </c>
      <c r="N146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6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66" s="50">
        <f>IF(AND(CRC_War_Room_SIMs[[#This Row],[Excluded]] = 0, OR(CRC_War_Room_SIMs[[#This Row],[SLA Miss]] &lt;&gt; "", ISNUMBER(SEARCH("SLA", CRC_War_Room_SIMs[[#This Row],[Labels]])))), 1, 0)</f>
        <v>0</v>
      </c>
    </row>
    <row r="1467" spans="1:16" x14ac:dyDescent="0.25">
      <c r="A1467" t="s">
        <v>4184</v>
      </c>
      <c r="B1467" t="s">
        <v>4133</v>
      </c>
      <c r="C1467" t="s">
        <v>4134</v>
      </c>
      <c r="H146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67" s="49">
        <f ca="1">IFERROR(WEEKNUM(CRC_War_Room_SIMs[[#This Row],[Ops Date]]), "N/A")</f>
        <v>28</v>
      </c>
      <c r="J146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6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6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67" s="50">
        <f>IF(AND(CRC_War_Room_SIMs[[#This Row],[CI]] = 0, CRC_War_Room_SIMs[[#This Row],[Miss]] = 1), 1, 0)</f>
        <v>0</v>
      </c>
      <c r="N146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6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67" s="50">
        <f>IF(AND(CRC_War_Room_SIMs[[#This Row],[Excluded]] = 0, OR(CRC_War_Room_SIMs[[#This Row],[SLA Miss]] &lt;&gt; "", ISNUMBER(SEARCH("SLA", CRC_War_Room_SIMs[[#This Row],[Labels]])))), 1, 0)</f>
        <v>0</v>
      </c>
    </row>
    <row r="1468" spans="1:16" x14ac:dyDescent="0.25">
      <c r="A1468" t="s">
        <v>4185</v>
      </c>
      <c r="B1468" t="s">
        <v>4050</v>
      </c>
      <c r="C1468" t="s">
        <v>4134</v>
      </c>
      <c r="H146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68" s="49">
        <f ca="1">IFERROR(WEEKNUM(CRC_War_Room_SIMs[[#This Row],[Ops Date]]), "N/A")</f>
        <v>28</v>
      </c>
      <c r="J146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6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6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68" s="50">
        <f>IF(AND(CRC_War_Room_SIMs[[#This Row],[CI]] = 0, CRC_War_Room_SIMs[[#This Row],[Miss]] = 1), 1, 0)</f>
        <v>0</v>
      </c>
      <c r="N146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6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68" s="50">
        <f>IF(AND(CRC_War_Room_SIMs[[#This Row],[Excluded]] = 0, OR(CRC_War_Room_SIMs[[#This Row],[SLA Miss]] &lt;&gt; "", ISNUMBER(SEARCH("SLA", CRC_War_Room_SIMs[[#This Row],[Labels]])))), 1, 0)</f>
        <v>0</v>
      </c>
    </row>
    <row r="1469" spans="1:16" x14ac:dyDescent="0.25">
      <c r="A1469" t="s">
        <v>4186</v>
      </c>
      <c r="B1469" t="s">
        <v>4187</v>
      </c>
      <c r="C1469" t="s">
        <v>4134</v>
      </c>
      <c r="H146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69" s="49">
        <f ca="1">IFERROR(WEEKNUM(CRC_War_Room_SIMs[[#This Row],[Ops Date]]), "N/A")</f>
        <v>28</v>
      </c>
      <c r="J146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6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6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69" s="50">
        <f>IF(AND(CRC_War_Room_SIMs[[#This Row],[CI]] = 0, CRC_War_Room_SIMs[[#This Row],[Miss]] = 1), 1, 0)</f>
        <v>0</v>
      </c>
      <c r="N146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6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69" s="50">
        <f>IF(AND(CRC_War_Room_SIMs[[#This Row],[Excluded]] = 0, OR(CRC_War_Room_SIMs[[#This Row],[SLA Miss]] &lt;&gt; "", ISNUMBER(SEARCH("SLA", CRC_War_Room_SIMs[[#This Row],[Labels]])))), 1, 0)</f>
        <v>0</v>
      </c>
    </row>
    <row r="1470" spans="1:16" x14ac:dyDescent="0.25">
      <c r="A1470" t="s">
        <v>4188</v>
      </c>
      <c r="B1470" t="s">
        <v>4140</v>
      </c>
      <c r="C1470" t="s">
        <v>4134</v>
      </c>
      <c r="H147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70" s="49">
        <f ca="1">IFERROR(WEEKNUM(CRC_War_Room_SIMs[[#This Row],[Ops Date]]), "N/A")</f>
        <v>28</v>
      </c>
      <c r="J147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7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7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70" s="50">
        <f>IF(AND(CRC_War_Room_SIMs[[#This Row],[CI]] = 0, CRC_War_Room_SIMs[[#This Row],[Miss]] = 1), 1, 0)</f>
        <v>0</v>
      </c>
      <c r="N147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7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70" s="50">
        <f>IF(AND(CRC_War_Room_SIMs[[#This Row],[Excluded]] = 0, OR(CRC_War_Room_SIMs[[#This Row],[SLA Miss]] &lt;&gt; "", ISNUMBER(SEARCH("SLA", CRC_War_Room_SIMs[[#This Row],[Labels]])))), 1, 0)</f>
        <v>0</v>
      </c>
    </row>
    <row r="1471" spans="1:16" x14ac:dyDescent="0.25">
      <c r="A1471" t="s">
        <v>4189</v>
      </c>
      <c r="B1471" t="s">
        <v>4136</v>
      </c>
      <c r="C1471" t="s">
        <v>4134</v>
      </c>
      <c r="H147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71" s="49">
        <f ca="1">IFERROR(WEEKNUM(CRC_War_Room_SIMs[[#This Row],[Ops Date]]), "N/A")</f>
        <v>28</v>
      </c>
      <c r="J147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7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7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71" s="50">
        <f>IF(AND(CRC_War_Room_SIMs[[#This Row],[CI]] = 0, CRC_War_Room_SIMs[[#This Row],[Miss]] = 1), 1, 0)</f>
        <v>0</v>
      </c>
      <c r="N147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7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71" s="50">
        <f>IF(AND(CRC_War_Room_SIMs[[#This Row],[Excluded]] = 0, OR(CRC_War_Room_SIMs[[#This Row],[SLA Miss]] &lt;&gt; "", ISNUMBER(SEARCH("SLA", CRC_War_Room_SIMs[[#This Row],[Labels]])))), 1, 0)</f>
        <v>0</v>
      </c>
    </row>
    <row r="1472" spans="1:16" x14ac:dyDescent="0.25">
      <c r="A1472" t="s">
        <v>4190</v>
      </c>
      <c r="B1472" t="s">
        <v>4191</v>
      </c>
      <c r="C1472" t="s">
        <v>4134</v>
      </c>
      <c r="H147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72" s="49">
        <f ca="1">IFERROR(WEEKNUM(CRC_War_Room_SIMs[[#This Row],[Ops Date]]), "N/A")</f>
        <v>28</v>
      </c>
      <c r="J147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7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7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72" s="50">
        <f>IF(AND(CRC_War_Room_SIMs[[#This Row],[CI]] = 0, CRC_War_Room_SIMs[[#This Row],[Miss]] = 1), 1, 0)</f>
        <v>0</v>
      </c>
      <c r="N147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7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72" s="50">
        <f>IF(AND(CRC_War_Room_SIMs[[#This Row],[Excluded]] = 0, OR(CRC_War_Room_SIMs[[#This Row],[SLA Miss]] &lt;&gt; "", ISNUMBER(SEARCH("SLA", CRC_War_Room_SIMs[[#This Row],[Labels]])))), 1, 0)</f>
        <v>0</v>
      </c>
    </row>
    <row r="1473" spans="1:16" x14ac:dyDescent="0.25">
      <c r="A1473" t="s">
        <v>4192</v>
      </c>
      <c r="B1473" t="s">
        <v>4145</v>
      </c>
      <c r="C1473" t="s">
        <v>4134</v>
      </c>
      <c r="H147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73" s="49">
        <f ca="1">IFERROR(WEEKNUM(CRC_War_Room_SIMs[[#This Row],[Ops Date]]), "N/A")</f>
        <v>28</v>
      </c>
      <c r="J147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7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7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73" s="50">
        <f>IF(AND(CRC_War_Room_SIMs[[#This Row],[CI]] = 0, CRC_War_Room_SIMs[[#This Row],[Miss]] = 1), 1, 0)</f>
        <v>0</v>
      </c>
      <c r="N147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7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73" s="50">
        <f>IF(AND(CRC_War_Room_SIMs[[#This Row],[Excluded]] = 0, OR(CRC_War_Room_SIMs[[#This Row],[SLA Miss]] &lt;&gt; "", ISNUMBER(SEARCH("SLA", CRC_War_Room_SIMs[[#This Row],[Labels]])))), 1, 0)</f>
        <v>0</v>
      </c>
    </row>
    <row r="1474" spans="1:16" x14ac:dyDescent="0.25">
      <c r="A1474" t="s">
        <v>4193</v>
      </c>
      <c r="B1474" t="s">
        <v>3940</v>
      </c>
      <c r="C1474" t="s">
        <v>4134</v>
      </c>
      <c r="H147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74" s="49">
        <f ca="1">IFERROR(WEEKNUM(CRC_War_Room_SIMs[[#This Row],[Ops Date]]), "N/A")</f>
        <v>28</v>
      </c>
      <c r="J147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7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7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74" s="50">
        <f>IF(AND(CRC_War_Room_SIMs[[#This Row],[CI]] = 0, CRC_War_Room_SIMs[[#This Row],[Miss]] = 1), 1, 0)</f>
        <v>0</v>
      </c>
      <c r="N147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7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74" s="50">
        <f>IF(AND(CRC_War_Room_SIMs[[#This Row],[Excluded]] = 0, OR(CRC_War_Room_SIMs[[#This Row],[SLA Miss]] &lt;&gt; "", ISNUMBER(SEARCH("SLA", CRC_War_Room_SIMs[[#This Row],[Labels]])))), 1, 0)</f>
        <v>0</v>
      </c>
    </row>
    <row r="1475" spans="1:16" x14ac:dyDescent="0.25">
      <c r="A1475" t="s">
        <v>4194</v>
      </c>
      <c r="B1475" t="s">
        <v>4050</v>
      </c>
      <c r="C1475" t="s">
        <v>4134</v>
      </c>
      <c r="H147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75" s="49">
        <f ca="1">IFERROR(WEEKNUM(CRC_War_Room_SIMs[[#This Row],[Ops Date]]), "N/A")</f>
        <v>28</v>
      </c>
      <c r="J147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7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7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75" s="50">
        <f>IF(AND(CRC_War_Room_SIMs[[#This Row],[CI]] = 0, CRC_War_Room_SIMs[[#This Row],[Miss]] = 1), 1, 0)</f>
        <v>0</v>
      </c>
      <c r="N147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7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75" s="50">
        <f>IF(AND(CRC_War_Room_SIMs[[#This Row],[Excluded]] = 0, OR(CRC_War_Room_SIMs[[#This Row],[SLA Miss]] &lt;&gt; "", ISNUMBER(SEARCH("SLA", CRC_War_Room_SIMs[[#This Row],[Labels]])))), 1, 0)</f>
        <v>0</v>
      </c>
    </row>
    <row r="1476" spans="1:16" x14ac:dyDescent="0.25">
      <c r="A1476" t="s">
        <v>4195</v>
      </c>
      <c r="B1476" t="s">
        <v>4145</v>
      </c>
      <c r="C1476" t="s">
        <v>4134</v>
      </c>
      <c r="H147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76" s="49">
        <f ca="1">IFERROR(WEEKNUM(CRC_War_Room_SIMs[[#This Row],[Ops Date]]), "N/A")</f>
        <v>28</v>
      </c>
      <c r="J147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7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7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76" s="50">
        <f>IF(AND(CRC_War_Room_SIMs[[#This Row],[CI]] = 0, CRC_War_Room_SIMs[[#This Row],[Miss]] = 1), 1, 0)</f>
        <v>0</v>
      </c>
      <c r="N147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7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76" s="50">
        <f>IF(AND(CRC_War_Room_SIMs[[#This Row],[Excluded]] = 0, OR(CRC_War_Room_SIMs[[#This Row],[SLA Miss]] &lt;&gt; "", ISNUMBER(SEARCH("SLA", CRC_War_Room_SIMs[[#This Row],[Labels]])))), 1, 0)</f>
        <v>0</v>
      </c>
    </row>
    <row r="1477" spans="1:16" x14ac:dyDescent="0.25">
      <c r="A1477" t="s">
        <v>4196</v>
      </c>
      <c r="B1477" t="s">
        <v>4050</v>
      </c>
      <c r="C1477" t="s">
        <v>4134</v>
      </c>
      <c r="H147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77" s="49">
        <f ca="1">IFERROR(WEEKNUM(CRC_War_Room_SIMs[[#This Row],[Ops Date]]), "N/A")</f>
        <v>28</v>
      </c>
      <c r="J147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7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7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77" s="50">
        <f>IF(AND(CRC_War_Room_SIMs[[#This Row],[CI]] = 0, CRC_War_Room_SIMs[[#This Row],[Miss]] = 1), 1, 0)</f>
        <v>0</v>
      </c>
      <c r="N147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7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77" s="50">
        <f>IF(AND(CRC_War_Room_SIMs[[#This Row],[Excluded]] = 0, OR(CRC_War_Room_SIMs[[#This Row],[SLA Miss]] &lt;&gt; "", ISNUMBER(SEARCH("SLA", CRC_War_Room_SIMs[[#This Row],[Labels]])))), 1, 0)</f>
        <v>0</v>
      </c>
    </row>
    <row r="1478" spans="1:16" x14ac:dyDescent="0.25">
      <c r="A1478" t="s">
        <v>4197</v>
      </c>
      <c r="B1478" t="s">
        <v>4145</v>
      </c>
      <c r="C1478" t="s">
        <v>4134</v>
      </c>
      <c r="H147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78" s="49">
        <f ca="1">IFERROR(WEEKNUM(CRC_War_Room_SIMs[[#This Row],[Ops Date]]), "N/A")</f>
        <v>28</v>
      </c>
      <c r="J147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7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7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78" s="50">
        <f>IF(AND(CRC_War_Room_SIMs[[#This Row],[CI]] = 0, CRC_War_Room_SIMs[[#This Row],[Miss]] = 1), 1, 0)</f>
        <v>0</v>
      </c>
      <c r="N147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7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78" s="50">
        <f>IF(AND(CRC_War_Room_SIMs[[#This Row],[Excluded]] = 0, OR(CRC_War_Room_SIMs[[#This Row],[SLA Miss]] &lt;&gt; "", ISNUMBER(SEARCH("SLA", CRC_War_Room_SIMs[[#This Row],[Labels]])))), 1, 0)</f>
        <v>0</v>
      </c>
    </row>
    <row r="1479" spans="1:16" x14ac:dyDescent="0.25">
      <c r="A1479" t="s">
        <v>4198</v>
      </c>
      <c r="B1479" t="s">
        <v>3940</v>
      </c>
      <c r="C1479" t="s">
        <v>4134</v>
      </c>
      <c r="H147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79" s="49">
        <f ca="1">IFERROR(WEEKNUM(CRC_War_Room_SIMs[[#This Row],[Ops Date]]), "N/A")</f>
        <v>28</v>
      </c>
      <c r="J147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7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7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79" s="50">
        <f>IF(AND(CRC_War_Room_SIMs[[#This Row],[CI]] = 0, CRC_War_Room_SIMs[[#This Row],[Miss]] = 1), 1, 0)</f>
        <v>0</v>
      </c>
      <c r="N147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7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79" s="50">
        <f>IF(AND(CRC_War_Room_SIMs[[#This Row],[Excluded]] = 0, OR(CRC_War_Room_SIMs[[#This Row],[SLA Miss]] &lt;&gt; "", ISNUMBER(SEARCH("SLA", CRC_War_Room_SIMs[[#This Row],[Labels]])))), 1, 0)</f>
        <v>0</v>
      </c>
    </row>
    <row r="1480" spans="1:16" x14ac:dyDescent="0.25">
      <c r="A1480" t="s">
        <v>4199</v>
      </c>
      <c r="B1480" t="s">
        <v>4050</v>
      </c>
      <c r="C1480" t="s">
        <v>4134</v>
      </c>
      <c r="H148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80" s="49">
        <f ca="1">IFERROR(WEEKNUM(CRC_War_Room_SIMs[[#This Row],[Ops Date]]), "N/A")</f>
        <v>28</v>
      </c>
      <c r="J148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8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8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80" s="50">
        <f>IF(AND(CRC_War_Room_SIMs[[#This Row],[CI]] = 0, CRC_War_Room_SIMs[[#This Row],[Miss]] = 1), 1, 0)</f>
        <v>0</v>
      </c>
      <c r="N148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8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80" s="50">
        <f>IF(AND(CRC_War_Room_SIMs[[#This Row],[Excluded]] = 0, OR(CRC_War_Room_SIMs[[#This Row],[SLA Miss]] &lt;&gt; "", ISNUMBER(SEARCH("SLA", CRC_War_Room_SIMs[[#This Row],[Labels]])))), 1, 0)</f>
        <v>0</v>
      </c>
    </row>
    <row r="1481" spans="1:16" x14ac:dyDescent="0.25">
      <c r="A1481" t="s">
        <v>4200</v>
      </c>
      <c r="B1481" t="s">
        <v>4187</v>
      </c>
      <c r="C1481" t="s">
        <v>4134</v>
      </c>
      <c r="H148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81" s="49">
        <f ca="1">IFERROR(WEEKNUM(CRC_War_Room_SIMs[[#This Row],[Ops Date]]), "N/A")</f>
        <v>28</v>
      </c>
      <c r="J148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8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8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81" s="50">
        <f>IF(AND(CRC_War_Room_SIMs[[#This Row],[CI]] = 0, CRC_War_Room_SIMs[[#This Row],[Miss]] = 1), 1, 0)</f>
        <v>0</v>
      </c>
      <c r="N148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8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81" s="50">
        <f>IF(AND(CRC_War_Room_SIMs[[#This Row],[Excluded]] = 0, OR(CRC_War_Room_SIMs[[#This Row],[SLA Miss]] &lt;&gt; "", ISNUMBER(SEARCH("SLA", CRC_War_Room_SIMs[[#This Row],[Labels]])))), 1, 0)</f>
        <v>0</v>
      </c>
    </row>
    <row r="1482" spans="1:16" x14ac:dyDescent="0.25">
      <c r="A1482" t="s">
        <v>4201</v>
      </c>
      <c r="B1482" t="s">
        <v>4191</v>
      </c>
      <c r="C1482" t="s">
        <v>4134</v>
      </c>
      <c r="H148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82" s="49">
        <f ca="1">IFERROR(WEEKNUM(CRC_War_Room_SIMs[[#This Row],[Ops Date]]), "N/A")</f>
        <v>28</v>
      </c>
      <c r="J148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8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8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82" s="50">
        <f>IF(AND(CRC_War_Room_SIMs[[#This Row],[CI]] = 0, CRC_War_Room_SIMs[[#This Row],[Miss]] = 1), 1, 0)</f>
        <v>0</v>
      </c>
      <c r="N148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8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82" s="50">
        <f>IF(AND(CRC_War_Room_SIMs[[#This Row],[Excluded]] = 0, OR(CRC_War_Room_SIMs[[#This Row],[SLA Miss]] &lt;&gt; "", ISNUMBER(SEARCH("SLA", CRC_War_Room_SIMs[[#This Row],[Labels]])))), 1, 0)</f>
        <v>0</v>
      </c>
    </row>
    <row r="1483" spans="1:16" x14ac:dyDescent="0.25">
      <c r="A1483" t="s">
        <v>4202</v>
      </c>
      <c r="B1483" t="s">
        <v>4187</v>
      </c>
      <c r="C1483" t="s">
        <v>4134</v>
      </c>
      <c r="H148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83" s="49">
        <f ca="1">IFERROR(WEEKNUM(CRC_War_Room_SIMs[[#This Row],[Ops Date]]), "N/A")</f>
        <v>28</v>
      </c>
      <c r="J148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8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8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83" s="50">
        <f>IF(AND(CRC_War_Room_SIMs[[#This Row],[CI]] = 0, CRC_War_Room_SIMs[[#This Row],[Miss]] = 1), 1, 0)</f>
        <v>0</v>
      </c>
      <c r="N148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8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83" s="50">
        <f>IF(AND(CRC_War_Room_SIMs[[#This Row],[Excluded]] = 0, OR(CRC_War_Room_SIMs[[#This Row],[SLA Miss]] &lt;&gt; "", ISNUMBER(SEARCH("SLA", CRC_War_Room_SIMs[[#This Row],[Labels]])))), 1, 0)</f>
        <v>0</v>
      </c>
    </row>
    <row r="1484" spans="1:16" x14ac:dyDescent="0.25">
      <c r="A1484" t="s">
        <v>4203</v>
      </c>
      <c r="B1484" t="s">
        <v>4140</v>
      </c>
      <c r="C1484" t="s">
        <v>4134</v>
      </c>
      <c r="H148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84" s="49">
        <f ca="1">IFERROR(WEEKNUM(CRC_War_Room_SIMs[[#This Row],[Ops Date]]), "N/A")</f>
        <v>28</v>
      </c>
      <c r="J148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8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8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84" s="50">
        <f>IF(AND(CRC_War_Room_SIMs[[#This Row],[CI]] = 0, CRC_War_Room_SIMs[[#This Row],[Miss]] = 1), 1, 0)</f>
        <v>0</v>
      </c>
      <c r="N148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8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84" s="50">
        <f>IF(AND(CRC_War_Room_SIMs[[#This Row],[Excluded]] = 0, OR(CRC_War_Room_SIMs[[#This Row],[SLA Miss]] &lt;&gt; "", ISNUMBER(SEARCH("SLA", CRC_War_Room_SIMs[[#This Row],[Labels]])))), 1, 0)</f>
        <v>0</v>
      </c>
    </row>
    <row r="1485" spans="1:16" x14ac:dyDescent="0.25">
      <c r="A1485" t="s">
        <v>4204</v>
      </c>
      <c r="B1485" t="s">
        <v>4191</v>
      </c>
      <c r="C1485" t="s">
        <v>4134</v>
      </c>
      <c r="H148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85" s="49">
        <f ca="1">IFERROR(WEEKNUM(CRC_War_Room_SIMs[[#This Row],[Ops Date]]), "N/A")</f>
        <v>28</v>
      </c>
      <c r="J148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8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8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85" s="50">
        <f>IF(AND(CRC_War_Room_SIMs[[#This Row],[CI]] = 0, CRC_War_Room_SIMs[[#This Row],[Miss]] = 1), 1, 0)</f>
        <v>0</v>
      </c>
      <c r="N148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8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85" s="50">
        <f>IF(AND(CRC_War_Room_SIMs[[#This Row],[Excluded]] = 0, OR(CRC_War_Room_SIMs[[#This Row],[SLA Miss]] &lt;&gt; "", ISNUMBER(SEARCH("SLA", CRC_War_Room_SIMs[[#This Row],[Labels]])))), 1, 0)</f>
        <v>0</v>
      </c>
    </row>
    <row r="1486" spans="1:16" x14ac:dyDescent="0.25">
      <c r="A1486" t="s">
        <v>4205</v>
      </c>
      <c r="B1486" t="s">
        <v>4187</v>
      </c>
      <c r="C1486" t="s">
        <v>4134</v>
      </c>
      <c r="H148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86" s="49">
        <f ca="1">IFERROR(WEEKNUM(CRC_War_Room_SIMs[[#This Row],[Ops Date]]), "N/A")</f>
        <v>28</v>
      </c>
      <c r="J148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8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8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86" s="50">
        <f>IF(AND(CRC_War_Room_SIMs[[#This Row],[CI]] = 0, CRC_War_Room_SIMs[[#This Row],[Miss]] = 1), 1, 0)</f>
        <v>0</v>
      </c>
      <c r="N148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8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86" s="50">
        <f>IF(AND(CRC_War_Room_SIMs[[#This Row],[Excluded]] = 0, OR(CRC_War_Room_SIMs[[#This Row],[SLA Miss]] &lt;&gt; "", ISNUMBER(SEARCH("SLA", CRC_War_Room_SIMs[[#This Row],[Labels]])))), 1, 0)</f>
        <v>0</v>
      </c>
    </row>
    <row r="1487" spans="1:16" x14ac:dyDescent="0.25">
      <c r="A1487" t="s">
        <v>4206</v>
      </c>
      <c r="B1487" t="s">
        <v>4140</v>
      </c>
      <c r="C1487" t="s">
        <v>4134</v>
      </c>
      <c r="H148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87" s="49">
        <f ca="1">IFERROR(WEEKNUM(CRC_War_Room_SIMs[[#This Row],[Ops Date]]), "N/A")</f>
        <v>28</v>
      </c>
      <c r="J148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8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8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87" s="50">
        <f>IF(AND(CRC_War_Room_SIMs[[#This Row],[CI]] = 0, CRC_War_Room_SIMs[[#This Row],[Miss]] = 1), 1, 0)</f>
        <v>0</v>
      </c>
      <c r="N148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8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87" s="50">
        <f>IF(AND(CRC_War_Room_SIMs[[#This Row],[Excluded]] = 0, OR(CRC_War_Room_SIMs[[#This Row],[SLA Miss]] &lt;&gt; "", ISNUMBER(SEARCH("SLA", CRC_War_Room_SIMs[[#This Row],[Labels]])))), 1, 0)</f>
        <v>0</v>
      </c>
    </row>
    <row r="1488" spans="1:16" x14ac:dyDescent="0.25">
      <c r="A1488" t="s">
        <v>4207</v>
      </c>
      <c r="B1488" t="s">
        <v>4140</v>
      </c>
      <c r="C1488" t="s">
        <v>4134</v>
      </c>
      <c r="H148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88" s="49">
        <f ca="1">IFERROR(WEEKNUM(CRC_War_Room_SIMs[[#This Row],[Ops Date]]), "N/A")</f>
        <v>28</v>
      </c>
      <c r="J148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8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8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88" s="50">
        <f>IF(AND(CRC_War_Room_SIMs[[#This Row],[CI]] = 0, CRC_War_Room_SIMs[[#This Row],[Miss]] = 1), 1, 0)</f>
        <v>0</v>
      </c>
      <c r="N148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8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88" s="50">
        <f>IF(AND(CRC_War_Room_SIMs[[#This Row],[Excluded]] = 0, OR(CRC_War_Room_SIMs[[#This Row],[SLA Miss]] &lt;&gt; "", ISNUMBER(SEARCH("SLA", CRC_War_Room_SIMs[[#This Row],[Labels]])))), 1, 0)</f>
        <v>0</v>
      </c>
    </row>
    <row r="1489" spans="1:16" x14ac:dyDescent="0.25">
      <c r="A1489" t="s">
        <v>4208</v>
      </c>
      <c r="B1489" t="s">
        <v>4136</v>
      </c>
      <c r="C1489" t="s">
        <v>4134</v>
      </c>
      <c r="H148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89" s="49">
        <f ca="1">IFERROR(WEEKNUM(CRC_War_Room_SIMs[[#This Row],[Ops Date]]), "N/A")</f>
        <v>28</v>
      </c>
      <c r="J148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8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8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89" s="50">
        <f>IF(AND(CRC_War_Room_SIMs[[#This Row],[CI]] = 0, CRC_War_Room_SIMs[[#This Row],[Miss]] = 1), 1, 0)</f>
        <v>0</v>
      </c>
      <c r="N148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8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89" s="50">
        <f>IF(AND(CRC_War_Room_SIMs[[#This Row],[Excluded]] = 0, OR(CRC_War_Room_SIMs[[#This Row],[SLA Miss]] &lt;&gt; "", ISNUMBER(SEARCH("SLA", CRC_War_Room_SIMs[[#This Row],[Labels]])))), 1, 0)</f>
        <v>0</v>
      </c>
    </row>
    <row r="1490" spans="1:16" x14ac:dyDescent="0.25">
      <c r="A1490" t="s">
        <v>4209</v>
      </c>
      <c r="B1490" t="s">
        <v>4191</v>
      </c>
      <c r="C1490" t="s">
        <v>4134</v>
      </c>
      <c r="H149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90" s="49">
        <f ca="1">IFERROR(WEEKNUM(CRC_War_Room_SIMs[[#This Row],[Ops Date]]), "N/A")</f>
        <v>28</v>
      </c>
      <c r="J149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9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9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90" s="50">
        <f>IF(AND(CRC_War_Room_SIMs[[#This Row],[CI]] = 0, CRC_War_Room_SIMs[[#This Row],[Miss]] = 1), 1, 0)</f>
        <v>0</v>
      </c>
      <c r="N149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9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90" s="50">
        <f>IF(AND(CRC_War_Room_SIMs[[#This Row],[Excluded]] = 0, OR(CRC_War_Room_SIMs[[#This Row],[SLA Miss]] &lt;&gt; "", ISNUMBER(SEARCH("SLA", CRC_War_Room_SIMs[[#This Row],[Labels]])))), 1, 0)</f>
        <v>0</v>
      </c>
    </row>
    <row r="1491" spans="1:16" x14ac:dyDescent="0.25">
      <c r="A1491" t="s">
        <v>4210</v>
      </c>
      <c r="B1491" t="s">
        <v>4187</v>
      </c>
      <c r="C1491" t="s">
        <v>4134</v>
      </c>
      <c r="H149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91" s="49">
        <f ca="1">IFERROR(WEEKNUM(CRC_War_Room_SIMs[[#This Row],[Ops Date]]), "N/A")</f>
        <v>28</v>
      </c>
      <c r="J149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9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9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91" s="50">
        <f>IF(AND(CRC_War_Room_SIMs[[#This Row],[CI]] = 0, CRC_War_Room_SIMs[[#This Row],[Miss]] = 1), 1, 0)</f>
        <v>0</v>
      </c>
      <c r="N149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9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91" s="50">
        <f>IF(AND(CRC_War_Room_SIMs[[#This Row],[Excluded]] = 0, OR(CRC_War_Room_SIMs[[#This Row],[SLA Miss]] &lt;&gt; "", ISNUMBER(SEARCH("SLA", CRC_War_Room_SIMs[[#This Row],[Labels]])))), 1, 0)</f>
        <v>0</v>
      </c>
    </row>
    <row r="1492" spans="1:16" x14ac:dyDescent="0.25">
      <c r="A1492" t="s">
        <v>4211</v>
      </c>
      <c r="B1492" t="s">
        <v>4191</v>
      </c>
      <c r="C1492" t="s">
        <v>4134</v>
      </c>
      <c r="H149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45481</v>
      </c>
      <c r="I1492" s="49">
        <f ca="1">IFERROR(WEEKNUM(CRC_War_Room_SIMs[[#This Row],[Ops Date]]), "N/A")</f>
        <v>28</v>
      </c>
      <c r="J149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9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9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92" s="50">
        <f>IF(AND(CRC_War_Room_SIMs[[#This Row],[CI]] = 0, CRC_War_Room_SIMs[[#This Row],[Miss]] = 1), 1, 0)</f>
        <v>0</v>
      </c>
      <c r="N149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9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92" s="50">
        <f>IF(AND(CRC_War_Room_SIMs[[#This Row],[Excluded]] = 0, OR(CRC_War_Room_SIMs[[#This Row],[SLA Miss]] &lt;&gt; "", ISNUMBER(SEARCH("SLA", CRC_War_Room_SIMs[[#This Row],[Labels]])))), 1, 0)</f>
        <v>0</v>
      </c>
    </row>
    <row r="1493" spans="1:16" x14ac:dyDescent="0.25">
      <c r="A1493" t="s">
        <v>4212</v>
      </c>
      <c r="B1493" t="s">
        <v>4213</v>
      </c>
      <c r="C1493" t="s">
        <v>4214</v>
      </c>
      <c r="D1493" t="s">
        <v>1453</v>
      </c>
      <c r="H149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493" s="49">
        <f ca="1">IFERROR(WEEKNUM(CRC_War_Room_SIMs[[#This Row],[Ops Date]]), "N/A")</f>
        <v>28</v>
      </c>
      <c r="J1493" s="49">
        <f>IF(OR(ISNUMBER(SEARCH("Excluded", CRC_War_Room_SIMs[[#This Row],[Labels]])), ISNUMBER(SEARCH("Quality", CRC_War_Room_SIMs[[#This Row],[Data Status]])), ISNUMBER(SEARCH("Exception", CRC_War_Room_SIMs[[#This Row],[Data Status]]))), 1, 0)</f>
        <v>1</v>
      </c>
      <c r="K149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9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93" s="50">
        <f>IF(AND(CRC_War_Room_SIMs[[#This Row],[CI]] = 0, CRC_War_Room_SIMs[[#This Row],[Miss]] = 1), 1, 0)</f>
        <v>0</v>
      </c>
      <c r="N149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9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93" s="50">
        <f>IF(AND(CRC_War_Room_SIMs[[#This Row],[Excluded]] = 0, OR(CRC_War_Room_SIMs[[#This Row],[SLA Miss]] &lt;&gt; "", ISNUMBER(SEARCH("SLA", CRC_War_Room_SIMs[[#This Row],[Labels]])))), 1, 0)</f>
        <v>0</v>
      </c>
    </row>
    <row r="1494" spans="1:16" x14ac:dyDescent="0.25">
      <c r="A1494" t="s">
        <v>4215</v>
      </c>
      <c r="B1494" t="s">
        <v>4213</v>
      </c>
      <c r="C1494" t="s">
        <v>4216</v>
      </c>
      <c r="H149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494" s="49">
        <f ca="1">IFERROR(WEEKNUM(CRC_War_Room_SIMs[[#This Row],[Ops Date]]), "N/A")</f>
        <v>28</v>
      </c>
      <c r="J149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9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49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494" s="50">
        <f>IF(AND(CRC_War_Room_SIMs[[#This Row],[CI]] = 0, CRC_War_Room_SIMs[[#This Row],[Miss]] = 1), 1, 0)</f>
        <v>0</v>
      </c>
      <c r="N149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9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94" s="50">
        <f>IF(AND(CRC_War_Room_SIMs[[#This Row],[Excluded]] = 0, OR(CRC_War_Room_SIMs[[#This Row],[SLA Miss]] &lt;&gt; "", ISNUMBER(SEARCH("SLA", CRC_War_Room_SIMs[[#This Row],[Labels]])))), 1, 0)</f>
        <v>0</v>
      </c>
    </row>
    <row r="1495" spans="1:16" x14ac:dyDescent="0.25">
      <c r="A1495" t="s">
        <v>4217</v>
      </c>
      <c r="B1495" t="s">
        <v>4213</v>
      </c>
      <c r="C1495" t="s">
        <v>4218</v>
      </c>
      <c r="H149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495" s="49">
        <f ca="1">IFERROR(WEEKNUM(CRC_War_Room_SIMs[[#This Row],[Ops Date]]), "N/A")</f>
        <v>28</v>
      </c>
      <c r="J149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9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9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95" s="50">
        <f>IF(AND(CRC_War_Room_SIMs[[#This Row],[CI]] = 0, CRC_War_Room_SIMs[[#This Row],[Miss]] = 1), 1, 0)</f>
        <v>0</v>
      </c>
      <c r="N149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9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95" s="50">
        <f>IF(AND(CRC_War_Room_SIMs[[#This Row],[Excluded]] = 0, OR(CRC_War_Room_SIMs[[#This Row],[SLA Miss]] &lt;&gt; "", ISNUMBER(SEARCH("SLA", CRC_War_Room_SIMs[[#This Row],[Labels]])))), 1, 0)</f>
        <v>0</v>
      </c>
    </row>
    <row r="1496" spans="1:16" x14ac:dyDescent="0.25">
      <c r="A1496" t="s">
        <v>4219</v>
      </c>
      <c r="B1496" t="s">
        <v>4220</v>
      </c>
      <c r="C1496" t="s">
        <v>4218</v>
      </c>
      <c r="H149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496" s="49">
        <f ca="1">IFERROR(WEEKNUM(CRC_War_Room_SIMs[[#This Row],[Ops Date]]), "N/A")</f>
        <v>28</v>
      </c>
      <c r="J149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9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9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96" s="50">
        <f>IF(AND(CRC_War_Room_SIMs[[#This Row],[CI]] = 0, CRC_War_Room_SIMs[[#This Row],[Miss]] = 1), 1, 0)</f>
        <v>0</v>
      </c>
      <c r="N149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9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96" s="50">
        <f>IF(AND(CRC_War_Room_SIMs[[#This Row],[Excluded]] = 0, OR(CRC_War_Room_SIMs[[#This Row],[SLA Miss]] &lt;&gt; "", ISNUMBER(SEARCH("SLA", CRC_War_Room_SIMs[[#This Row],[Labels]])))), 1, 0)</f>
        <v>0</v>
      </c>
    </row>
    <row r="1497" spans="1:16" x14ac:dyDescent="0.25">
      <c r="A1497" t="s">
        <v>4221</v>
      </c>
      <c r="B1497" t="s">
        <v>4222</v>
      </c>
      <c r="C1497" t="s">
        <v>4218</v>
      </c>
      <c r="H149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497" s="49">
        <f ca="1">IFERROR(WEEKNUM(CRC_War_Room_SIMs[[#This Row],[Ops Date]]), "N/A")</f>
        <v>28</v>
      </c>
      <c r="J149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9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9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97" s="50">
        <f>IF(AND(CRC_War_Room_SIMs[[#This Row],[CI]] = 0, CRC_War_Room_SIMs[[#This Row],[Miss]] = 1), 1, 0)</f>
        <v>0</v>
      </c>
      <c r="N149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9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97" s="50">
        <f>IF(AND(CRC_War_Room_SIMs[[#This Row],[Excluded]] = 0, OR(CRC_War_Room_SIMs[[#This Row],[SLA Miss]] &lt;&gt; "", ISNUMBER(SEARCH("SLA", CRC_War_Room_SIMs[[#This Row],[Labels]])))), 1, 0)</f>
        <v>0</v>
      </c>
    </row>
    <row r="1498" spans="1:16" x14ac:dyDescent="0.25">
      <c r="A1498" t="s">
        <v>4223</v>
      </c>
      <c r="B1498" t="s">
        <v>4224</v>
      </c>
      <c r="C1498" t="s">
        <v>4218</v>
      </c>
      <c r="E1498" t="s">
        <v>2784</v>
      </c>
      <c r="H149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498" s="49">
        <f ca="1">IFERROR(WEEKNUM(CRC_War_Room_SIMs[[#This Row],[Ops Date]]), "N/A")</f>
        <v>28</v>
      </c>
      <c r="J149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9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49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498" s="50">
        <f>IF(AND(CRC_War_Room_SIMs[[#This Row],[CI]] = 0, CRC_War_Room_SIMs[[#This Row],[Miss]] = 1), 1, 0)</f>
        <v>0</v>
      </c>
      <c r="N1498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149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98" s="50">
        <f>IF(AND(CRC_War_Room_SIMs[[#This Row],[Excluded]] = 0, OR(CRC_War_Room_SIMs[[#This Row],[SLA Miss]] &lt;&gt; "", ISNUMBER(SEARCH("SLA", CRC_War_Room_SIMs[[#This Row],[Labels]])))), 1, 0)</f>
        <v>0</v>
      </c>
    </row>
    <row r="1499" spans="1:16" x14ac:dyDescent="0.25">
      <c r="A1499" t="s">
        <v>4225</v>
      </c>
      <c r="B1499" t="s">
        <v>4213</v>
      </c>
      <c r="C1499" t="s">
        <v>4218</v>
      </c>
      <c r="H149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499" s="49">
        <f ca="1">IFERROR(WEEKNUM(CRC_War_Room_SIMs[[#This Row],[Ops Date]]), "N/A")</f>
        <v>28</v>
      </c>
      <c r="J149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49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49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499" s="50">
        <f>IF(AND(CRC_War_Room_SIMs[[#This Row],[CI]] = 0, CRC_War_Room_SIMs[[#This Row],[Miss]] = 1), 1, 0)</f>
        <v>0</v>
      </c>
      <c r="N149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49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499" s="50">
        <f>IF(AND(CRC_War_Room_SIMs[[#This Row],[Excluded]] = 0, OR(CRC_War_Room_SIMs[[#This Row],[SLA Miss]] &lt;&gt; "", ISNUMBER(SEARCH("SLA", CRC_War_Room_SIMs[[#This Row],[Labels]])))), 1, 0)</f>
        <v>0</v>
      </c>
    </row>
    <row r="1500" spans="1:16" x14ac:dyDescent="0.25">
      <c r="A1500" t="s">
        <v>4226</v>
      </c>
      <c r="B1500" t="s">
        <v>4227</v>
      </c>
      <c r="C1500" t="s">
        <v>4218</v>
      </c>
      <c r="H150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00" s="49">
        <f ca="1">IFERROR(WEEKNUM(CRC_War_Room_SIMs[[#This Row],[Ops Date]]), "N/A")</f>
        <v>28</v>
      </c>
      <c r="J150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0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0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00" s="50">
        <f>IF(AND(CRC_War_Room_SIMs[[#This Row],[CI]] = 0, CRC_War_Room_SIMs[[#This Row],[Miss]] = 1), 1, 0)</f>
        <v>0</v>
      </c>
      <c r="N150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0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00" s="50">
        <f>IF(AND(CRC_War_Room_SIMs[[#This Row],[Excluded]] = 0, OR(CRC_War_Room_SIMs[[#This Row],[SLA Miss]] &lt;&gt; "", ISNUMBER(SEARCH("SLA", CRC_War_Room_SIMs[[#This Row],[Labels]])))), 1, 0)</f>
        <v>0</v>
      </c>
    </row>
    <row r="1501" spans="1:16" x14ac:dyDescent="0.25">
      <c r="A1501" t="s">
        <v>4228</v>
      </c>
      <c r="B1501" t="s">
        <v>4224</v>
      </c>
      <c r="C1501" t="s">
        <v>4218</v>
      </c>
      <c r="H150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01" s="49">
        <f ca="1">IFERROR(WEEKNUM(CRC_War_Room_SIMs[[#This Row],[Ops Date]]), "N/A")</f>
        <v>28</v>
      </c>
      <c r="J150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0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0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01" s="50">
        <f>IF(AND(CRC_War_Room_SIMs[[#This Row],[CI]] = 0, CRC_War_Room_SIMs[[#This Row],[Miss]] = 1), 1, 0)</f>
        <v>0</v>
      </c>
      <c r="N150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0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01" s="50">
        <f>IF(AND(CRC_War_Room_SIMs[[#This Row],[Excluded]] = 0, OR(CRC_War_Room_SIMs[[#This Row],[SLA Miss]] &lt;&gt; "", ISNUMBER(SEARCH("SLA", CRC_War_Room_SIMs[[#This Row],[Labels]])))), 1, 0)</f>
        <v>0</v>
      </c>
    </row>
    <row r="1502" spans="1:16" x14ac:dyDescent="0.25">
      <c r="A1502" t="s">
        <v>4229</v>
      </c>
      <c r="B1502" t="s">
        <v>4213</v>
      </c>
      <c r="C1502" t="s">
        <v>4218</v>
      </c>
      <c r="H150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02" s="49">
        <f ca="1">IFERROR(WEEKNUM(CRC_War_Room_SIMs[[#This Row],[Ops Date]]), "N/A")</f>
        <v>28</v>
      </c>
      <c r="J150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0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0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02" s="50">
        <f>IF(AND(CRC_War_Room_SIMs[[#This Row],[CI]] = 0, CRC_War_Room_SIMs[[#This Row],[Miss]] = 1), 1, 0)</f>
        <v>0</v>
      </c>
      <c r="N150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0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02" s="50">
        <f>IF(AND(CRC_War_Room_SIMs[[#This Row],[Excluded]] = 0, OR(CRC_War_Room_SIMs[[#This Row],[SLA Miss]] &lt;&gt; "", ISNUMBER(SEARCH("SLA", CRC_War_Room_SIMs[[#This Row],[Labels]])))), 1, 0)</f>
        <v>0</v>
      </c>
    </row>
    <row r="1503" spans="1:16" x14ac:dyDescent="0.25">
      <c r="A1503" t="s">
        <v>4230</v>
      </c>
      <c r="B1503" t="s">
        <v>4224</v>
      </c>
      <c r="C1503" t="s">
        <v>4218</v>
      </c>
      <c r="H150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03" s="49">
        <f ca="1">IFERROR(WEEKNUM(CRC_War_Room_SIMs[[#This Row],[Ops Date]]), "N/A")</f>
        <v>28</v>
      </c>
      <c r="J150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0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0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03" s="50">
        <f>IF(AND(CRC_War_Room_SIMs[[#This Row],[CI]] = 0, CRC_War_Room_SIMs[[#This Row],[Miss]] = 1), 1, 0)</f>
        <v>0</v>
      </c>
      <c r="N150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0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03" s="50">
        <f>IF(AND(CRC_War_Room_SIMs[[#This Row],[Excluded]] = 0, OR(CRC_War_Room_SIMs[[#This Row],[SLA Miss]] &lt;&gt; "", ISNUMBER(SEARCH("SLA", CRC_War_Room_SIMs[[#This Row],[Labels]])))), 1, 0)</f>
        <v>0</v>
      </c>
    </row>
    <row r="1504" spans="1:16" x14ac:dyDescent="0.25">
      <c r="A1504" t="s">
        <v>4231</v>
      </c>
      <c r="B1504" t="s">
        <v>4224</v>
      </c>
      <c r="C1504" t="s">
        <v>4218</v>
      </c>
      <c r="H150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04" s="49">
        <f ca="1">IFERROR(WEEKNUM(CRC_War_Room_SIMs[[#This Row],[Ops Date]]), "N/A")</f>
        <v>28</v>
      </c>
      <c r="J150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0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0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04" s="50">
        <f>IF(AND(CRC_War_Room_SIMs[[#This Row],[CI]] = 0, CRC_War_Room_SIMs[[#This Row],[Miss]] = 1), 1, 0)</f>
        <v>0</v>
      </c>
      <c r="N150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0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04" s="50">
        <f>IF(AND(CRC_War_Room_SIMs[[#This Row],[Excluded]] = 0, OR(CRC_War_Room_SIMs[[#This Row],[SLA Miss]] &lt;&gt; "", ISNUMBER(SEARCH("SLA", CRC_War_Room_SIMs[[#This Row],[Labels]])))), 1, 0)</f>
        <v>0</v>
      </c>
    </row>
    <row r="1505" spans="1:16" x14ac:dyDescent="0.25">
      <c r="A1505" t="s">
        <v>4232</v>
      </c>
      <c r="B1505" t="s">
        <v>4227</v>
      </c>
      <c r="C1505" t="s">
        <v>4218</v>
      </c>
      <c r="H150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05" s="49">
        <f ca="1">IFERROR(WEEKNUM(CRC_War_Room_SIMs[[#This Row],[Ops Date]]), "N/A")</f>
        <v>28</v>
      </c>
      <c r="J150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0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0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05" s="50">
        <f>IF(AND(CRC_War_Room_SIMs[[#This Row],[CI]] = 0, CRC_War_Room_SIMs[[#This Row],[Miss]] = 1), 1, 0)</f>
        <v>0</v>
      </c>
      <c r="N150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0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05" s="50">
        <f>IF(AND(CRC_War_Room_SIMs[[#This Row],[Excluded]] = 0, OR(CRC_War_Room_SIMs[[#This Row],[SLA Miss]] &lt;&gt; "", ISNUMBER(SEARCH("SLA", CRC_War_Room_SIMs[[#This Row],[Labels]])))), 1, 0)</f>
        <v>0</v>
      </c>
    </row>
    <row r="1506" spans="1:16" x14ac:dyDescent="0.25">
      <c r="A1506" t="s">
        <v>4233</v>
      </c>
      <c r="B1506" t="s">
        <v>4227</v>
      </c>
      <c r="C1506" t="s">
        <v>4218</v>
      </c>
      <c r="H150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06" s="49">
        <f ca="1">IFERROR(WEEKNUM(CRC_War_Room_SIMs[[#This Row],[Ops Date]]), "N/A")</f>
        <v>28</v>
      </c>
      <c r="J150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0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0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06" s="50">
        <f>IF(AND(CRC_War_Room_SIMs[[#This Row],[CI]] = 0, CRC_War_Room_SIMs[[#This Row],[Miss]] = 1), 1, 0)</f>
        <v>0</v>
      </c>
      <c r="N150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0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06" s="50">
        <f>IF(AND(CRC_War_Room_SIMs[[#This Row],[Excluded]] = 0, OR(CRC_War_Room_SIMs[[#This Row],[SLA Miss]] &lt;&gt; "", ISNUMBER(SEARCH("SLA", CRC_War_Room_SIMs[[#This Row],[Labels]])))), 1, 0)</f>
        <v>0</v>
      </c>
    </row>
    <row r="1507" spans="1:16" x14ac:dyDescent="0.25">
      <c r="A1507" t="s">
        <v>4234</v>
      </c>
      <c r="B1507" t="s">
        <v>4213</v>
      </c>
      <c r="C1507" t="s">
        <v>4218</v>
      </c>
      <c r="H150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07" s="49">
        <f ca="1">IFERROR(WEEKNUM(CRC_War_Room_SIMs[[#This Row],[Ops Date]]), "N/A")</f>
        <v>28</v>
      </c>
      <c r="J150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0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0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07" s="50">
        <f>IF(AND(CRC_War_Room_SIMs[[#This Row],[CI]] = 0, CRC_War_Room_SIMs[[#This Row],[Miss]] = 1), 1, 0)</f>
        <v>0</v>
      </c>
      <c r="N150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0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07" s="50">
        <f>IF(AND(CRC_War_Room_SIMs[[#This Row],[Excluded]] = 0, OR(CRC_War_Room_SIMs[[#This Row],[SLA Miss]] &lt;&gt; "", ISNUMBER(SEARCH("SLA", CRC_War_Room_SIMs[[#This Row],[Labels]])))), 1, 0)</f>
        <v>0</v>
      </c>
    </row>
    <row r="1508" spans="1:16" x14ac:dyDescent="0.25">
      <c r="A1508" t="s">
        <v>4235</v>
      </c>
      <c r="B1508" t="s">
        <v>4222</v>
      </c>
      <c r="C1508" t="s">
        <v>4218</v>
      </c>
      <c r="H150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08" s="49">
        <f ca="1">IFERROR(WEEKNUM(CRC_War_Room_SIMs[[#This Row],[Ops Date]]), "N/A")</f>
        <v>28</v>
      </c>
      <c r="J150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0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0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08" s="50">
        <f>IF(AND(CRC_War_Room_SIMs[[#This Row],[CI]] = 0, CRC_War_Room_SIMs[[#This Row],[Miss]] = 1), 1, 0)</f>
        <v>0</v>
      </c>
      <c r="N150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0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08" s="50">
        <f>IF(AND(CRC_War_Room_SIMs[[#This Row],[Excluded]] = 0, OR(CRC_War_Room_SIMs[[#This Row],[SLA Miss]] &lt;&gt; "", ISNUMBER(SEARCH("SLA", CRC_War_Room_SIMs[[#This Row],[Labels]])))), 1, 0)</f>
        <v>0</v>
      </c>
    </row>
    <row r="1509" spans="1:16" x14ac:dyDescent="0.25">
      <c r="A1509" t="s">
        <v>4236</v>
      </c>
      <c r="B1509" t="s">
        <v>4213</v>
      </c>
      <c r="C1509" t="s">
        <v>4218</v>
      </c>
      <c r="H150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09" s="49">
        <f ca="1">IFERROR(WEEKNUM(CRC_War_Room_SIMs[[#This Row],[Ops Date]]), "N/A")</f>
        <v>28</v>
      </c>
      <c r="J150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0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0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09" s="50">
        <f>IF(AND(CRC_War_Room_SIMs[[#This Row],[CI]] = 0, CRC_War_Room_SIMs[[#This Row],[Miss]] = 1), 1, 0)</f>
        <v>0</v>
      </c>
      <c r="N150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0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09" s="50">
        <f>IF(AND(CRC_War_Room_SIMs[[#This Row],[Excluded]] = 0, OR(CRC_War_Room_SIMs[[#This Row],[SLA Miss]] &lt;&gt; "", ISNUMBER(SEARCH("SLA", CRC_War_Room_SIMs[[#This Row],[Labels]])))), 1, 0)</f>
        <v>0</v>
      </c>
    </row>
    <row r="1510" spans="1:16" x14ac:dyDescent="0.25">
      <c r="A1510" t="s">
        <v>4237</v>
      </c>
      <c r="B1510" t="s">
        <v>4224</v>
      </c>
      <c r="C1510" t="s">
        <v>4218</v>
      </c>
      <c r="H151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10" s="49">
        <f ca="1">IFERROR(WEEKNUM(CRC_War_Room_SIMs[[#This Row],[Ops Date]]), "N/A")</f>
        <v>28</v>
      </c>
      <c r="J151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1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1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10" s="50">
        <f>IF(AND(CRC_War_Room_SIMs[[#This Row],[CI]] = 0, CRC_War_Room_SIMs[[#This Row],[Miss]] = 1), 1, 0)</f>
        <v>0</v>
      </c>
      <c r="N151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1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10" s="50">
        <f>IF(AND(CRC_War_Room_SIMs[[#This Row],[Excluded]] = 0, OR(CRC_War_Room_SIMs[[#This Row],[SLA Miss]] &lt;&gt; "", ISNUMBER(SEARCH("SLA", CRC_War_Room_SIMs[[#This Row],[Labels]])))), 1, 0)</f>
        <v>0</v>
      </c>
    </row>
    <row r="1511" spans="1:16" x14ac:dyDescent="0.25">
      <c r="A1511" t="s">
        <v>4238</v>
      </c>
      <c r="B1511" t="s">
        <v>4222</v>
      </c>
      <c r="C1511" t="s">
        <v>4218</v>
      </c>
      <c r="H151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11" s="49">
        <f ca="1">IFERROR(WEEKNUM(CRC_War_Room_SIMs[[#This Row],[Ops Date]]), "N/A")</f>
        <v>28</v>
      </c>
      <c r="J151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1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1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11" s="50">
        <f>IF(AND(CRC_War_Room_SIMs[[#This Row],[CI]] = 0, CRC_War_Room_SIMs[[#This Row],[Miss]] = 1), 1, 0)</f>
        <v>0</v>
      </c>
      <c r="N151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1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11" s="50">
        <f>IF(AND(CRC_War_Room_SIMs[[#This Row],[Excluded]] = 0, OR(CRC_War_Room_SIMs[[#This Row],[SLA Miss]] &lt;&gt; "", ISNUMBER(SEARCH("SLA", CRC_War_Room_SIMs[[#This Row],[Labels]])))), 1, 0)</f>
        <v>0</v>
      </c>
    </row>
    <row r="1512" spans="1:16" x14ac:dyDescent="0.25">
      <c r="A1512" t="s">
        <v>4239</v>
      </c>
      <c r="B1512" t="s">
        <v>4227</v>
      </c>
      <c r="C1512" t="s">
        <v>4218</v>
      </c>
      <c r="H151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12" s="49">
        <f ca="1">IFERROR(WEEKNUM(CRC_War_Room_SIMs[[#This Row],[Ops Date]]), "N/A")</f>
        <v>28</v>
      </c>
      <c r="J151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1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1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12" s="50">
        <f>IF(AND(CRC_War_Room_SIMs[[#This Row],[CI]] = 0, CRC_War_Room_SIMs[[#This Row],[Miss]] = 1), 1, 0)</f>
        <v>0</v>
      </c>
      <c r="N151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1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12" s="50">
        <f>IF(AND(CRC_War_Room_SIMs[[#This Row],[Excluded]] = 0, OR(CRC_War_Room_SIMs[[#This Row],[SLA Miss]] &lt;&gt; "", ISNUMBER(SEARCH("SLA", CRC_War_Room_SIMs[[#This Row],[Labels]])))), 1, 0)</f>
        <v>0</v>
      </c>
    </row>
    <row r="1513" spans="1:16" x14ac:dyDescent="0.25">
      <c r="A1513" t="s">
        <v>4240</v>
      </c>
      <c r="B1513" t="s">
        <v>4224</v>
      </c>
      <c r="C1513" t="s">
        <v>4218</v>
      </c>
      <c r="H151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13" s="49">
        <f ca="1">IFERROR(WEEKNUM(CRC_War_Room_SIMs[[#This Row],[Ops Date]]), "N/A")</f>
        <v>28</v>
      </c>
      <c r="J151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1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1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13" s="50">
        <f>IF(AND(CRC_War_Room_SIMs[[#This Row],[CI]] = 0, CRC_War_Room_SIMs[[#This Row],[Miss]] = 1), 1, 0)</f>
        <v>0</v>
      </c>
      <c r="N151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1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13" s="50">
        <f>IF(AND(CRC_War_Room_SIMs[[#This Row],[Excluded]] = 0, OR(CRC_War_Room_SIMs[[#This Row],[SLA Miss]] &lt;&gt; "", ISNUMBER(SEARCH("SLA", CRC_War_Room_SIMs[[#This Row],[Labels]])))), 1, 0)</f>
        <v>0</v>
      </c>
    </row>
    <row r="1514" spans="1:16" x14ac:dyDescent="0.25">
      <c r="A1514" t="s">
        <v>4241</v>
      </c>
      <c r="B1514" t="s">
        <v>4213</v>
      </c>
      <c r="C1514" t="s">
        <v>4218</v>
      </c>
      <c r="H151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14" s="49">
        <f ca="1">IFERROR(WEEKNUM(CRC_War_Room_SIMs[[#This Row],[Ops Date]]), "N/A")</f>
        <v>28</v>
      </c>
      <c r="J151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1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1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14" s="50">
        <f>IF(AND(CRC_War_Room_SIMs[[#This Row],[CI]] = 0, CRC_War_Room_SIMs[[#This Row],[Miss]] = 1), 1, 0)</f>
        <v>0</v>
      </c>
      <c r="N151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1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14" s="50">
        <f>IF(AND(CRC_War_Room_SIMs[[#This Row],[Excluded]] = 0, OR(CRC_War_Room_SIMs[[#This Row],[SLA Miss]] &lt;&gt; "", ISNUMBER(SEARCH("SLA", CRC_War_Room_SIMs[[#This Row],[Labels]])))), 1, 0)</f>
        <v>0</v>
      </c>
    </row>
    <row r="1515" spans="1:16" x14ac:dyDescent="0.25">
      <c r="A1515" t="s">
        <v>4242</v>
      </c>
      <c r="B1515" t="s">
        <v>4224</v>
      </c>
      <c r="C1515" t="s">
        <v>4218</v>
      </c>
      <c r="H151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15" s="49">
        <f ca="1">IFERROR(WEEKNUM(CRC_War_Room_SIMs[[#This Row],[Ops Date]]), "N/A")</f>
        <v>28</v>
      </c>
      <c r="J151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1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1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15" s="50">
        <f>IF(AND(CRC_War_Room_SIMs[[#This Row],[CI]] = 0, CRC_War_Room_SIMs[[#This Row],[Miss]] = 1), 1, 0)</f>
        <v>0</v>
      </c>
      <c r="N151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1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15" s="50">
        <f>IF(AND(CRC_War_Room_SIMs[[#This Row],[Excluded]] = 0, OR(CRC_War_Room_SIMs[[#This Row],[SLA Miss]] &lt;&gt; "", ISNUMBER(SEARCH("SLA", CRC_War_Room_SIMs[[#This Row],[Labels]])))), 1, 0)</f>
        <v>0</v>
      </c>
    </row>
    <row r="1516" spans="1:16" x14ac:dyDescent="0.25">
      <c r="A1516" t="s">
        <v>4243</v>
      </c>
      <c r="B1516" t="s">
        <v>4222</v>
      </c>
      <c r="C1516" t="s">
        <v>4218</v>
      </c>
      <c r="H151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16" s="49">
        <f ca="1">IFERROR(WEEKNUM(CRC_War_Room_SIMs[[#This Row],[Ops Date]]), "N/A")</f>
        <v>28</v>
      </c>
      <c r="J151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1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1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16" s="50">
        <f>IF(AND(CRC_War_Room_SIMs[[#This Row],[CI]] = 0, CRC_War_Room_SIMs[[#This Row],[Miss]] = 1), 1, 0)</f>
        <v>0</v>
      </c>
      <c r="N151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1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16" s="50">
        <f>IF(AND(CRC_War_Room_SIMs[[#This Row],[Excluded]] = 0, OR(CRC_War_Room_SIMs[[#This Row],[SLA Miss]] &lt;&gt; "", ISNUMBER(SEARCH("SLA", CRC_War_Room_SIMs[[#This Row],[Labels]])))), 1, 0)</f>
        <v>0</v>
      </c>
    </row>
    <row r="1517" spans="1:16" x14ac:dyDescent="0.25">
      <c r="A1517" t="s">
        <v>4244</v>
      </c>
      <c r="B1517" t="s">
        <v>4213</v>
      </c>
      <c r="C1517" t="s">
        <v>4218</v>
      </c>
      <c r="H151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17" s="49">
        <f ca="1">IFERROR(WEEKNUM(CRC_War_Room_SIMs[[#This Row],[Ops Date]]), "N/A")</f>
        <v>28</v>
      </c>
      <c r="J151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1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1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17" s="50">
        <f>IF(AND(CRC_War_Room_SIMs[[#This Row],[CI]] = 0, CRC_War_Room_SIMs[[#This Row],[Miss]] = 1), 1, 0)</f>
        <v>0</v>
      </c>
      <c r="N151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1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17" s="50">
        <f>IF(AND(CRC_War_Room_SIMs[[#This Row],[Excluded]] = 0, OR(CRC_War_Room_SIMs[[#This Row],[SLA Miss]] &lt;&gt; "", ISNUMBER(SEARCH("SLA", CRC_War_Room_SIMs[[#This Row],[Labels]])))), 1, 0)</f>
        <v>0</v>
      </c>
    </row>
    <row r="1518" spans="1:16" x14ac:dyDescent="0.25">
      <c r="A1518" t="s">
        <v>4245</v>
      </c>
      <c r="B1518" t="s">
        <v>4227</v>
      </c>
      <c r="C1518" t="s">
        <v>4218</v>
      </c>
      <c r="H151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18" s="49">
        <f ca="1">IFERROR(WEEKNUM(CRC_War_Room_SIMs[[#This Row],[Ops Date]]), "N/A")</f>
        <v>28</v>
      </c>
      <c r="J151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1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1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18" s="50">
        <f>IF(AND(CRC_War_Room_SIMs[[#This Row],[CI]] = 0, CRC_War_Room_SIMs[[#This Row],[Miss]] = 1), 1, 0)</f>
        <v>0</v>
      </c>
      <c r="N151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1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18" s="50">
        <f>IF(AND(CRC_War_Room_SIMs[[#This Row],[Excluded]] = 0, OR(CRC_War_Room_SIMs[[#This Row],[SLA Miss]] &lt;&gt; "", ISNUMBER(SEARCH("SLA", CRC_War_Room_SIMs[[#This Row],[Labels]])))), 1, 0)</f>
        <v>0</v>
      </c>
    </row>
    <row r="1519" spans="1:16" x14ac:dyDescent="0.25">
      <c r="A1519" t="s">
        <v>4246</v>
      </c>
      <c r="B1519" t="s">
        <v>4222</v>
      </c>
      <c r="C1519" t="s">
        <v>4218</v>
      </c>
      <c r="H151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19" s="49">
        <f ca="1">IFERROR(WEEKNUM(CRC_War_Room_SIMs[[#This Row],[Ops Date]]), "N/A")</f>
        <v>28</v>
      </c>
      <c r="J151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1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1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19" s="50">
        <f>IF(AND(CRC_War_Room_SIMs[[#This Row],[CI]] = 0, CRC_War_Room_SIMs[[#This Row],[Miss]] = 1), 1, 0)</f>
        <v>0</v>
      </c>
      <c r="N151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1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19" s="50">
        <f>IF(AND(CRC_War_Room_SIMs[[#This Row],[Excluded]] = 0, OR(CRC_War_Room_SIMs[[#This Row],[SLA Miss]] &lt;&gt; "", ISNUMBER(SEARCH("SLA", CRC_War_Room_SIMs[[#This Row],[Labels]])))), 1, 0)</f>
        <v>0</v>
      </c>
    </row>
    <row r="1520" spans="1:16" x14ac:dyDescent="0.25">
      <c r="A1520" t="s">
        <v>4247</v>
      </c>
      <c r="B1520" t="s">
        <v>4224</v>
      </c>
      <c r="C1520" t="s">
        <v>4218</v>
      </c>
      <c r="H152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20" s="49">
        <f ca="1">IFERROR(WEEKNUM(CRC_War_Room_SIMs[[#This Row],[Ops Date]]), "N/A")</f>
        <v>28</v>
      </c>
      <c r="J152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2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2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20" s="50">
        <f>IF(AND(CRC_War_Room_SIMs[[#This Row],[CI]] = 0, CRC_War_Room_SIMs[[#This Row],[Miss]] = 1), 1, 0)</f>
        <v>0</v>
      </c>
      <c r="N152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2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20" s="50">
        <f>IF(AND(CRC_War_Room_SIMs[[#This Row],[Excluded]] = 0, OR(CRC_War_Room_SIMs[[#This Row],[SLA Miss]] &lt;&gt; "", ISNUMBER(SEARCH("SLA", CRC_War_Room_SIMs[[#This Row],[Labels]])))), 1, 0)</f>
        <v>0</v>
      </c>
    </row>
    <row r="1521" spans="1:16" x14ac:dyDescent="0.25">
      <c r="A1521" t="s">
        <v>4248</v>
      </c>
      <c r="B1521" t="s">
        <v>4213</v>
      </c>
      <c r="C1521" t="s">
        <v>4218</v>
      </c>
      <c r="H152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21" s="49">
        <f ca="1">IFERROR(WEEKNUM(CRC_War_Room_SIMs[[#This Row],[Ops Date]]), "N/A")</f>
        <v>28</v>
      </c>
      <c r="J152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2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2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21" s="50">
        <f>IF(AND(CRC_War_Room_SIMs[[#This Row],[CI]] = 0, CRC_War_Room_SIMs[[#This Row],[Miss]] = 1), 1, 0)</f>
        <v>0</v>
      </c>
      <c r="N152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2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21" s="50">
        <f>IF(AND(CRC_War_Room_SIMs[[#This Row],[Excluded]] = 0, OR(CRC_War_Room_SIMs[[#This Row],[SLA Miss]] &lt;&gt; "", ISNUMBER(SEARCH("SLA", CRC_War_Room_SIMs[[#This Row],[Labels]])))), 1, 0)</f>
        <v>0</v>
      </c>
    </row>
    <row r="1522" spans="1:16" x14ac:dyDescent="0.25">
      <c r="A1522" t="s">
        <v>4249</v>
      </c>
      <c r="B1522" t="s">
        <v>4227</v>
      </c>
      <c r="C1522" t="s">
        <v>4218</v>
      </c>
      <c r="H152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22" s="49">
        <f ca="1">IFERROR(WEEKNUM(CRC_War_Room_SIMs[[#This Row],[Ops Date]]), "N/A")</f>
        <v>28</v>
      </c>
      <c r="J152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2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2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22" s="50">
        <f>IF(AND(CRC_War_Room_SIMs[[#This Row],[CI]] = 0, CRC_War_Room_SIMs[[#This Row],[Miss]] = 1), 1, 0)</f>
        <v>0</v>
      </c>
      <c r="N152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2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22" s="50">
        <f>IF(AND(CRC_War_Room_SIMs[[#This Row],[Excluded]] = 0, OR(CRC_War_Room_SIMs[[#This Row],[SLA Miss]] &lt;&gt; "", ISNUMBER(SEARCH("SLA", CRC_War_Room_SIMs[[#This Row],[Labels]])))), 1, 0)</f>
        <v>0</v>
      </c>
    </row>
    <row r="1523" spans="1:16" x14ac:dyDescent="0.25">
      <c r="A1523" t="s">
        <v>4250</v>
      </c>
      <c r="B1523" t="s">
        <v>4222</v>
      </c>
      <c r="C1523" t="s">
        <v>4218</v>
      </c>
      <c r="H152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23" s="49">
        <f ca="1">IFERROR(WEEKNUM(CRC_War_Room_SIMs[[#This Row],[Ops Date]]), "N/A")</f>
        <v>28</v>
      </c>
      <c r="J152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2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2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23" s="50">
        <f>IF(AND(CRC_War_Room_SIMs[[#This Row],[CI]] = 0, CRC_War_Room_SIMs[[#This Row],[Miss]] = 1), 1, 0)</f>
        <v>0</v>
      </c>
      <c r="N152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2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23" s="50">
        <f>IF(AND(CRC_War_Room_SIMs[[#This Row],[Excluded]] = 0, OR(CRC_War_Room_SIMs[[#This Row],[SLA Miss]] &lt;&gt; "", ISNUMBER(SEARCH("SLA", CRC_War_Room_SIMs[[#This Row],[Labels]])))), 1, 0)</f>
        <v>0</v>
      </c>
    </row>
    <row r="1524" spans="1:16" x14ac:dyDescent="0.25">
      <c r="A1524" t="s">
        <v>4251</v>
      </c>
      <c r="B1524" t="s">
        <v>4224</v>
      </c>
      <c r="C1524" t="s">
        <v>4218</v>
      </c>
      <c r="H152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24" s="49">
        <f ca="1">IFERROR(WEEKNUM(CRC_War_Room_SIMs[[#This Row],[Ops Date]]), "N/A")</f>
        <v>28</v>
      </c>
      <c r="J152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2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2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24" s="50">
        <f>IF(AND(CRC_War_Room_SIMs[[#This Row],[CI]] = 0, CRC_War_Room_SIMs[[#This Row],[Miss]] = 1), 1, 0)</f>
        <v>0</v>
      </c>
      <c r="N152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2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24" s="50">
        <f>IF(AND(CRC_War_Room_SIMs[[#This Row],[Excluded]] = 0, OR(CRC_War_Room_SIMs[[#This Row],[SLA Miss]] &lt;&gt; "", ISNUMBER(SEARCH("SLA", CRC_War_Room_SIMs[[#This Row],[Labels]])))), 1, 0)</f>
        <v>0</v>
      </c>
    </row>
    <row r="1525" spans="1:16" x14ac:dyDescent="0.25">
      <c r="A1525" t="s">
        <v>4252</v>
      </c>
      <c r="B1525" t="s">
        <v>4224</v>
      </c>
      <c r="C1525" t="s">
        <v>4218</v>
      </c>
      <c r="H152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25" s="49">
        <f ca="1">IFERROR(WEEKNUM(CRC_War_Room_SIMs[[#This Row],[Ops Date]]), "N/A")</f>
        <v>28</v>
      </c>
      <c r="J152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2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2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25" s="50">
        <f>IF(AND(CRC_War_Room_SIMs[[#This Row],[CI]] = 0, CRC_War_Room_SIMs[[#This Row],[Miss]] = 1), 1, 0)</f>
        <v>0</v>
      </c>
      <c r="N152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2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25" s="50">
        <f>IF(AND(CRC_War_Room_SIMs[[#This Row],[Excluded]] = 0, OR(CRC_War_Room_SIMs[[#This Row],[SLA Miss]] &lt;&gt; "", ISNUMBER(SEARCH("SLA", CRC_War_Room_SIMs[[#This Row],[Labels]])))), 1, 0)</f>
        <v>0</v>
      </c>
    </row>
    <row r="1526" spans="1:16" x14ac:dyDescent="0.25">
      <c r="A1526" t="s">
        <v>4253</v>
      </c>
      <c r="B1526" t="s">
        <v>4222</v>
      </c>
      <c r="C1526" t="s">
        <v>4218</v>
      </c>
      <c r="H152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26" s="49">
        <f ca="1">IFERROR(WEEKNUM(CRC_War_Room_SIMs[[#This Row],[Ops Date]]), "N/A")</f>
        <v>28</v>
      </c>
      <c r="J152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2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2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26" s="50">
        <f>IF(AND(CRC_War_Room_SIMs[[#This Row],[CI]] = 0, CRC_War_Room_SIMs[[#This Row],[Miss]] = 1), 1, 0)</f>
        <v>0</v>
      </c>
      <c r="N152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2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26" s="50">
        <f>IF(AND(CRC_War_Room_SIMs[[#This Row],[Excluded]] = 0, OR(CRC_War_Room_SIMs[[#This Row],[SLA Miss]] &lt;&gt; "", ISNUMBER(SEARCH("SLA", CRC_War_Room_SIMs[[#This Row],[Labels]])))), 1, 0)</f>
        <v>0</v>
      </c>
    </row>
    <row r="1527" spans="1:16" x14ac:dyDescent="0.25">
      <c r="A1527" t="s">
        <v>4254</v>
      </c>
      <c r="B1527" t="s">
        <v>4224</v>
      </c>
      <c r="C1527" t="s">
        <v>4218</v>
      </c>
      <c r="H152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27" s="49">
        <f ca="1">IFERROR(WEEKNUM(CRC_War_Room_SIMs[[#This Row],[Ops Date]]), "N/A")</f>
        <v>28</v>
      </c>
      <c r="J152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2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2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27" s="50">
        <f>IF(AND(CRC_War_Room_SIMs[[#This Row],[CI]] = 0, CRC_War_Room_SIMs[[#This Row],[Miss]] = 1), 1, 0)</f>
        <v>0</v>
      </c>
      <c r="N152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2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27" s="50">
        <f>IF(AND(CRC_War_Room_SIMs[[#This Row],[Excluded]] = 0, OR(CRC_War_Room_SIMs[[#This Row],[SLA Miss]] &lt;&gt; "", ISNUMBER(SEARCH("SLA", CRC_War_Room_SIMs[[#This Row],[Labels]])))), 1, 0)</f>
        <v>0</v>
      </c>
    </row>
    <row r="1528" spans="1:16" x14ac:dyDescent="0.25">
      <c r="A1528" t="s">
        <v>4255</v>
      </c>
      <c r="B1528" t="s">
        <v>4213</v>
      </c>
      <c r="C1528" t="s">
        <v>4218</v>
      </c>
      <c r="H152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28" s="49">
        <f ca="1">IFERROR(WEEKNUM(CRC_War_Room_SIMs[[#This Row],[Ops Date]]), "N/A")</f>
        <v>28</v>
      </c>
      <c r="J152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2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2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28" s="50">
        <f>IF(AND(CRC_War_Room_SIMs[[#This Row],[CI]] = 0, CRC_War_Room_SIMs[[#This Row],[Miss]] = 1), 1, 0)</f>
        <v>0</v>
      </c>
      <c r="N152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2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28" s="50">
        <f>IF(AND(CRC_War_Room_SIMs[[#This Row],[Excluded]] = 0, OR(CRC_War_Room_SIMs[[#This Row],[SLA Miss]] &lt;&gt; "", ISNUMBER(SEARCH("SLA", CRC_War_Room_SIMs[[#This Row],[Labels]])))), 1, 0)</f>
        <v>0</v>
      </c>
    </row>
    <row r="1529" spans="1:16" x14ac:dyDescent="0.25">
      <c r="A1529" t="s">
        <v>4256</v>
      </c>
      <c r="B1529" t="s">
        <v>4227</v>
      </c>
      <c r="C1529" t="s">
        <v>4218</v>
      </c>
      <c r="H152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29" s="49">
        <f ca="1">IFERROR(WEEKNUM(CRC_War_Room_SIMs[[#This Row],[Ops Date]]), "N/A")</f>
        <v>28</v>
      </c>
      <c r="J152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2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2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29" s="50">
        <f>IF(AND(CRC_War_Room_SIMs[[#This Row],[CI]] = 0, CRC_War_Room_SIMs[[#This Row],[Miss]] = 1), 1, 0)</f>
        <v>0</v>
      </c>
      <c r="N152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2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29" s="50">
        <f>IF(AND(CRC_War_Room_SIMs[[#This Row],[Excluded]] = 0, OR(CRC_War_Room_SIMs[[#This Row],[SLA Miss]] &lt;&gt; "", ISNUMBER(SEARCH("SLA", CRC_War_Room_SIMs[[#This Row],[Labels]])))), 1, 0)</f>
        <v>0</v>
      </c>
    </row>
    <row r="1530" spans="1:16" x14ac:dyDescent="0.25">
      <c r="A1530" t="s">
        <v>4257</v>
      </c>
      <c r="B1530" t="s">
        <v>4222</v>
      </c>
      <c r="C1530" t="s">
        <v>4218</v>
      </c>
      <c r="H153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30" s="49">
        <f ca="1">IFERROR(WEEKNUM(CRC_War_Room_SIMs[[#This Row],[Ops Date]]), "N/A")</f>
        <v>28</v>
      </c>
      <c r="J153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3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3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30" s="50">
        <f>IF(AND(CRC_War_Room_SIMs[[#This Row],[CI]] = 0, CRC_War_Room_SIMs[[#This Row],[Miss]] = 1), 1, 0)</f>
        <v>0</v>
      </c>
      <c r="N153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3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30" s="50">
        <f>IF(AND(CRC_War_Room_SIMs[[#This Row],[Excluded]] = 0, OR(CRC_War_Room_SIMs[[#This Row],[SLA Miss]] &lt;&gt; "", ISNUMBER(SEARCH("SLA", CRC_War_Room_SIMs[[#This Row],[Labels]])))), 1, 0)</f>
        <v>0</v>
      </c>
    </row>
    <row r="1531" spans="1:16" x14ac:dyDescent="0.25">
      <c r="A1531" t="s">
        <v>4258</v>
      </c>
      <c r="B1531" t="s">
        <v>4224</v>
      </c>
      <c r="C1531" t="s">
        <v>4218</v>
      </c>
      <c r="H153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31" s="49">
        <f ca="1">IFERROR(WEEKNUM(CRC_War_Room_SIMs[[#This Row],[Ops Date]]), "N/A")</f>
        <v>28</v>
      </c>
      <c r="J153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3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3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31" s="50">
        <f>IF(AND(CRC_War_Room_SIMs[[#This Row],[CI]] = 0, CRC_War_Room_SIMs[[#This Row],[Miss]] = 1), 1, 0)</f>
        <v>0</v>
      </c>
      <c r="N153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3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31" s="50">
        <f>IF(AND(CRC_War_Room_SIMs[[#This Row],[Excluded]] = 0, OR(CRC_War_Room_SIMs[[#This Row],[SLA Miss]] &lt;&gt; "", ISNUMBER(SEARCH("SLA", CRC_War_Room_SIMs[[#This Row],[Labels]])))), 1, 0)</f>
        <v>0</v>
      </c>
    </row>
    <row r="1532" spans="1:16" x14ac:dyDescent="0.25">
      <c r="A1532" t="s">
        <v>4259</v>
      </c>
      <c r="B1532" t="s">
        <v>4222</v>
      </c>
      <c r="C1532" t="s">
        <v>4218</v>
      </c>
      <c r="H153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32" s="49">
        <f ca="1">IFERROR(WEEKNUM(CRC_War_Room_SIMs[[#This Row],[Ops Date]]), "N/A")</f>
        <v>28</v>
      </c>
      <c r="J153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3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3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32" s="50">
        <f>IF(AND(CRC_War_Room_SIMs[[#This Row],[CI]] = 0, CRC_War_Room_SIMs[[#This Row],[Miss]] = 1), 1, 0)</f>
        <v>0</v>
      </c>
      <c r="N153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3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32" s="50">
        <f>IF(AND(CRC_War_Room_SIMs[[#This Row],[Excluded]] = 0, OR(CRC_War_Room_SIMs[[#This Row],[SLA Miss]] &lt;&gt; "", ISNUMBER(SEARCH("SLA", CRC_War_Room_SIMs[[#This Row],[Labels]])))), 1, 0)</f>
        <v>0</v>
      </c>
    </row>
    <row r="1533" spans="1:16" x14ac:dyDescent="0.25">
      <c r="A1533" t="s">
        <v>4260</v>
      </c>
      <c r="B1533" t="s">
        <v>4224</v>
      </c>
      <c r="C1533" t="s">
        <v>4218</v>
      </c>
      <c r="H153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33" s="49">
        <f ca="1">IFERROR(WEEKNUM(CRC_War_Room_SIMs[[#This Row],[Ops Date]]), "N/A")</f>
        <v>28</v>
      </c>
      <c r="J153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3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3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33" s="50">
        <f>IF(AND(CRC_War_Room_SIMs[[#This Row],[CI]] = 0, CRC_War_Room_SIMs[[#This Row],[Miss]] = 1), 1, 0)</f>
        <v>0</v>
      </c>
      <c r="N153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3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33" s="50">
        <f>IF(AND(CRC_War_Room_SIMs[[#This Row],[Excluded]] = 0, OR(CRC_War_Room_SIMs[[#This Row],[SLA Miss]] &lt;&gt; "", ISNUMBER(SEARCH("SLA", CRC_War_Room_SIMs[[#This Row],[Labels]])))), 1, 0)</f>
        <v>0</v>
      </c>
    </row>
    <row r="1534" spans="1:16" x14ac:dyDescent="0.25">
      <c r="A1534" t="s">
        <v>4261</v>
      </c>
      <c r="B1534" t="s">
        <v>4227</v>
      </c>
      <c r="C1534" t="s">
        <v>4218</v>
      </c>
      <c r="H153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34" s="49">
        <f ca="1">IFERROR(WEEKNUM(CRC_War_Room_SIMs[[#This Row],[Ops Date]]), "N/A")</f>
        <v>28</v>
      </c>
      <c r="J153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3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3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34" s="50">
        <f>IF(AND(CRC_War_Room_SIMs[[#This Row],[CI]] = 0, CRC_War_Room_SIMs[[#This Row],[Miss]] = 1), 1, 0)</f>
        <v>0</v>
      </c>
      <c r="N153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3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34" s="50">
        <f>IF(AND(CRC_War_Room_SIMs[[#This Row],[Excluded]] = 0, OR(CRC_War_Room_SIMs[[#This Row],[SLA Miss]] &lt;&gt; "", ISNUMBER(SEARCH("SLA", CRC_War_Room_SIMs[[#This Row],[Labels]])))), 1, 0)</f>
        <v>0</v>
      </c>
    </row>
    <row r="1535" spans="1:16" x14ac:dyDescent="0.25">
      <c r="A1535" t="s">
        <v>4262</v>
      </c>
      <c r="B1535" t="s">
        <v>4222</v>
      </c>
      <c r="C1535" t="s">
        <v>4218</v>
      </c>
      <c r="H153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35" s="49">
        <f ca="1">IFERROR(WEEKNUM(CRC_War_Room_SIMs[[#This Row],[Ops Date]]), "N/A")</f>
        <v>28</v>
      </c>
      <c r="J153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3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3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35" s="50">
        <f>IF(AND(CRC_War_Room_SIMs[[#This Row],[CI]] = 0, CRC_War_Room_SIMs[[#This Row],[Miss]] = 1), 1, 0)</f>
        <v>0</v>
      </c>
      <c r="N153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3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35" s="50">
        <f>IF(AND(CRC_War_Room_SIMs[[#This Row],[Excluded]] = 0, OR(CRC_War_Room_SIMs[[#This Row],[SLA Miss]] &lt;&gt; "", ISNUMBER(SEARCH("SLA", CRC_War_Room_SIMs[[#This Row],[Labels]])))), 1, 0)</f>
        <v>0</v>
      </c>
    </row>
    <row r="1536" spans="1:16" x14ac:dyDescent="0.25">
      <c r="A1536" t="s">
        <v>4263</v>
      </c>
      <c r="B1536" t="s">
        <v>4264</v>
      </c>
      <c r="C1536" t="s">
        <v>4218</v>
      </c>
      <c r="H153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36" s="49">
        <f ca="1">IFERROR(WEEKNUM(CRC_War_Room_SIMs[[#This Row],[Ops Date]]), "N/A")</f>
        <v>28</v>
      </c>
      <c r="J153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3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3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36" s="50">
        <f>IF(AND(CRC_War_Room_SIMs[[#This Row],[CI]] = 0, CRC_War_Room_SIMs[[#This Row],[Miss]] = 1), 1, 0)</f>
        <v>0</v>
      </c>
      <c r="N153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3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36" s="50">
        <f>IF(AND(CRC_War_Room_SIMs[[#This Row],[Excluded]] = 0, OR(CRC_War_Room_SIMs[[#This Row],[SLA Miss]] &lt;&gt; "", ISNUMBER(SEARCH("SLA", CRC_War_Room_SIMs[[#This Row],[Labels]])))), 1, 0)</f>
        <v>0</v>
      </c>
    </row>
    <row r="1537" spans="1:16" x14ac:dyDescent="0.25">
      <c r="A1537" t="s">
        <v>4265</v>
      </c>
      <c r="B1537" t="s">
        <v>4266</v>
      </c>
      <c r="C1537" t="s">
        <v>4218</v>
      </c>
      <c r="H153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37" s="49">
        <f ca="1">IFERROR(WEEKNUM(CRC_War_Room_SIMs[[#This Row],[Ops Date]]), "N/A")</f>
        <v>28</v>
      </c>
      <c r="J153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3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3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37" s="50">
        <f>IF(AND(CRC_War_Room_SIMs[[#This Row],[CI]] = 0, CRC_War_Room_SIMs[[#This Row],[Miss]] = 1), 1, 0)</f>
        <v>0</v>
      </c>
      <c r="N153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3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37" s="50">
        <f>IF(AND(CRC_War_Room_SIMs[[#This Row],[Excluded]] = 0, OR(CRC_War_Room_SIMs[[#This Row],[SLA Miss]] &lt;&gt; "", ISNUMBER(SEARCH("SLA", CRC_War_Room_SIMs[[#This Row],[Labels]])))), 1, 0)</f>
        <v>0</v>
      </c>
    </row>
    <row r="1538" spans="1:16" x14ac:dyDescent="0.25">
      <c r="A1538" t="s">
        <v>4267</v>
      </c>
      <c r="B1538" t="s">
        <v>4220</v>
      </c>
      <c r="C1538" t="s">
        <v>4218</v>
      </c>
      <c r="H153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38" s="49">
        <f ca="1">IFERROR(WEEKNUM(CRC_War_Room_SIMs[[#This Row],[Ops Date]]), "N/A")</f>
        <v>28</v>
      </c>
      <c r="J153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3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3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38" s="50">
        <f>IF(AND(CRC_War_Room_SIMs[[#This Row],[CI]] = 0, CRC_War_Room_SIMs[[#This Row],[Miss]] = 1), 1, 0)</f>
        <v>0</v>
      </c>
      <c r="N153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3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38" s="50">
        <f>IF(AND(CRC_War_Room_SIMs[[#This Row],[Excluded]] = 0, OR(CRC_War_Room_SIMs[[#This Row],[SLA Miss]] &lt;&gt; "", ISNUMBER(SEARCH("SLA", CRC_War_Room_SIMs[[#This Row],[Labels]])))), 1, 0)</f>
        <v>0</v>
      </c>
    </row>
    <row r="1539" spans="1:16" x14ac:dyDescent="0.25">
      <c r="A1539" t="s">
        <v>4268</v>
      </c>
      <c r="B1539" t="s">
        <v>4266</v>
      </c>
      <c r="C1539" t="s">
        <v>4218</v>
      </c>
      <c r="H153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39" s="49">
        <f ca="1">IFERROR(WEEKNUM(CRC_War_Room_SIMs[[#This Row],[Ops Date]]), "N/A")</f>
        <v>28</v>
      </c>
      <c r="J153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3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3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39" s="50">
        <f>IF(AND(CRC_War_Room_SIMs[[#This Row],[CI]] = 0, CRC_War_Room_SIMs[[#This Row],[Miss]] = 1), 1, 0)</f>
        <v>0</v>
      </c>
      <c r="N153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3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39" s="50">
        <f>IF(AND(CRC_War_Room_SIMs[[#This Row],[Excluded]] = 0, OR(CRC_War_Room_SIMs[[#This Row],[SLA Miss]] &lt;&gt; "", ISNUMBER(SEARCH("SLA", CRC_War_Room_SIMs[[#This Row],[Labels]])))), 1, 0)</f>
        <v>0</v>
      </c>
    </row>
    <row r="1540" spans="1:16" x14ac:dyDescent="0.25">
      <c r="A1540" t="s">
        <v>4269</v>
      </c>
      <c r="B1540" t="s">
        <v>4264</v>
      </c>
      <c r="C1540" t="s">
        <v>4218</v>
      </c>
      <c r="H154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40" s="49">
        <f ca="1">IFERROR(WEEKNUM(CRC_War_Room_SIMs[[#This Row],[Ops Date]]), "N/A")</f>
        <v>28</v>
      </c>
      <c r="J154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4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4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40" s="50">
        <f>IF(AND(CRC_War_Room_SIMs[[#This Row],[CI]] = 0, CRC_War_Room_SIMs[[#This Row],[Miss]] = 1), 1, 0)</f>
        <v>0</v>
      </c>
      <c r="N154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4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40" s="50">
        <f>IF(AND(CRC_War_Room_SIMs[[#This Row],[Excluded]] = 0, OR(CRC_War_Room_SIMs[[#This Row],[SLA Miss]] &lt;&gt; "", ISNUMBER(SEARCH("SLA", CRC_War_Room_SIMs[[#This Row],[Labels]])))), 1, 0)</f>
        <v>0</v>
      </c>
    </row>
    <row r="1541" spans="1:16" x14ac:dyDescent="0.25">
      <c r="A1541" t="s">
        <v>4270</v>
      </c>
      <c r="B1541" t="s">
        <v>4266</v>
      </c>
      <c r="C1541" t="s">
        <v>4218</v>
      </c>
      <c r="H154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41" s="49">
        <f ca="1">IFERROR(WEEKNUM(CRC_War_Room_SIMs[[#This Row],[Ops Date]]), "N/A")</f>
        <v>28</v>
      </c>
      <c r="J154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4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4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41" s="50">
        <f>IF(AND(CRC_War_Room_SIMs[[#This Row],[CI]] = 0, CRC_War_Room_SIMs[[#This Row],[Miss]] = 1), 1, 0)</f>
        <v>0</v>
      </c>
      <c r="N154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4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41" s="50">
        <f>IF(AND(CRC_War_Room_SIMs[[#This Row],[Excluded]] = 0, OR(CRC_War_Room_SIMs[[#This Row],[SLA Miss]] &lt;&gt; "", ISNUMBER(SEARCH("SLA", CRC_War_Room_SIMs[[#This Row],[Labels]])))), 1, 0)</f>
        <v>0</v>
      </c>
    </row>
    <row r="1542" spans="1:16" x14ac:dyDescent="0.25">
      <c r="A1542" t="s">
        <v>4271</v>
      </c>
      <c r="B1542" t="s">
        <v>4264</v>
      </c>
      <c r="C1542" t="s">
        <v>4218</v>
      </c>
      <c r="H154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42" s="49">
        <f ca="1">IFERROR(WEEKNUM(CRC_War_Room_SIMs[[#This Row],[Ops Date]]), "N/A")</f>
        <v>28</v>
      </c>
      <c r="J154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4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4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42" s="50">
        <f>IF(AND(CRC_War_Room_SIMs[[#This Row],[CI]] = 0, CRC_War_Room_SIMs[[#This Row],[Miss]] = 1), 1, 0)</f>
        <v>0</v>
      </c>
      <c r="N154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4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42" s="50">
        <f>IF(AND(CRC_War_Room_SIMs[[#This Row],[Excluded]] = 0, OR(CRC_War_Room_SIMs[[#This Row],[SLA Miss]] &lt;&gt; "", ISNUMBER(SEARCH("SLA", CRC_War_Room_SIMs[[#This Row],[Labels]])))), 1, 0)</f>
        <v>0</v>
      </c>
    </row>
    <row r="1543" spans="1:16" x14ac:dyDescent="0.25">
      <c r="A1543" t="s">
        <v>4272</v>
      </c>
      <c r="B1543" t="s">
        <v>4273</v>
      </c>
      <c r="C1543" t="s">
        <v>4218</v>
      </c>
      <c r="H154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43" s="49">
        <f ca="1">IFERROR(WEEKNUM(CRC_War_Room_SIMs[[#This Row],[Ops Date]]), "N/A")</f>
        <v>28</v>
      </c>
      <c r="J154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4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4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43" s="50">
        <f>IF(AND(CRC_War_Room_SIMs[[#This Row],[CI]] = 0, CRC_War_Room_SIMs[[#This Row],[Miss]] = 1), 1, 0)</f>
        <v>0</v>
      </c>
      <c r="N154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4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43" s="50">
        <f>IF(AND(CRC_War_Room_SIMs[[#This Row],[Excluded]] = 0, OR(CRC_War_Room_SIMs[[#This Row],[SLA Miss]] &lt;&gt; "", ISNUMBER(SEARCH("SLA", CRC_War_Room_SIMs[[#This Row],[Labels]])))), 1, 0)</f>
        <v>0</v>
      </c>
    </row>
    <row r="1544" spans="1:16" x14ac:dyDescent="0.25">
      <c r="A1544" t="s">
        <v>4274</v>
      </c>
      <c r="B1544" t="s">
        <v>4220</v>
      </c>
      <c r="C1544" t="s">
        <v>4218</v>
      </c>
      <c r="H154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44" s="49">
        <f ca="1">IFERROR(WEEKNUM(CRC_War_Room_SIMs[[#This Row],[Ops Date]]), "N/A")</f>
        <v>28</v>
      </c>
      <c r="J154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4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4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44" s="50">
        <f>IF(AND(CRC_War_Room_SIMs[[#This Row],[CI]] = 0, CRC_War_Room_SIMs[[#This Row],[Miss]] = 1), 1, 0)</f>
        <v>0</v>
      </c>
      <c r="N154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4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44" s="50">
        <f>IF(AND(CRC_War_Room_SIMs[[#This Row],[Excluded]] = 0, OR(CRC_War_Room_SIMs[[#This Row],[SLA Miss]] &lt;&gt; "", ISNUMBER(SEARCH("SLA", CRC_War_Room_SIMs[[#This Row],[Labels]])))), 1, 0)</f>
        <v>0</v>
      </c>
    </row>
    <row r="1545" spans="1:16" x14ac:dyDescent="0.25">
      <c r="A1545" t="s">
        <v>4275</v>
      </c>
      <c r="B1545" t="s">
        <v>4266</v>
      </c>
      <c r="C1545" t="s">
        <v>4218</v>
      </c>
      <c r="H154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45" s="49">
        <f ca="1">IFERROR(WEEKNUM(CRC_War_Room_SIMs[[#This Row],[Ops Date]]), "N/A")</f>
        <v>28</v>
      </c>
      <c r="J154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4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4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45" s="50">
        <f>IF(AND(CRC_War_Room_SIMs[[#This Row],[CI]] = 0, CRC_War_Room_SIMs[[#This Row],[Miss]] = 1), 1, 0)</f>
        <v>0</v>
      </c>
      <c r="N154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4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45" s="50">
        <f>IF(AND(CRC_War_Room_SIMs[[#This Row],[Excluded]] = 0, OR(CRC_War_Room_SIMs[[#This Row],[SLA Miss]] &lt;&gt; "", ISNUMBER(SEARCH("SLA", CRC_War_Room_SIMs[[#This Row],[Labels]])))), 1, 0)</f>
        <v>0</v>
      </c>
    </row>
    <row r="1546" spans="1:16" x14ac:dyDescent="0.25">
      <c r="A1546" t="s">
        <v>4276</v>
      </c>
      <c r="B1546" t="s">
        <v>4264</v>
      </c>
      <c r="C1546" t="s">
        <v>4218</v>
      </c>
      <c r="H154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46" s="49">
        <f ca="1">IFERROR(WEEKNUM(CRC_War_Room_SIMs[[#This Row],[Ops Date]]), "N/A")</f>
        <v>28</v>
      </c>
      <c r="J154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4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4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46" s="50">
        <f>IF(AND(CRC_War_Room_SIMs[[#This Row],[CI]] = 0, CRC_War_Room_SIMs[[#This Row],[Miss]] = 1), 1, 0)</f>
        <v>0</v>
      </c>
      <c r="N154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4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46" s="50">
        <f>IF(AND(CRC_War_Room_SIMs[[#This Row],[Excluded]] = 0, OR(CRC_War_Room_SIMs[[#This Row],[SLA Miss]] &lt;&gt; "", ISNUMBER(SEARCH("SLA", CRC_War_Room_SIMs[[#This Row],[Labels]])))), 1, 0)</f>
        <v>0</v>
      </c>
    </row>
    <row r="1547" spans="1:16" x14ac:dyDescent="0.25">
      <c r="A1547" t="s">
        <v>4277</v>
      </c>
      <c r="B1547" t="s">
        <v>4273</v>
      </c>
      <c r="C1547" t="s">
        <v>4218</v>
      </c>
      <c r="H154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47" s="49">
        <f ca="1">IFERROR(WEEKNUM(CRC_War_Room_SIMs[[#This Row],[Ops Date]]), "N/A")</f>
        <v>28</v>
      </c>
      <c r="J154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4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4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47" s="50">
        <f>IF(AND(CRC_War_Room_SIMs[[#This Row],[CI]] = 0, CRC_War_Room_SIMs[[#This Row],[Miss]] = 1), 1, 0)</f>
        <v>0</v>
      </c>
      <c r="N154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4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47" s="50">
        <f>IF(AND(CRC_War_Room_SIMs[[#This Row],[Excluded]] = 0, OR(CRC_War_Room_SIMs[[#This Row],[SLA Miss]] &lt;&gt; "", ISNUMBER(SEARCH("SLA", CRC_War_Room_SIMs[[#This Row],[Labels]])))), 1, 0)</f>
        <v>0</v>
      </c>
    </row>
    <row r="1548" spans="1:16" x14ac:dyDescent="0.25">
      <c r="A1548" t="s">
        <v>4278</v>
      </c>
      <c r="B1548" t="s">
        <v>4220</v>
      </c>
      <c r="C1548" t="s">
        <v>4218</v>
      </c>
      <c r="H154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45480</v>
      </c>
      <c r="I1548" s="49">
        <f ca="1">IFERROR(WEEKNUM(CRC_War_Room_SIMs[[#This Row],[Ops Date]]), "N/A")</f>
        <v>28</v>
      </c>
      <c r="J154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4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4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48" s="50">
        <f>IF(AND(CRC_War_Room_SIMs[[#This Row],[CI]] = 0, CRC_War_Room_SIMs[[#This Row],[Miss]] = 1), 1, 0)</f>
        <v>0</v>
      </c>
      <c r="N154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4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48" s="50">
        <f>IF(AND(CRC_War_Room_SIMs[[#This Row],[Excluded]] = 0, OR(CRC_War_Room_SIMs[[#This Row],[SLA Miss]] &lt;&gt; "", ISNUMBER(SEARCH("SLA", CRC_War_Room_SIMs[[#This Row],[Labels]])))), 1, 0)</f>
        <v>0</v>
      </c>
    </row>
    <row r="1549" spans="1:16" x14ac:dyDescent="0.25">
      <c r="A1549" t="s">
        <v>4279</v>
      </c>
      <c r="B1549" t="s">
        <v>4280</v>
      </c>
      <c r="C1549" t="s">
        <v>4281</v>
      </c>
      <c r="H154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549" s="49">
        <f ca="1">IFERROR(WEEKNUM(CRC_War_Room_SIMs[[#This Row],[Ops Date]]), "N/A")</f>
        <v>27</v>
      </c>
      <c r="J154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4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54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549" s="50">
        <f>IF(AND(CRC_War_Room_SIMs[[#This Row],[CI]] = 0, CRC_War_Room_SIMs[[#This Row],[Miss]] = 1), 1, 0)</f>
        <v>0</v>
      </c>
      <c r="N154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4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49" s="50">
        <f>IF(AND(CRC_War_Room_SIMs[[#This Row],[Excluded]] = 0, OR(CRC_War_Room_SIMs[[#This Row],[SLA Miss]] &lt;&gt; "", ISNUMBER(SEARCH("SLA", CRC_War_Room_SIMs[[#This Row],[Labels]])))), 1, 0)</f>
        <v>0</v>
      </c>
    </row>
    <row r="1550" spans="1:16" x14ac:dyDescent="0.25">
      <c r="A1550" t="s">
        <v>4282</v>
      </c>
      <c r="B1550" t="s">
        <v>4280</v>
      </c>
      <c r="C1550" t="s">
        <v>4281</v>
      </c>
      <c r="H155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550" s="49">
        <f ca="1">IFERROR(WEEKNUM(CRC_War_Room_SIMs[[#This Row],[Ops Date]]), "N/A")</f>
        <v>27</v>
      </c>
      <c r="J155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5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55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550" s="50">
        <f>IF(AND(CRC_War_Room_SIMs[[#This Row],[CI]] = 0, CRC_War_Room_SIMs[[#This Row],[Miss]] = 1), 1, 0)</f>
        <v>0</v>
      </c>
      <c r="N155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5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50" s="50">
        <f>IF(AND(CRC_War_Room_SIMs[[#This Row],[Excluded]] = 0, OR(CRC_War_Room_SIMs[[#This Row],[SLA Miss]] &lt;&gt; "", ISNUMBER(SEARCH("SLA", CRC_War_Room_SIMs[[#This Row],[Labels]])))), 1, 0)</f>
        <v>0</v>
      </c>
    </row>
    <row r="1551" spans="1:16" x14ac:dyDescent="0.25">
      <c r="A1551" t="s">
        <v>4283</v>
      </c>
      <c r="B1551" t="s">
        <v>4280</v>
      </c>
      <c r="C1551" t="s">
        <v>4284</v>
      </c>
      <c r="H155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551" s="49">
        <f ca="1">IFERROR(WEEKNUM(CRC_War_Room_SIMs[[#This Row],[Ops Date]]), "N/A")</f>
        <v>27</v>
      </c>
      <c r="J155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5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5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51" s="50">
        <f>IF(AND(CRC_War_Room_SIMs[[#This Row],[CI]] = 0, CRC_War_Room_SIMs[[#This Row],[Miss]] = 1), 1, 0)</f>
        <v>0</v>
      </c>
      <c r="N155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5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51" s="50">
        <f>IF(AND(CRC_War_Room_SIMs[[#This Row],[Excluded]] = 0, OR(CRC_War_Room_SIMs[[#This Row],[SLA Miss]] &lt;&gt; "", ISNUMBER(SEARCH("SLA", CRC_War_Room_SIMs[[#This Row],[Labels]])))), 1, 0)</f>
        <v>0</v>
      </c>
    </row>
    <row r="1552" spans="1:16" x14ac:dyDescent="0.25">
      <c r="A1552" t="s">
        <v>4285</v>
      </c>
      <c r="B1552" t="s">
        <v>4286</v>
      </c>
      <c r="C1552" t="s">
        <v>4287</v>
      </c>
      <c r="D1552" t="s">
        <v>1453</v>
      </c>
      <c r="E1552" t="s">
        <v>2473</v>
      </c>
      <c r="H155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552" s="49">
        <f ca="1">IFERROR(WEEKNUM(CRC_War_Room_SIMs[[#This Row],[Ops Date]]), "N/A")</f>
        <v>27</v>
      </c>
      <c r="J1552" s="49">
        <f>IF(OR(ISNUMBER(SEARCH("Excluded", CRC_War_Room_SIMs[[#This Row],[Labels]])), ISNUMBER(SEARCH("Quality", CRC_War_Room_SIMs[[#This Row],[Data Status]])), ISNUMBER(SEARCH("Exception", CRC_War_Room_SIMs[[#This Row],[Data Status]]))), 1, 0)</f>
        <v>1</v>
      </c>
      <c r="K155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5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52" s="50">
        <f>IF(AND(CRC_War_Room_SIMs[[#This Row],[CI]] = 0, CRC_War_Room_SIMs[[#This Row],[Miss]] = 1), 1, 0)</f>
        <v>0</v>
      </c>
      <c r="N155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5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52" s="50">
        <f>IF(AND(CRC_War_Room_SIMs[[#This Row],[Excluded]] = 0, OR(CRC_War_Room_SIMs[[#This Row],[SLA Miss]] &lt;&gt; "", ISNUMBER(SEARCH("SLA", CRC_War_Room_SIMs[[#This Row],[Labels]])))), 1, 0)</f>
        <v>0</v>
      </c>
    </row>
    <row r="1553" spans="1:16" x14ac:dyDescent="0.25">
      <c r="A1553" t="s">
        <v>4288</v>
      </c>
      <c r="B1553" t="s">
        <v>4286</v>
      </c>
      <c r="C1553" t="s">
        <v>4281</v>
      </c>
      <c r="E1553" t="s">
        <v>2473</v>
      </c>
      <c r="H155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553" s="49">
        <f ca="1">IFERROR(WEEKNUM(CRC_War_Room_SIMs[[#This Row],[Ops Date]]), "N/A")</f>
        <v>27</v>
      </c>
      <c r="J155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5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55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553" s="50">
        <f>IF(AND(CRC_War_Room_SIMs[[#This Row],[CI]] = 0, CRC_War_Room_SIMs[[#This Row],[Miss]] = 1), 1, 0)</f>
        <v>0</v>
      </c>
      <c r="N1553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155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53" s="50">
        <f>IF(AND(CRC_War_Room_SIMs[[#This Row],[Excluded]] = 0, OR(CRC_War_Room_SIMs[[#This Row],[SLA Miss]] &lt;&gt; "", ISNUMBER(SEARCH("SLA", CRC_War_Room_SIMs[[#This Row],[Labels]])))), 1, 0)</f>
        <v>0</v>
      </c>
    </row>
    <row r="1554" spans="1:16" x14ac:dyDescent="0.25">
      <c r="A1554" t="s">
        <v>4289</v>
      </c>
      <c r="B1554" t="s">
        <v>4290</v>
      </c>
      <c r="C1554" t="s">
        <v>4291</v>
      </c>
      <c r="H155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54" s="49">
        <f ca="1">IFERROR(WEEKNUM(CRC_War_Room_SIMs[[#This Row],[Ops Date]]), "N/A")</f>
        <v>27</v>
      </c>
      <c r="J155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5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55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554" s="50">
        <f>IF(AND(CRC_War_Room_SIMs[[#This Row],[CI]] = 0, CRC_War_Room_SIMs[[#This Row],[Miss]] = 1), 1, 0)</f>
        <v>0</v>
      </c>
      <c r="N155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5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54" s="50">
        <f>IF(AND(CRC_War_Room_SIMs[[#This Row],[Excluded]] = 0, OR(CRC_War_Room_SIMs[[#This Row],[SLA Miss]] &lt;&gt; "", ISNUMBER(SEARCH("SLA", CRC_War_Room_SIMs[[#This Row],[Labels]])))), 1, 0)</f>
        <v>0</v>
      </c>
    </row>
    <row r="1555" spans="1:16" x14ac:dyDescent="0.25">
      <c r="A1555" t="s">
        <v>4292</v>
      </c>
      <c r="B1555" t="s">
        <v>4293</v>
      </c>
      <c r="C1555" t="s">
        <v>4291</v>
      </c>
      <c r="E1555" t="s">
        <v>2463</v>
      </c>
      <c r="H155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55" s="49">
        <f ca="1">IFERROR(WEEKNUM(CRC_War_Room_SIMs[[#This Row],[Ops Date]]), "N/A")</f>
        <v>27</v>
      </c>
      <c r="J155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5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1</v>
      </c>
      <c r="L155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1</v>
      </c>
      <c r="M1555" s="50">
        <f>IF(AND(CRC_War_Room_SIMs[[#This Row],[CI]] = 0, CRC_War_Room_SIMs[[#This Row],[Miss]] = 1), 1, 0)</f>
        <v>0</v>
      </c>
      <c r="N1555" s="49">
        <f>IF(AND(CRC_War_Room_SIMs[[#This Row],[Excluded]] = 0, OR(CRC_War_Room_SIMs[[#This Row],[Operator Follow-up Miss]] &lt;&gt; "", ISNUMBER(SEARCH("Operator Follow Up", CRC_War_Room_SIMs[[#This Row],[Labels]])))), 1, 0)</f>
        <v>1</v>
      </c>
      <c r="O155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55" s="50">
        <f>IF(AND(CRC_War_Room_SIMs[[#This Row],[Excluded]] = 0, OR(CRC_War_Room_SIMs[[#This Row],[SLA Miss]] &lt;&gt; "", ISNUMBER(SEARCH("SLA", CRC_War_Room_SIMs[[#This Row],[Labels]])))), 1, 0)</f>
        <v>0</v>
      </c>
    </row>
    <row r="1556" spans="1:16" x14ac:dyDescent="0.25">
      <c r="A1556" t="s">
        <v>4294</v>
      </c>
      <c r="B1556" t="s">
        <v>4290</v>
      </c>
      <c r="C1556" t="s">
        <v>4295</v>
      </c>
      <c r="H155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56" s="49">
        <f ca="1">IFERROR(WEEKNUM(CRC_War_Room_SIMs[[#This Row],[Ops Date]]), "N/A")</f>
        <v>27</v>
      </c>
      <c r="J155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5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5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56" s="50">
        <f>IF(AND(CRC_War_Room_SIMs[[#This Row],[CI]] = 0, CRC_War_Room_SIMs[[#This Row],[Miss]] = 1), 1, 0)</f>
        <v>0</v>
      </c>
      <c r="N155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5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56" s="50">
        <f>IF(AND(CRC_War_Room_SIMs[[#This Row],[Excluded]] = 0, OR(CRC_War_Room_SIMs[[#This Row],[SLA Miss]] &lt;&gt; "", ISNUMBER(SEARCH("SLA", CRC_War_Room_SIMs[[#This Row],[Labels]])))), 1, 0)</f>
        <v>0</v>
      </c>
    </row>
    <row r="1557" spans="1:16" x14ac:dyDescent="0.25">
      <c r="A1557" t="s">
        <v>4296</v>
      </c>
      <c r="B1557" t="s">
        <v>4297</v>
      </c>
      <c r="C1557" t="s">
        <v>4295</v>
      </c>
      <c r="H155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57" s="49">
        <f ca="1">IFERROR(WEEKNUM(CRC_War_Room_SIMs[[#This Row],[Ops Date]]), "N/A")</f>
        <v>27</v>
      </c>
      <c r="J155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5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5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57" s="50">
        <f>IF(AND(CRC_War_Room_SIMs[[#This Row],[CI]] = 0, CRC_War_Room_SIMs[[#This Row],[Miss]] = 1), 1, 0)</f>
        <v>0</v>
      </c>
      <c r="N155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5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57" s="50">
        <f>IF(AND(CRC_War_Room_SIMs[[#This Row],[Excluded]] = 0, OR(CRC_War_Room_SIMs[[#This Row],[SLA Miss]] &lt;&gt; "", ISNUMBER(SEARCH("SLA", CRC_War_Room_SIMs[[#This Row],[Labels]])))), 1, 0)</f>
        <v>0</v>
      </c>
    </row>
    <row r="1558" spans="1:16" x14ac:dyDescent="0.25">
      <c r="A1558" t="s">
        <v>4298</v>
      </c>
      <c r="B1558" t="s">
        <v>4299</v>
      </c>
      <c r="C1558" t="s">
        <v>4295</v>
      </c>
      <c r="H155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58" s="49">
        <f ca="1">IFERROR(WEEKNUM(CRC_War_Room_SIMs[[#This Row],[Ops Date]]), "N/A")</f>
        <v>27</v>
      </c>
      <c r="J155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5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5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58" s="50">
        <f>IF(AND(CRC_War_Room_SIMs[[#This Row],[CI]] = 0, CRC_War_Room_SIMs[[#This Row],[Miss]] = 1), 1, 0)</f>
        <v>0</v>
      </c>
      <c r="N155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5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58" s="50">
        <f>IF(AND(CRC_War_Room_SIMs[[#This Row],[Excluded]] = 0, OR(CRC_War_Room_SIMs[[#This Row],[SLA Miss]] &lt;&gt; "", ISNUMBER(SEARCH("SLA", CRC_War_Room_SIMs[[#This Row],[Labels]])))), 1, 0)</f>
        <v>0</v>
      </c>
    </row>
    <row r="1559" spans="1:16" x14ac:dyDescent="0.25">
      <c r="A1559" t="s">
        <v>4300</v>
      </c>
      <c r="B1559" t="s">
        <v>4297</v>
      </c>
      <c r="C1559" t="s">
        <v>4295</v>
      </c>
      <c r="H155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59" s="49">
        <f ca="1">IFERROR(WEEKNUM(CRC_War_Room_SIMs[[#This Row],[Ops Date]]), "N/A")</f>
        <v>27</v>
      </c>
      <c r="J155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5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5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59" s="50">
        <f>IF(AND(CRC_War_Room_SIMs[[#This Row],[CI]] = 0, CRC_War_Room_SIMs[[#This Row],[Miss]] = 1), 1, 0)</f>
        <v>0</v>
      </c>
      <c r="N155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5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59" s="50">
        <f>IF(AND(CRC_War_Room_SIMs[[#This Row],[Excluded]] = 0, OR(CRC_War_Room_SIMs[[#This Row],[SLA Miss]] &lt;&gt; "", ISNUMBER(SEARCH("SLA", CRC_War_Room_SIMs[[#This Row],[Labels]])))), 1, 0)</f>
        <v>0</v>
      </c>
    </row>
    <row r="1560" spans="1:16" x14ac:dyDescent="0.25">
      <c r="A1560" t="s">
        <v>4301</v>
      </c>
      <c r="B1560" t="s">
        <v>4302</v>
      </c>
      <c r="C1560" t="s">
        <v>4295</v>
      </c>
      <c r="H156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60" s="49">
        <f ca="1">IFERROR(WEEKNUM(CRC_War_Room_SIMs[[#This Row],[Ops Date]]), "N/A")</f>
        <v>27</v>
      </c>
      <c r="J156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6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6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60" s="50">
        <f>IF(AND(CRC_War_Room_SIMs[[#This Row],[CI]] = 0, CRC_War_Room_SIMs[[#This Row],[Miss]] = 1), 1, 0)</f>
        <v>0</v>
      </c>
      <c r="N156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6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60" s="50">
        <f>IF(AND(CRC_War_Room_SIMs[[#This Row],[Excluded]] = 0, OR(CRC_War_Room_SIMs[[#This Row],[SLA Miss]] &lt;&gt; "", ISNUMBER(SEARCH("SLA", CRC_War_Room_SIMs[[#This Row],[Labels]])))), 1, 0)</f>
        <v>0</v>
      </c>
    </row>
    <row r="1561" spans="1:16" x14ac:dyDescent="0.25">
      <c r="A1561" t="s">
        <v>4303</v>
      </c>
      <c r="B1561" t="s">
        <v>4290</v>
      </c>
      <c r="C1561" t="s">
        <v>4295</v>
      </c>
      <c r="H156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61" s="49">
        <f ca="1">IFERROR(WEEKNUM(CRC_War_Room_SIMs[[#This Row],[Ops Date]]), "N/A")</f>
        <v>27</v>
      </c>
      <c r="J156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6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6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61" s="50">
        <f>IF(AND(CRC_War_Room_SIMs[[#This Row],[CI]] = 0, CRC_War_Room_SIMs[[#This Row],[Miss]] = 1), 1, 0)</f>
        <v>0</v>
      </c>
      <c r="N156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6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61" s="50">
        <f>IF(AND(CRC_War_Room_SIMs[[#This Row],[Excluded]] = 0, OR(CRC_War_Room_SIMs[[#This Row],[SLA Miss]] &lt;&gt; "", ISNUMBER(SEARCH("SLA", CRC_War_Room_SIMs[[#This Row],[Labels]])))), 1, 0)</f>
        <v>0</v>
      </c>
    </row>
    <row r="1562" spans="1:16" x14ac:dyDescent="0.25">
      <c r="A1562" t="s">
        <v>4304</v>
      </c>
      <c r="B1562" t="s">
        <v>4293</v>
      </c>
      <c r="C1562" t="s">
        <v>4295</v>
      </c>
      <c r="H156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62" s="49">
        <f ca="1">IFERROR(WEEKNUM(CRC_War_Room_SIMs[[#This Row],[Ops Date]]), "N/A")</f>
        <v>27</v>
      </c>
      <c r="J156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6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6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62" s="50">
        <f>IF(AND(CRC_War_Room_SIMs[[#This Row],[CI]] = 0, CRC_War_Room_SIMs[[#This Row],[Miss]] = 1), 1, 0)</f>
        <v>0</v>
      </c>
      <c r="N156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6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62" s="50">
        <f>IF(AND(CRC_War_Room_SIMs[[#This Row],[Excluded]] = 0, OR(CRC_War_Room_SIMs[[#This Row],[SLA Miss]] &lt;&gt; "", ISNUMBER(SEARCH("SLA", CRC_War_Room_SIMs[[#This Row],[Labels]])))), 1, 0)</f>
        <v>0</v>
      </c>
    </row>
    <row r="1563" spans="1:16" x14ac:dyDescent="0.25">
      <c r="A1563" t="s">
        <v>4305</v>
      </c>
      <c r="B1563" t="s">
        <v>4297</v>
      </c>
      <c r="C1563" t="s">
        <v>4295</v>
      </c>
      <c r="H156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63" s="49">
        <f ca="1">IFERROR(WEEKNUM(CRC_War_Room_SIMs[[#This Row],[Ops Date]]), "N/A")</f>
        <v>27</v>
      </c>
      <c r="J156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6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6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63" s="50">
        <f>IF(AND(CRC_War_Room_SIMs[[#This Row],[CI]] = 0, CRC_War_Room_SIMs[[#This Row],[Miss]] = 1), 1, 0)</f>
        <v>0</v>
      </c>
      <c r="N156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6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63" s="50">
        <f>IF(AND(CRC_War_Room_SIMs[[#This Row],[Excluded]] = 0, OR(CRC_War_Room_SIMs[[#This Row],[SLA Miss]] &lt;&gt; "", ISNUMBER(SEARCH("SLA", CRC_War_Room_SIMs[[#This Row],[Labels]])))), 1, 0)</f>
        <v>0</v>
      </c>
    </row>
    <row r="1564" spans="1:16" x14ac:dyDescent="0.25">
      <c r="A1564" t="s">
        <v>4306</v>
      </c>
      <c r="B1564" t="s">
        <v>4302</v>
      </c>
      <c r="C1564" t="s">
        <v>4295</v>
      </c>
      <c r="H156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64" s="49">
        <f ca="1">IFERROR(WEEKNUM(CRC_War_Room_SIMs[[#This Row],[Ops Date]]), "N/A")</f>
        <v>27</v>
      </c>
      <c r="J156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6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6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64" s="50">
        <f>IF(AND(CRC_War_Room_SIMs[[#This Row],[CI]] = 0, CRC_War_Room_SIMs[[#This Row],[Miss]] = 1), 1, 0)</f>
        <v>0</v>
      </c>
      <c r="N156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6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64" s="50">
        <f>IF(AND(CRC_War_Room_SIMs[[#This Row],[Excluded]] = 0, OR(CRC_War_Room_SIMs[[#This Row],[SLA Miss]] &lt;&gt; "", ISNUMBER(SEARCH("SLA", CRC_War_Room_SIMs[[#This Row],[Labels]])))), 1, 0)</f>
        <v>0</v>
      </c>
    </row>
    <row r="1565" spans="1:16" x14ac:dyDescent="0.25">
      <c r="A1565" t="s">
        <v>4307</v>
      </c>
      <c r="B1565" t="s">
        <v>4290</v>
      </c>
      <c r="C1565" t="s">
        <v>4295</v>
      </c>
      <c r="H156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65" s="49">
        <f ca="1">IFERROR(WEEKNUM(CRC_War_Room_SIMs[[#This Row],[Ops Date]]), "N/A")</f>
        <v>27</v>
      </c>
      <c r="J156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6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6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65" s="50">
        <f>IF(AND(CRC_War_Room_SIMs[[#This Row],[CI]] = 0, CRC_War_Room_SIMs[[#This Row],[Miss]] = 1), 1, 0)</f>
        <v>0</v>
      </c>
      <c r="N156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6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65" s="50">
        <f>IF(AND(CRC_War_Room_SIMs[[#This Row],[Excluded]] = 0, OR(CRC_War_Room_SIMs[[#This Row],[SLA Miss]] &lt;&gt; "", ISNUMBER(SEARCH("SLA", CRC_War_Room_SIMs[[#This Row],[Labels]])))), 1, 0)</f>
        <v>0</v>
      </c>
    </row>
    <row r="1566" spans="1:16" x14ac:dyDescent="0.25">
      <c r="A1566" t="s">
        <v>4308</v>
      </c>
      <c r="B1566" t="s">
        <v>4293</v>
      </c>
      <c r="C1566" t="s">
        <v>4295</v>
      </c>
      <c r="H156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66" s="49">
        <f ca="1">IFERROR(WEEKNUM(CRC_War_Room_SIMs[[#This Row],[Ops Date]]), "N/A")</f>
        <v>27</v>
      </c>
      <c r="J156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6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6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66" s="50">
        <f>IF(AND(CRC_War_Room_SIMs[[#This Row],[CI]] = 0, CRC_War_Room_SIMs[[#This Row],[Miss]] = 1), 1, 0)</f>
        <v>0</v>
      </c>
      <c r="N156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6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66" s="50">
        <f>IF(AND(CRC_War_Room_SIMs[[#This Row],[Excluded]] = 0, OR(CRC_War_Room_SIMs[[#This Row],[SLA Miss]] &lt;&gt; "", ISNUMBER(SEARCH("SLA", CRC_War_Room_SIMs[[#This Row],[Labels]])))), 1, 0)</f>
        <v>0</v>
      </c>
    </row>
    <row r="1567" spans="1:16" x14ac:dyDescent="0.25">
      <c r="A1567" t="s">
        <v>4309</v>
      </c>
      <c r="B1567" t="s">
        <v>4302</v>
      </c>
      <c r="C1567" t="s">
        <v>4295</v>
      </c>
      <c r="H156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67" s="49">
        <f ca="1">IFERROR(WEEKNUM(CRC_War_Room_SIMs[[#This Row],[Ops Date]]), "N/A")</f>
        <v>27</v>
      </c>
      <c r="J156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6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6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67" s="50">
        <f>IF(AND(CRC_War_Room_SIMs[[#This Row],[CI]] = 0, CRC_War_Room_SIMs[[#This Row],[Miss]] = 1), 1, 0)</f>
        <v>0</v>
      </c>
      <c r="N156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6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67" s="50">
        <f>IF(AND(CRC_War_Room_SIMs[[#This Row],[Excluded]] = 0, OR(CRC_War_Room_SIMs[[#This Row],[SLA Miss]] &lt;&gt; "", ISNUMBER(SEARCH("SLA", CRC_War_Room_SIMs[[#This Row],[Labels]])))), 1, 0)</f>
        <v>0</v>
      </c>
    </row>
    <row r="1568" spans="1:16" x14ac:dyDescent="0.25">
      <c r="A1568" t="s">
        <v>4310</v>
      </c>
      <c r="B1568" t="s">
        <v>4297</v>
      </c>
      <c r="C1568" t="s">
        <v>4295</v>
      </c>
      <c r="H156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68" s="49">
        <f ca="1">IFERROR(WEEKNUM(CRC_War_Room_SIMs[[#This Row],[Ops Date]]), "N/A")</f>
        <v>27</v>
      </c>
      <c r="J156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6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6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68" s="50">
        <f>IF(AND(CRC_War_Room_SIMs[[#This Row],[CI]] = 0, CRC_War_Room_SIMs[[#This Row],[Miss]] = 1), 1, 0)</f>
        <v>0</v>
      </c>
      <c r="N156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6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68" s="50">
        <f>IF(AND(CRC_War_Room_SIMs[[#This Row],[Excluded]] = 0, OR(CRC_War_Room_SIMs[[#This Row],[SLA Miss]] &lt;&gt; "", ISNUMBER(SEARCH("SLA", CRC_War_Room_SIMs[[#This Row],[Labels]])))), 1, 0)</f>
        <v>0</v>
      </c>
    </row>
    <row r="1569" spans="1:16" x14ac:dyDescent="0.25">
      <c r="A1569" t="s">
        <v>4311</v>
      </c>
      <c r="B1569" t="s">
        <v>4302</v>
      </c>
      <c r="C1569" t="s">
        <v>4295</v>
      </c>
      <c r="H156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69" s="49">
        <f ca="1">IFERROR(WEEKNUM(CRC_War_Room_SIMs[[#This Row],[Ops Date]]), "N/A")</f>
        <v>27</v>
      </c>
      <c r="J156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6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6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69" s="50">
        <f>IF(AND(CRC_War_Room_SIMs[[#This Row],[CI]] = 0, CRC_War_Room_SIMs[[#This Row],[Miss]] = 1), 1, 0)</f>
        <v>0</v>
      </c>
      <c r="N156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6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69" s="50">
        <f>IF(AND(CRC_War_Room_SIMs[[#This Row],[Excluded]] = 0, OR(CRC_War_Room_SIMs[[#This Row],[SLA Miss]] &lt;&gt; "", ISNUMBER(SEARCH("SLA", CRC_War_Room_SIMs[[#This Row],[Labels]])))), 1, 0)</f>
        <v>0</v>
      </c>
    </row>
    <row r="1570" spans="1:16" x14ac:dyDescent="0.25">
      <c r="A1570" t="s">
        <v>4312</v>
      </c>
      <c r="B1570" t="s">
        <v>4290</v>
      </c>
      <c r="C1570" t="s">
        <v>4295</v>
      </c>
      <c r="H157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70" s="49">
        <f ca="1">IFERROR(WEEKNUM(CRC_War_Room_SIMs[[#This Row],[Ops Date]]), "N/A")</f>
        <v>27</v>
      </c>
      <c r="J157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7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7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70" s="50">
        <f>IF(AND(CRC_War_Room_SIMs[[#This Row],[CI]] = 0, CRC_War_Room_SIMs[[#This Row],[Miss]] = 1), 1, 0)</f>
        <v>0</v>
      </c>
      <c r="N157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7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70" s="50">
        <f>IF(AND(CRC_War_Room_SIMs[[#This Row],[Excluded]] = 0, OR(CRC_War_Room_SIMs[[#This Row],[SLA Miss]] &lt;&gt; "", ISNUMBER(SEARCH("SLA", CRC_War_Room_SIMs[[#This Row],[Labels]])))), 1, 0)</f>
        <v>0</v>
      </c>
    </row>
    <row r="1571" spans="1:16" x14ac:dyDescent="0.25">
      <c r="A1571" t="s">
        <v>4313</v>
      </c>
      <c r="B1571" t="s">
        <v>4293</v>
      </c>
      <c r="C1571" t="s">
        <v>4295</v>
      </c>
      <c r="H157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71" s="49">
        <f ca="1">IFERROR(WEEKNUM(CRC_War_Room_SIMs[[#This Row],[Ops Date]]), "N/A")</f>
        <v>27</v>
      </c>
      <c r="J157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7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7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71" s="50">
        <f>IF(AND(CRC_War_Room_SIMs[[#This Row],[CI]] = 0, CRC_War_Room_SIMs[[#This Row],[Miss]] = 1), 1, 0)</f>
        <v>0</v>
      </c>
      <c r="N157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7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71" s="50">
        <f>IF(AND(CRC_War_Room_SIMs[[#This Row],[Excluded]] = 0, OR(CRC_War_Room_SIMs[[#This Row],[SLA Miss]] &lt;&gt; "", ISNUMBER(SEARCH("SLA", CRC_War_Room_SIMs[[#This Row],[Labels]])))), 1, 0)</f>
        <v>0</v>
      </c>
    </row>
    <row r="1572" spans="1:16" x14ac:dyDescent="0.25">
      <c r="A1572" t="s">
        <v>4314</v>
      </c>
      <c r="B1572" t="s">
        <v>4297</v>
      </c>
      <c r="C1572" t="s">
        <v>4295</v>
      </c>
      <c r="H157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72" s="49">
        <f ca="1">IFERROR(WEEKNUM(CRC_War_Room_SIMs[[#This Row],[Ops Date]]), "N/A")</f>
        <v>27</v>
      </c>
      <c r="J157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7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7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72" s="50">
        <f>IF(AND(CRC_War_Room_SIMs[[#This Row],[CI]] = 0, CRC_War_Room_SIMs[[#This Row],[Miss]] = 1), 1, 0)</f>
        <v>0</v>
      </c>
      <c r="N157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7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72" s="50">
        <f>IF(AND(CRC_War_Room_SIMs[[#This Row],[Excluded]] = 0, OR(CRC_War_Room_SIMs[[#This Row],[SLA Miss]] &lt;&gt; "", ISNUMBER(SEARCH("SLA", CRC_War_Room_SIMs[[#This Row],[Labels]])))), 1, 0)</f>
        <v>0</v>
      </c>
    </row>
    <row r="1573" spans="1:16" x14ac:dyDescent="0.25">
      <c r="A1573" t="s">
        <v>4315</v>
      </c>
      <c r="B1573" t="s">
        <v>4302</v>
      </c>
      <c r="C1573" t="s">
        <v>4295</v>
      </c>
      <c r="H157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73" s="49">
        <f ca="1">IFERROR(WEEKNUM(CRC_War_Room_SIMs[[#This Row],[Ops Date]]), "N/A")</f>
        <v>27</v>
      </c>
      <c r="J157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7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7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73" s="50">
        <f>IF(AND(CRC_War_Room_SIMs[[#This Row],[CI]] = 0, CRC_War_Room_SIMs[[#This Row],[Miss]] = 1), 1, 0)</f>
        <v>0</v>
      </c>
      <c r="N157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7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73" s="50">
        <f>IF(AND(CRC_War_Room_SIMs[[#This Row],[Excluded]] = 0, OR(CRC_War_Room_SIMs[[#This Row],[SLA Miss]] &lt;&gt; "", ISNUMBER(SEARCH("SLA", CRC_War_Room_SIMs[[#This Row],[Labels]])))), 1, 0)</f>
        <v>0</v>
      </c>
    </row>
    <row r="1574" spans="1:16" x14ac:dyDescent="0.25">
      <c r="A1574" t="s">
        <v>4316</v>
      </c>
      <c r="B1574" t="s">
        <v>4290</v>
      </c>
      <c r="C1574" t="s">
        <v>4295</v>
      </c>
      <c r="H157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74" s="49">
        <f ca="1">IFERROR(WEEKNUM(CRC_War_Room_SIMs[[#This Row],[Ops Date]]), "N/A")</f>
        <v>27</v>
      </c>
      <c r="J157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7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7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74" s="50">
        <f>IF(AND(CRC_War_Room_SIMs[[#This Row],[CI]] = 0, CRC_War_Room_SIMs[[#This Row],[Miss]] = 1), 1, 0)</f>
        <v>0</v>
      </c>
      <c r="N157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7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74" s="50">
        <f>IF(AND(CRC_War_Room_SIMs[[#This Row],[Excluded]] = 0, OR(CRC_War_Room_SIMs[[#This Row],[SLA Miss]] &lt;&gt; "", ISNUMBER(SEARCH("SLA", CRC_War_Room_SIMs[[#This Row],[Labels]])))), 1, 0)</f>
        <v>0</v>
      </c>
    </row>
    <row r="1575" spans="1:16" x14ac:dyDescent="0.25">
      <c r="A1575" t="s">
        <v>4317</v>
      </c>
      <c r="B1575" t="s">
        <v>4297</v>
      </c>
      <c r="C1575" t="s">
        <v>4295</v>
      </c>
      <c r="H157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75" s="49">
        <f ca="1">IFERROR(WEEKNUM(CRC_War_Room_SIMs[[#This Row],[Ops Date]]), "N/A")</f>
        <v>27</v>
      </c>
      <c r="J157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7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7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75" s="50">
        <f>IF(AND(CRC_War_Room_SIMs[[#This Row],[CI]] = 0, CRC_War_Room_SIMs[[#This Row],[Miss]] = 1), 1, 0)</f>
        <v>0</v>
      </c>
      <c r="N157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7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75" s="50">
        <f>IF(AND(CRC_War_Room_SIMs[[#This Row],[Excluded]] = 0, OR(CRC_War_Room_SIMs[[#This Row],[SLA Miss]] &lt;&gt; "", ISNUMBER(SEARCH("SLA", CRC_War_Room_SIMs[[#This Row],[Labels]])))), 1, 0)</f>
        <v>0</v>
      </c>
    </row>
    <row r="1576" spans="1:16" x14ac:dyDescent="0.25">
      <c r="A1576" t="s">
        <v>4318</v>
      </c>
      <c r="B1576" t="s">
        <v>4302</v>
      </c>
      <c r="C1576" t="s">
        <v>4295</v>
      </c>
      <c r="H157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76" s="49">
        <f ca="1">IFERROR(WEEKNUM(CRC_War_Room_SIMs[[#This Row],[Ops Date]]), "N/A")</f>
        <v>27</v>
      </c>
      <c r="J157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7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7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76" s="50">
        <f>IF(AND(CRC_War_Room_SIMs[[#This Row],[CI]] = 0, CRC_War_Room_SIMs[[#This Row],[Miss]] = 1), 1, 0)</f>
        <v>0</v>
      </c>
      <c r="N157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7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76" s="50">
        <f>IF(AND(CRC_War_Room_SIMs[[#This Row],[Excluded]] = 0, OR(CRC_War_Room_SIMs[[#This Row],[SLA Miss]] &lt;&gt; "", ISNUMBER(SEARCH("SLA", CRC_War_Room_SIMs[[#This Row],[Labels]])))), 1, 0)</f>
        <v>0</v>
      </c>
    </row>
    <row r="1577" spans="1:16" x14ac:dyDescent="0.25">
      <c r="A1577" t="s">
        <v>4319</v>
      </c>
      <c r="B1577" t="s">
        <v>4297</v>
      </c>
      <c r="C1577" t="s">
        <v>4295</v>
      </c>
      <c r="H157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77" s="49">
        <f ca="1">IFERROR(WEEKNUM(CRC_War_Room_SIMs[[#This Row],[Ops Date]]), "N/A")</f>
        <v>27</v>
      </c>
      <c r="J157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7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7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77" s="50">
        <f>IF(AND(CRC_War_Room_SIMs[[#This Row],[CI]] = 0, CRC_War_Room_SIMs[[#This Row],[Miss]] = 1), 1, 0)</f>
        <v>0</v>
      </c>
      <c r="N157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7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77" s="50">
        <f>IF(AND(CRC_War_Room_SIMs[[#This Row],[Excluded]] = 0, OR(CRC_War_Room_SIMs[[#This Row],[SLA Miss]] &lt;&gt; "", ISNUMBER(SEARCH("SLA", CRC_War_Room_SIMs[[#This Row],[Labels]])))), 1, 0)</f>
        <v>0</v>
      </c>
    </row>
    <row r="1578" spans="1:16" x14ac:dyDescent="0.25">
      <c r="A1578" t="s">
        <v>4320</v>
      </c>
      <c r="B1578" t="s">
        <v>4302</v>
      </c>
      <c r="C1578" t="s">
        <v>4295</v>
      </c>
      <c r="H157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78" s="49">
        <f ca="1">IFERROR(WEEKNUM(CRC_War_Room_SIMs[[#This Row],[Ops Date]]), "N/A")</f>
        <v>27</v>
      </c>
      <c r="J157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7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7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78" s="50">
        <f>IF(AND(CRC_War_Room_SIMs[[#This Row],[CI]] = 0, CRC_War_Room_SIMs[[#This Row],[Miss]] = 1), 1, 0)</f>
        <v>0</v>
      </c>
      <c r="N157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7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78" s="50">
        <f>IF(AND(CRC_War_Room_SIMs[[#This Row],[Excluded]] = 0, OR(CRC_War_Room_SIMs[[#This Row],[SLA Miss]] &lt;&gt; "", ISNUMBER(SEARCH("SLA", CRC_War_Room_SIMs[[#This Row],[Labels]])))), 1, 0)</f>
        <v>0</v>
      </c>
    </row>
    <row r="1579" spans="1:16" x14ac:dyDescent="0.25">
      <c r="A1579" t="s">
        <v>4321</v>
      </c>
      <c r="B1579" t="s">
        <v>4293</v>
      </c>
      <c r="C1579" t="s">
        <v>4295</v>
      </c>
      <c r="H157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79" s="49">
        <f ca="1">IFERROR(WEEKNUM(CRC_War_Room_SIMs[[#This Row],[Ops Date]]), "N/A")</f>
        <v>27</v>
      </c>
      <c r="J157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7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7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79" s="50">
        <f>IF(AND(CRC_War_Room_SIMs[[#This Row],[CI]] = 0, CRC_War_Room_SIMs[[#This Row],[Miss]] = 1), 1, 0)</f>
        <v>0</v>
      </c>
      <c r="N157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7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79" s="50">
        <f>IF(AND(CRC_War_Room_SIMs[[#This Row],[Excluded]] = 0, OR(CRC_War_Room_SIMs[[#This Row],[SLA Miss]] &lt;&gt; "", ISNUMBER(SEARCH("SLA", CRC_War_Room_SIMs[[#This Row],[Labels]])))), 1, 0)</f>
        <v>0</v>
      </c>
    </row>
    <row r="1580" spans="1:16" x14ac:dyDescent="0.25">
      <c r="A1580" t="s">
        <v>4322</v>
      </c>
      <c r="B1580" t="s">
        <v>4290</v>
      </c>
      <c r="C1580" t="s">
        <v>4295</v>
      </c>
      <c r="H158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80" s="49">
        <f ca="1">IFERROR(WEEKNUM(CRC_War_Room_SIMs[[#This Row],[Ops Date]]), "N/A")</f>
        <v>27</v>
      </c>
      <c r="J158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8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8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80" s="50">
        <f>IF(AND(CRC_War_Room_SIMs[[#This Row],[CI]] = 0, CRC_War_Room_SIMs[[#This Row],[Miss]] = 1), 1, 0)</f>
        <v>0</v>
      </c>
      <c r="N158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8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80" s="50">
        <f>IF(AND(CRC_War_Room_SIMs[[#This Row],[Excluded]] = 0, OR(CRC_War_Room_SIMs[[#This Row],[SLA Miss]] &lt;&gt; "", ISNUMBER(SEARCH("SLA", CRC_War_Room_SIMs[[#This Row],[Labels]])))), 1, 0)</f>
        <v>0</v>
      </c>
    </row>
    <row r="1581" spans="1:16" x14ac:dyDescent="0.25">
      <c r="A1581" t="s">
        <v>4323</v>
      </c>
      <c r="B1581" t="s">
        <v>4293</v>
      </c>
      <c r="C1581" t="s">
        <v>4295</v>
      </c>
      <c r="H158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81" s="49">
        <f ca="1">IFERROR(WEEKNUM(CRC_War_Room_SIMs[[#This Row],[Ops Date]]), "N/A")</f>
        <v>27</v>
      </c>
      <c r="J158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8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8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81" s="50">
        <f>IF(AND(CRC_War_Room_SIMs[[#This Row],[CI]] = 0, CRC_War_Room_SIMs[[#This Row],[Miss]] = 1), 1, 0)</f>
        <v>0</v>
      </c>
      <c r="N158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8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81" s="50">
        <f>IF(AND(CRC_War_Room_SIMs[[#This Row],[Excluded]] = 0, OR(CRC_War_Room_SIMs[[#This Row],[SLA Miss]] &lt;&gt; "", ISNUMBER(SEARCH("SLA", CRC_War_Room_SIMs[[#This Row],[Labels]])))), 1, 0)</f>
        <v>0</v>
      </c>
    </row>
    <row r="1582" spans="1:16" x14ac:dyDescent="0.25">
      <c r="A1582" t="s">
        <v>4324</v>
      </c>
      <c r="B1582" t="s">
        <v>4299</v>
      </c>
      <c r="C1582" t="s">
        <v>4295</v>
      </c>
      <c r="H158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82" s="49">
        <f ca="1">IFERROR(WEEKNUM(CRC_War_Room_SIMs[[#This Row],[Ops Date]]), "N/A")</f>
        <v>27</v>
      </c>
      <c r="J158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8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8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82" s="50">
        <f>IF(AND(CRC_War_Room_SIMs[[#This Row],[CI]] = 0, CRC_War_Room_SIMs[[#This Row],[Miss]] = 1), 1, 0)</f>
        <v>0</v>
      </c>
      <c r="N158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8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82" s="50">
        <f>IF(AND(CRC_War_Room_SIMs[[#This Row],[Excluded]] = 0, OR(CRC_War_Room_SIMs[[#This Row],[SLA Miss]] &lt;&gt; "", ISNUMBER(SEARCH("SLA", CRC_War_Room_SIMs[[#This Row],[Labels]])))), 1, 0)</f>
        <v>0</v>
      </c>
    </row>
    <row r="1583" spans="1:16" x14ac:dyDescent="0.25">
      <c r="A1583" t="s">
        <v>4325</v>
      </c>
      <c r="B1583" t="s">
        <v>4326</v>
      </c>
      <c r="C1583" t="s">
        <v>4295</v>
      </c>
      <c r="H158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83" s="49">
        <f ca="1">IFERROR(WEEKNUM(CRC_War_Room_SIMs[[#This Row],[Ops Date]]), "N/A")</f>
        <v>27</v>
      </c>
      <c r="J158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8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8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83" s="50">
        <f>IF(AND(CRC_War_Room_SIMs[[#This Row],[CI]] = 0, CRC_War_Room_SIMs[[#This Row],[Miss]] = 1), 1, 0)</f>
        <v>0</v>
      </c>
      <c r="N158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8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83" s="50">
        <f>IF(AND(CRC_War_Room_SIMs[[#This Row],[Excluded]] = 0, OR(CRC_War_Room_SIMs[[#This Row],[SLA Miss]] &lt;&gt; "", ISNUMBER(SEARCH("SLA", CRC_War_Room_SIMs[[#This Row],[Labels]])))), 1, 0)</f>
        <v>0</v>
      </c>
    </row>
    <row r="1584" spans="1:16" x14ac:dyDescent="0.25">
      <c r="A1584" t="s">
        <v>4327</v>
      </c>
      <c r="B1584" t="s">
        <v>4328</v>
      </c>
      <c r="C1584" t="s">
        <v>4295</v>
      </c>
      <c r="H158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84" s="49">
        <f ca="1">IFERROR(WEEKNUM(CRC_War_Room_SIMs[[#This Row],[Ops Date]]), "N/A")</f>
        <v>27</v>
      </c>
      <c r="J158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8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8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84" s="50">
        <f>IF(AND(CRC_War_Room_SIMs[[#This Row],[CI]] = 0, CRC_War_Room_SIMs[[#This Row],[Miss]] = 1), 1, 0)</f>
        <v>0</v>
      </c>
      <c r="N158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8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84" s="50">
        <f>IF(AND(CRC_War_Room_SIMs[[#This Row],[Excluded]] = 0, OR(CRC_War_Room_SIMs[[#This Row],[SLA Miss]] &lt;&gt; "", ISNUMBER(SEARCH("SLA", CRC_War_Room_SIMs[[#This Row],[Labels]])))), 1, 0)</f>
        <v>0</v>
      </c>
    </row>
    <row r="1585" spans="1:16" x14ac:dyDescent="0.25">
      <c r="A1585" t="s">
        <v>4329</v>
      </c>
      <c r="B1585" t="s">
        <v>4330</v>
      </c>
      <c r="C1585" t="s">
        <v>4295</v>
      </c>
      <c r="H158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85" s="49">
        <f ca="1">IFERROR(WEEKNUM(CRC_War_Room_SIMs[[#This Row],[Ops Date]]), "N/A")</f>
        <v>27</v>
      </c>
      <c r="J158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8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8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85" s="50">
        <f>IF(AND(CRC_War_Room_SIMs[[#This Row],[CI]] = 0, CRC_War_Room_SIMs[[#This Row],[Miss]] = 1), 1, 0)</f>
        <v>0</v>
      </c>
      <c r="N158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8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85" s="50">
        <f>IF(AND(CRC_War_Room_SIMs[[#This Row],[Excluded]] = 0, OR(CRC_War_Room_SIMs[[#This Row],[SLA Miss]] &lt;&gt; "", ISNUMBER(SEARCH("SLA", CRC_War_Room_SIMs[[#This Row],[Labels]])))), 1, 0)</f>
        <v>0</v>
      </c>
    </row>
    <row r="1586" spans="1:16" x14ac:dyDescent="0.25">
      <c r="A1586" t="s">
        <v>4331</v>
      </c>
      <c r="B1586" t="s">
        <v>4326</v>
      </c>
      <c r="C1586" t="s">
        <v>4295</v>
      </c>
      <c r="H158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86" s="49">
        <f ca="1">IFERROR(WEEKNUM(CRC_War_Room_SIMs[[#This Row],[Ops Date]]), "N/A")</f>
        <v>27</v>
      </c>
      <c r="J158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8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8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86" s="50">
        <f>IF(AND(CRC_War_Room_SIMs[[#This Row],[CI]] = 0, CRC_War_Room_SIMs[[#This Row],[Miss]] = 1), 1, 0)</f>
        <v>0</v>
      </c>
      <c r="N158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8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86" s="50">
        <f>IF(AND(CRC_War_Room_SIMs[[#This Row],[Excluded]] = 0, OR(CRC_War_Room_SIMs[[#This Row],[SLA Miss]] &lt;&gt; "", ISNUMBER(SEARCH("SLA", CRC_War_Room_SIMs[[#This Row],[Labels]])))), 1, 0)</f>
        <v>0</v>
      </c>
    </row>
    <row r="1587" spans="1:16" x14ac:dyDescent="0.25">
      <c r="A1587" t="s">
        <v>4332</v>
      </c>
      <c r="B1587" t="s">
        <v>4330</v>
      </c>
      <c r="C1587" t="s">
        <v>4295</v>
      </c>
      <c r="H158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87" s="49">
        <f ca="1">IFERROR(WEEKNUM(CRC_War_Room_SIMs[[#This Row],[Ops Date]]), "N/A")</f>
        <v>27</v>
      </c>
      <c r="J158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8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8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87" s="50">
        <f>IF(AND(CRC_War_Room_SIMs[[#This Row],[CI]] = 0, CRC_War_Room_SIMs[[#This Row],[Miss]] = 1), 1, 0)</f>
        <v>0</v>
      </c>
      <c r="N158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8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87" s="50">
        <f>IF(AND(CRC_War_Room_SIMs[[#This Row],[Excluded]] = 0, OR(CRC_War_Room_SIMs[[#This Row],[SLA Miss]] &lt;&gt; "", ISNUMBER(SEARCH("SLA", CRC_War_Room_SIMs[[#This Row],[Labels]])))), 1, 0)</f>
        <v>0</v>
      </c>
    </row>
    <row r="1588" spans="1:16" x14ac:dyDescent="0.25">
      <c r="A1588" t="s">
        <v>4333</v>
      </c>
      <c r="B1588" t="s">
        <v>4299</v>
      </c>
      <c r="C1588" t="s">
        <v>4295</v>
      </c>
      <c r="H158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88" s="49">
        <f ca="1">IFERROR(WEEKNUM(CRC_War_Room_SIMs[[#This Row],[Ops Date]]), "N/A")</f>
        <v>27</v>
      </c>
      <c r="J158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8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8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88" s="50">
        <f>IF(AND(CRC_War_Room_SIMs[[#This Row],[CI]] = 0, CRC_War_Room_SIMs[[#This Row],[Miss]] = 1), 1, 0)</f>
        <v>0</v>
      </c>
      <c r="N158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8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88" s="50">
        <f>IF(AND(CRC_War_Room_SIMs[[#This Row],[Excluded]] = 0, OR(CRC_War_Room_SIMs[[#This Row],[SLA Miss]] &lt;&gt; "", ISNUMBER(SEARCH("SLA", CRC_War_Room_SIMs[[#This Row],[Labels]])))), 1, 0)</f>
        <v>0</v>
      </c>
    </row>
    <row r="1589" spans="1:16" x14ac:dyDescent="0.25">
      <c r="A1589" t="s">
        <v>4334</v>
      </c>
      <c r="B1589" t="s">
        <v>4326</v>
      </c>
      <c r="C1589" t="s">
        <v>4295</v>
      </c>
      <c r="H158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89" s="49">
        <f ca="1">IFERROR(WEEKNUM(CRC_War_Room_SIMs[[#This Row],[Ops Date]]), "N/A")</f>
        <v>27</v>
      </c>
      <c r="J158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8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8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89" s="50">
        <f>IF(AND(CRC_War_Room_SIMs[[#This Row],[CI]] = 0, CRC_War_Room_SIMs[[#This Row],[Miss]] = 1), 1, 0)</f>
        <v>0</v>
      </c>
      <c r="N158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8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89" s="50">
        <f>IF(AND(CRC_War_Room_SIMs[[#This Row],[Excluded]] = 0, OR(CRC_War_Room_SIMs[[#This Row],[SLA Miss]] &lt;&gt; "", ISNUMBER(SEARCH("SLA", CRC_War_Room_SIMs[[#This Row],[Labels]])))), 1, 0)</f>
        <v>0</v>
      </c>
    </row>
    <row r="1590" spans="1:16" x14ac:dyDescent="0.25">
      <c r="A1590" t="s">
        <v>4335</v>
      </c>
      <c r="B1590" t="s">
        <v>4328</v>
      </c>
      <c r="C1590" t="s">
        <v>4295</v>
      </c>
      <c r="H159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90" s="49">
        <f ca="1">IFERROR(WEEKNUM(CRC_War_Room_SIMs[[#This Row],[Ops Date]]), "N/A")</f>
        <v>27</v>
      </c>
      <c r="J159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9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9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90" s="50">
        <f>IF(AND(CRC_War_Room_SIMs[[#This Row],[CI]] = 0, CRC_War_Room_SIMs[[#This Row],[Miss]] = 1), 1, 0)</f>
        <v>0</v>
      </c>
      <c r="N159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9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90" s="50">
        <f>IF(AND(CRC_War_Room_SIMs[[#This Row],[Excluded]] = 0, OR(CRC_War_Room_SIMs[[#This Row],[SLA Miss]] &lt;&gt; "", ISNUMBER(SEARCH("SLA", CRC_War_Room_SIMs[[#This Row],[Labels]])))), 1, 0)</f>
        <v>0</v>
      </c>
    </row>
    <row r="1591" spans="1:16" x14ac:dyDescent="0.25">
      <c r="A1591" t="s">
        <v>4336</v>
      </c>
      <c r="B1591" t="s">
        <v>4330</v>
      </c>
      <c r="C1591" t="s">
        <v>4295</v>
      </c>
      <c r="H159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45479</v>
      </c>
      <c r="I1591" s="49">
        <f ca="1">IFERROR(WEEKNUM(CRC_War_Room_SIMs[[#This Row],[Ops Date]]), "N/A")</f>
        <v>27</v>
      </c>
      <c r="J159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9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9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91" s="50">
        <f>IF(AND(CRC_War_Room_SIMs[[#This Row],[CI]] = 0, CRC_War_Room_SIMs[[#This Row],[Miss]] = 1), 1, 0)</f>
        <v>0</v>
      </c>
      <c r="N159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9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91" s="50">
        <f>IF(AND(CRC_War_Room_SIMs[[#This Row],[Excluded]] = 0, OR(CRC_War_Room_SIMs[[#This Row],[SLA Miss]] &lt;&gt; "", ISNUMBER(SEARCH("SLA", CRC_War_Room_SIMs[[#This Row],[Labels]])))), 1, 0)</f>
        <v>0</v>
      </c>
    </row>
    <row r="1592" spans="1:16" x14ac:dyDescent="0.25">
      <c r="A1592" t="s">
        <v>4337</v>
      </c>
      <c r="B1592" t="s">
        <v>4338</v>
      </c>
      <c r="C1592" t="s">
        <v>4339</v>
      </c>
      <c r="H159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45477</v>
      </c>
      <c r="I1592" s="49">
        <f ca="1">IFERROR(WEEKNUM(CRC_War_Room_SIMs[[#This Row],[Ops Date]]), "N/A")</f>
        <v>27</v>
      </c>
      <c r="J159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9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9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92" s="50">
        <f>IF(AND(CRC_War_Room_SIMs[[#This Row],[CI]] = 0, CRC_War_Room_SIMs[[#This Row],[Miss]] = 1), 1, 0)</f>
        <v>0</v>
      </c>
      <c r="N159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9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92" s="50">
        <f>IF(AND(CRC_War_Room_SIMs[[#This Row],[Excluded]] = 0, OR(CRC_War_Room_SIMs[[#This Row],[SLA Miss]] &lt;&gt; "", ISNUMBER(SEARCH("SLA", CRC_War_Room_SIMs[[#This Row],[Labels]])))), 1, 0)</f>
        <v>0</v>
      </c>
    </row>
    <row r="1593" spans="1:16" x14ac:dyDescent="0.25">
      <c r="A1593" t="s">
        <v>4340</v>
      </c>
      <c r="B1593" t="s">
        <v>4341</v>
      </c>
      <c r="C1593" t="s">
        <v>4339</v>
      </c>
      <c r="H159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45477</v>
      </c>
      <c r="I1593" s="49">
        <f ca="1">IFERROR(WEEKNUM(CRC_War_Room_SIMs[[#This Row],[Ops Date]]), "N/A")</f>
        <v>27</v>
      </c>
      <c r="J159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9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9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93" s="50">
        <f>IF(AND(CRC_War_Room_SIMs[[#This Row],[CI]] = 0, CRC_War_Room_SIMs[[#This Row],[Miss]] = 1), 1, 0)</f>
        <v>0</v>
      </c>
      <c r="N159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9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93" s="50">
        <f>IF(AND(CRC_War_Room_SIMs[[#This Row],[Excluded]] = 0, OR(CRC_War_Room_SIMs[[#This Row],[SLA Miss]] &lt;&gt; "", ISNUMBER(SEARCH("SLA", CRC_War_Room_SIMs[[#This Row],[Labels]])))), 1, 0)</f>
        <v>0</v>
      </c>
    </row>
    <row r="1594" spans="1:16" x14ac:dyDescent="0.25">
      <c r="A1594" t="s">
        <v>4342</v>
      </c>
      <c r="B1594" t="s">
        <v>4343</v>
      </c>
      <c r="C1594" t="s">
        <v>4339</v>
      </c>
      <c r="H159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45477</v>
      </c>
      <c r="I1594" s="49">
        <f ca="1">IFERROR(WEEKNUM(CRC_War_Room_SIMs[[#This Row],[Ops Date]]), "N/A")</f>
        <v>27</v>
      </c>
      <c r="J159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9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9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94" s="50">
        <f>IF(AND(CRC_War_Room_SIMs[[#This Row],[CI]] = 0, CRC_War_Room_SIMs[[#This Row],[Miss]] = 1), 1, 0)</f>
        <v>0</v>
      </c>
      <c r="N159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9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94" s="50">
        <f>IF(AND(CRC_War_Room_SIMs[[#This Row],[Excluded]] = 0, OR(CRC_War_Room_SIMs[[#This Row],[SLA Miss]] &lt;&gt; "", ISNUMBER(SEARCH("SLA", CRC_War_Room_SIMs[[#This Row],[Labels]])))), 1, 0)</f>
        <v>0</v>
      </c>
    </row>
    <row r="1595" spans="1:16" x14ac:dyDescent="0.25">
      <c r="A1595" t="s">
        <v>4344</v>
      </c>
      <c r="B1595" t="s">
        <v>4345</v>
      </c>
      <c r="C1595" t="s">
        <v>4339</v>
      </c>
      <c r="H159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45477</v>
      </c>
      <c r="I1595" s="49">
        <f ca="1">IFERROR(WEEKNUM(CRC_War_Room_SIMs[[#This Row],[Ops Date]]), "N/A")</f>
        <v>27</v>
      </c>
      <c r="J159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9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9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95" s="50">
        <f>IF(AND(CRC_War_Room_SIMs[[#This Row],[CI]] = 0, CRC_War_Room_SIMs[[#This Row],[Miss]] = 1), 1, 0)</f>
        <v>0</v>
      </c>
      <c r="N159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9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95" s="50">
        <f>IF(AND(CRC_War_Room_SIMs[[#This Row],[Excluded]] = 0, OR(CRC_War_Room_SIMs[[#This Row],[SLA Miss]] &lt;&gt; "", ISNUMBER(SEARCH("SLA", CRC_War_Room_SIMs[[#This Row],[Labels]])))), 1, 0)</f>
        <v>0</v>
      </c>
    </row>
    <row r="1596" spans="1:16" x14ac:dyDescent="0.25">
      <c r="A1596" t="s">
        <v>4346</v>
      </c>
      <c r="B1596" t="s">
        <v>4341</v>
      </c>
      <c r="C1596" t="s">
        <v>4339</v>
      </c>
      <c r="H159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45477</v>
      </c>
      <c r="I1596" s="49">
        <f ca="1">IFERROR(WEEKNUM(CRC_War_Room_SIMs[[#This Row],[Ops Date]]), "N/A")</f>
        <v>27</v>
      </c>
      <c r="J159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9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9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96" s="50">
        <f>IF(AND(CRC_War_Room_SIMs[[#This Row],[CI]] = 0, CRC_War_Room_SIMs[[#This Row],[Miss]] = 1), 1, 0)</f>
        <v>0</v>
      </c>
      <c r="N159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9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96" s="50">
        <f>IF(AND(CRC_War_Room_SIMs[[#This Row],[Excluded]] = 0, OR(CRC_War_Room_SIMs[[#This Row],[SLA Miss]] &lt;&gt; "", ISNUMBER(SEARCH("SLA", CRC_War_Room_SIMs[[#This Row],[Labels]])))), 1, 0)</f>
        <v>0</v>
      </c>
    </row>
    <row r="1597" spans="1:16" x14ac:dyDescent="0.25">
      <c r="A1597" t="s">
        <v>4347</v>
      </c>
      <c r="B1597" t="s">
        <v>4338</v>
      </c>
      <c r="C1597" t="s">
        <v>4339</v>
      </c>
      <c r="H159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45477</v>
      </c>
      <c r="I1597" s="49">
        <f ca="1">IFERROR(WEEKNUM(CRC_War_Room_SIMs[[#This Row],[Ops Date]]), "N/A")</f>
        <v>27</v>
      </c>
      <c r="J159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9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9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97" s="50">
        <f>IF(AND(CRC_War_Room_SIMs[[#This Row],[CI]] = 0, CRC_War_Room_SIMs[[#This Row],[Miss]] = 1), 1, 0)</f>
        <v>0</v>
      </c>
      <c r="N159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9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97" s="50">
        <f>IF(AND(CRC_War_Room_SIMs[[#This Row],[Excluded]] = 0, OR(CRC_War_Room_SIMs[[#This Row],[SLA Miss]] &lt;&gt; "", ISNUMBER(SEARCH("SLA", CRC_War_Room_SIMs[[#This Row],[Labels]])))), 1, 0)</f>
        <v>0</v>
      </c>
    </row>
    <row r="1598" spans="1:16" x14ac:dyDescent="0.25">
      <c r="A1598" t="s">
        <v>4348</v>
      </c>
      <c r="B1598" t="s">
        <v>4349</v>
      </c>
      <c r="C1598" t="s">
        <v>4339</v>
      </c>
      <c r="H159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45477</v>
      </c>
      <c r="I1598" s="49">
        <f ca="1">IFERROR(WEEKNUM(CRC_War_Room_SIMs[[#This Row],[Ops Date]]), "N/A")</f>
        <v>27</v>
      </c>
      <c r="J159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9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9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98" s="50">
        <f>IF(AND(CRC_War_Room_SIMs[[#This Row],[CI]] = 0, CRC_War_Room_SIMs[[#This Row],[Miss]] = 1), 1, 0)</f>
        <v>0</v>
      </c>
      <c r="N159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9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98" s="50">
        <f>IF(AND(CRC_War_Room_SIMs[[#This Row],[Excluded]] = 0, OR(CRC_War_Room_SIMs[[#This Row],[SLA Miss]] &lt;&gt; "", ISNUMBER(SEARCH("SLA", CRC_War_Room_SIMs[[#This Row],[Labels]])))), 1, 0)</f>
        <v>0</v>
      </c>
    </row>
    <row r="1599" spans="1:16" x14ac:dyDescent="0.25">
      <c r="A1599" t="s">
        <v>4350</v>
      </c>
      <c r="B1599" t="s">
        <v>4343</v>
      </c>
      <c r="C1599" t="s">
        <v>4339</v>
      </c>
      <c r="H159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45477</v>
      </c>
      <c r="I1599" s="49">
        <f ca="1">IFERROR(WEEKNUM(CRC_War_Room_SIMs[[#This Row],[Ops Date]]), "N/A")</f>
        <v>27</v>
      </c>
      <c r="J159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59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59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599" s="50">
        <f>IF(AND(CRC_War_Room_SIMs[[#This Row],[CI]] = 0, CRC_War_Room_SIMs[[#This Row],[Miss]] = 1), 1, 0)</f>
        <v>0</v>
      </c>
      <c r="N159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59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599" s="50">
        <f>IF(AND(CRC_War_Room_SIMs[[#This Row],[Excluded]] = 0, OR(CRC_War_Room_SIMs[[#This Row],[SLA Miss]] &lt;&gt; "", ISNUMBER(SEARCH("SLA", CRC_War_Room_SIMs[[#This Row],[Labels]])))), 1, 0)</f>
        <v>0</v>
      </c>
    </row>
    <row r="1600" spans="1:16" x14ac:dyDescent="0.25">
      <c r="A1600" t="s">
        <v>4351</v>
      </c>
      <c r="B1600" t="s">
        <v>4352</v>
      </c>
      <c r="C1600" t="s">
        <v>4339</v>
      </c>
      <c r="H160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45477</v>
      </c>
      <c r="I1600" s="49">
        <f ca="1">IFERROR(WEEKNUM(CRC_War_Room_SIMs[[#This Row],[Ops Date]]), "N/A")</f>
        <v>27</v>
      </c>
      <c r="J160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0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0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00" s="50">
        <f>IF(AND(CRC_War_Room_SIMs[[#This Row],[CI]] = 0, CRC_War_Room_SIMs[[#This Row],[Miss]] = 1), 1, 0)</f>
        <v>0</v>
      </c>
      <c r="N160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0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00" s="50">
        <f>IF(AND(CRC_War_Room_SIMs[[#This Row],[Excluded]] = 0, OR(CRC_War_Room_SIMs[[#This Row],[SLA Miss]] &lt;&gt; "", ISNUMBER(SEARCH("SLA", CRC_War_Room_SIMs[[#This Row],[Labels]])))), 1, 0)</f>
        <v>0</v>
      </c>
    </row>
    <row r="1601" spans="1:16" x14ac:dyDescent="0.25">
      <c r="A1601" t="s">
        <v>4353</v>
      </c>
      <c r="B1601" t="s">
        <v>4354</v>
      </c>
      <c r="C1601" t="s">
        <v>4339</v>
      </c>
      <c r="H160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45477</v>
      </c>
      <c r="I1601" s="49">
        <f ca="1">IFERROR(WEEKNUM(CRC_War_Room_SIMs[[#This Row],[Ops Date]]), "N/A")</f>
        <v>27</v>
      </c>
      <c r="J160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0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0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01" s="50">
        <f>IF(AND(CRC_War_Room_SIMs[[#This Row],[CI]] = 0, CRC_War_Room_SIMs[[#This Row],[Miss]] = 1), 1, 0)</f>
        <v>0</v>
      </c>
      <c r="N160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0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01" s="50">
        <f>IF(AND(CRC_War_Room_SIMs[[#This Row],[Excluded]] = 0, OR(CRC_War_Room_SIMs[[#This Row],[SLA Miss]] &lt;&gt; "", ISNUMBER(SEARCH("SLA", CRC_War_Room_SIMs[[#This Row],[Labels]])))), 1, 0)</f>
        <v>0</v>
      </c>
    </row>
    <row r="1602" spans="1:16" x14ac:dyDescent="0.25">
      <c r="A1602" t="s">
        <v>4355</v>
      </c>
      <c r="B1602" t="s">
        <v>4356</v>
      </c>
      <c r="C1602" t="s">
        <v>4339</v>
      </c>
      <c r="H160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45477</v>
      </c>
      <c r="I1602" s="49">
        <f ca="1">IFERROR(WEEKNUM(CRC_War_Room_SIMs[[#This Row],[Ops Date]]), "N/A")</f>
        <v>27</v>
      </c>
      <c r="J160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0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0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02" s="50">
        <f>IF(AND(CRC_War_Room_SIMs[[#This Row],[CI]] = 0, CRC_War_Room_SIMs[[#This Row],[Miss]] = 1), 1, 0)</f>
        <v>0</v>
      </c>
      <c r="N160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0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02" s="50">
        <f>IF(AND(CRC_War_Room_SIMs[[#This Row],[Excluded]] = 0, OR(CRC_War_Room_SIMs[[#This Row],[SLA Miss]] &lt;&gt; "", ISNUMBER(SEARCH("SLA", CRC_War_Room_SIMs[[#This Row],[Labels]])))), 1, 0)</f>
        <v>0</v>
      </c>
    </row>
    <row r="1603" spans="1:16" x14ac:dyDescent="0.25">
      <c r="A1603" t="s">
        <v>4357</v>
      </c>
      <c r="B1603" t="s">
        <v>4341</v>
      </c>
      <c r="C1603" t="s">
        <v>4339</v>
      </c>
      <c r="H160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45477</v>
      </c>
      <c r="I1603" s="49">
        <f ca="1">IFERROR(WEEKNUM(CRC_War_Room_SIMs[[#This Row],[Ops Date]]), "N/A")</f>
        <v>27</v>
      </c>
      <c r="J160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0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0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03" s="50">
        <f>IF(AND(CRC_War_Room_SIMs[[#This Row],[CI]] = 0, CRC_War_Room_SIMs[[#This Row],[Miss]] = 1), 1, 0)</f>
        <v>0</v>
      </c>
      <c r="N160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0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03" s="50">
        <f>IF(AND(CRC_War_Room_SIMs[[#This Row],[Excluded]] = 0, OR(CRC_War_Room_SIMs[[#This Row],[SLA Miss]] &lt;&gt; "", ISNUMBER(SEARCH("SLA", CRC_War_Room_SIMs[[#This Row],[Labels]])))), 1, 0)</f>
        <v>0</v>
      </c>
    </row>
    <row r="1604" spans="1:16" x14ac:dyDescent="0.25">
      <c r="A1604" t="s">
        <v>4358</v>
      </c>
      <c r="B1604" t="s">
        <v>4338</v>
      </c>
      <c r="C1604" t="s">
        <v>4339</v>
      </c>
      <c r="H160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45477</v>
      </c>
      <c r="I1604" s="49">
        <f ca="1">IFERROR(WEEKNUM(CRC_War_Room_SIMs[[#This Row],[Ops Date]]), "N/A")</f>
        <v>27</v>
      </c>
      <c r="J160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0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0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04" s="50">
        <f>IF(AND(CRC_War_Room_SIMs[[#This Row],[CI]] = 0, CRC_War_Room_SIMs[[#This Row],[Miss]] = 1), 1, 0)</f>
        <v>0</v>
      </c>
      <c r="N160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0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04" s="50">
        <f>IF(AND(CRC_War_Room_SIMs[[#This Row],[Excluded]] = 0, OR(CRC_War_Room_SIMs[[#This Row],[SLA Miss]] &lt;&gt; "", ISNUMBER(SEARCH("SLA", CRC_War_Room_SIMs[[#This Row],[Labels]])))), 1, 0)</f>
        <v>0</v>
      </c>
    </row>
    <row r="1605" spans="1:16" x14ac:dyDescent="0.25">
      <c r="A1605" t="s">
        <v>4359</v>
      </c>
      <c r="B1605" t="s">
        <v>4343</v>
      </c>
      <c r="C1605" t="s">
        <v>4339</v>
      </c>
      <c r="H160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45477</v>
      </c>
      <c r="I1605" s="49">
        <f ca="1">IFERROR(WEEKNUM(CRC_War_Room_SIMs[[#This Row],[Ops Date]]), "N/A")</f>
        <v>27</v>
      </c>
      <c r="J160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0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0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05" s="50">
        <f>IF(AND(CRC_War_Room_SIMs[[#This Row],[CI]] = 0, CRC_War_Room_SIMs[[#This Row],[Miss]] = 1), 1, 0)</f>
        <v>0</v>
      </c>
      <c r="N160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0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05" s="50">
        <f>IF(AND(CRC_War_Room_SIMs[[#This Row],[Excluded]] = 0, OR(CRC_War_Room_SIMs[[#This Row],[SLA Miss]] &lt;&gt; "", ISNUMBER(SEARCH("SLA", CRC_War_Room_SIMs[[#This Row],[Labels]])))), 1, 0)</f>
        <v>0</v>
      </c>
    </row>
    <row r="1606" spans="1:16" x14ac:dyDescent="0.25">
      <c r="A1606" t="s">
        <v>4360</v>
      </c>
      <c r="B1606" t="s">
        <v>4345</v>
      </c>
      <c r="C1606" t="s">
        <v>4339</v>
      </c>
      <c r="H160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45477</v>
      </c>
      <c r="I1606" s="49">
        <f ca="1">IFERROR(WEEKNUM(CRC_War_Room_SIMs[[#This Row],[Ops Date]]), "N/A")</f>
        <v>27</v>
      </c>
      <c r="J160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0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0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06" s="50">
        <f>IF(AND(CRC_War_Room_SIMs[[#This Row],[CI]] = 0, CRC_War_Room_SIMs[[#This Row],[Miss]] = 1), 1, 0)</f>
        <v>0</v>
      </c>
      <c r="N160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0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06" s="50">
        <f>IF(AND(CRC_War_Room_SIMs[[#This Row],[Excluded]] = 0, OR(CRC_War_Room_SIMs[[#This Row],[SLA Miss]] &lt;&gt; "", ISNUMBER(SEARCH("SLA", CRC_War_Room_SIMs[[#This Row],[Labels]])))), 1, 0)</f>
        <v>0</v>
      </c>
    </row>
    <row r="1607" spans="1:16" x14ac:dyDescent="0.25">
      <c r="A1607" t="s">
        <v>4361</v>
      </c>
      <c r="B1607" t="s">
        <v>4349</v>
      </c>
      <c r="C1607" t="s">
        <v>4339</v>
      </c>
      <c r="H160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45477</v>
      </c>
      <c r="I1607" s="49">
        <f ca="1">IFERROR(WEEKNUM(CRC_War_Room_SIMs[[#This Row],[Ops Date]]), "N/A")</f>
        <v>27</v>
      </c>
      <c r="J160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0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0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07" s="50">
        <f>IF(AND(CRC_War_Room_SIMs[[#This Row],[CI]] = 0, CRC_War_Room_SIMs[[#This Row],[Miss]] = 1), 1, 0)</f>
        <v>0</v>
      </c>
      <c r="N160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0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07" s="50">
        <f>IF(AND(CRC_War_Room_SIMs[[#This Row],[Excluded]] = 0, OR(CRC_War_Room_SIMs[[#This Row],[SLA Miss]] &lt;&gt; "", ISNUMBER(SEARCH("SLA", CRC_War_Room_SIMs[[#This Row],[Labels]])))), 1, 0)</f>
        <v>0</v>
      </c>
    </row>
    <row r="1608" spans="1:16" x14ac:dyDescent="0.25">
      <c r="A1608" t="s">
        <v>4362</v>
      </c>
      <c r="B1608" t="s">
        <v>4354</v>
      </c>
      <c r="C1608" t="s">
        <v>4339</v>
      </c>
      <c r="H160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45477</v>
      </c>
      <c r="I1608" s="49">
        <f ca="1">IFERROR(WEEKNUM(CRC_War_Room_SIMs[[#This Row],[Ops Date]]), "N/A")</f>
        <v>27</v>
      </c>
      <c r="J160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0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0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08" s="50">
        <f>IF(AND(CRC_War_Room_SIMs[[#This Row],[CI]] = 0, CRC_War_Room_SIMs[[#This Row],[Miss]] = 1), 1, 0)</f>
        <v>0</v>
      </c>
      <c r="N160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0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08" s="50">
        <f>IF(AND(CRC_War_Room_SIMs[[#This Row],[Excluded]] = 0, OR(CRC_War_Room_SIMs[[#This Row],[SLA Miss]] &lt;&gt; "", ISNUMBER(SEARCH("SLA", CRC_War_Room_SIMs[[#This Row],[Labels]])))), 1, 0)</f>
        <v>0</v>
      </c>
    </row>
    <row r="1609" spans="1:16" x14ac:dyDescent="0.25">
      <c r="A1609" t="s">
        <v>4363</v>
      </c>
      <c r="B1609" t="s">
        <v>4356</v>
      </c>
      <c r="C1609" t="s">
        <v>4339</v>
      </c>
      <c r="H160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45477</v>
      </c>
      <c r="I1609" s="49">
        <f ca="1">IFERROR(WEEKNUM(CRC_War_Room_SIMs[[#This Row],[Ops Date]]), "N/A")</f>
        <v>27</v>
      </c>
      <c r="J160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0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0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09" s="50">
        <f>IF(AND(CRC_War_Room_SIMs[[#This Row],[CI]] = 0, CRC_War_Room_SIMs[[#This Row],[Miss]] = 1), 1, 0)</f>
        <v>0</v>
      </c>
      <c r="N160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0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09" s="50">
        <f>IF(AND(CRC_War_Room_SIMs[[#This Row],[Excluded]] = 0, OR(CRC_War_Room_SIMs[[#This Row],[SLA Miss]] &lt;&gt; "", ISNUMBER(SEARCH("SLA", CRC_War_Room_SIMs[[#This Row],[Labels]])))), 1, 0)</f>
        <v>0</v>
      </c>
    </row>
    <row r="1610" spans="1:16" x14ac:dyDescent="0.25">
      <c r="A1610" t="s">
        <v>4364</v>
      </c>
      <c r="B1610" t="s">
        <v>4365</v>
      </c>
      <c r="C1610" t="s">
        <v>4284</v>
      </c>
      <c r="H161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10" s="49">
        <f ca="1">IFERROR(WEEKNUM(CRC_War_Room_SIMs[[#This Row],[Ops Date]]), "N/A")</f>
        <v>27</v>
      </c>
      <c r="J161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1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1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10" s="50">
        <f>IF(AND(CRC_War_Room_SIMs[[#This Row],[CI]] = 0, CRC_War_Room_SIMs[[#This Row],[Miss]] = 1), 1, 0)</f>
        <v>0</v>
      </c>
      <c r="N161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1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10" s="50">
        <f>IF(AND(CRC_War_Room_SIMs[[#This Row],[Excluded]] = 0, OR(CRC_War_Room_SIMs[[#This Row],[SLA Miss]] &lt;&gt; "", ISNUMBER(SEARCH("SLA", CRC_War_Room_SIMs[[#This Row],[Labels]])))), 1, 0)</f>
        <v>0</v>
      </c>
    </row>
    <row r="1611" spans="1:16" x14ac:dyDescent="0.25">
      <c r="A1611" t="s">
        <v>4366</v>
      </c>
      <c r="B1611" t="s">
        <v>4367</v>
      </c>
      <c r="C1611" t="s">
        <v>4284</v>
      </c>
      <c r="H161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11" s="49">
        <f ca="1">IFERROR(WEEKNUM(CRC_War_Room_SIMs[[#This Row],[Ops Date]]), "N/A")</f>
        <v>27</v>
      </c>
      <c r="J161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1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1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11" s="50">
        <f>IF(AND(CRC_War_Room_SIMs[[#This Row],[CI]] = 0, CRC_War_Room_SIMs[[#This Row],[Miss]] = 1), 1, 0)</f>
        <v>0</v>
      </c>
      <c r="N161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1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11" s="50">
        <f>IF(AND(CRC_War_Room_SIMs[[#This Row],[Excluded]] = 0, OR(CRC_War_Room_SIMs[[#This Row],[SLA Miss]] &lt;&gt; "", ISNUMBER(SEARCH("SLA", CRC_War_Room_SIMs[[#This Row],[Labels]])))), 1, 0)</f>
        <v>0</v>
      </c>
    </row>
    <row r="1612" spans="1:16" x14ac:dyDescent="0.25">
      <c r="A1612" t="s">
        <v>4368</v>
      </c>
      <c r="B1612" t="s">
        <v>4369</v>
      </c>
      <c r="C1612" t="s">
        <v>4284</v>
      </c>
      <c r="H161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12" s="49">
        <f ca="1">IFERROR(WEEKNUM(CRC_War_Room_SIMs[[#This Row],[Ops Date]]), "N/A")</f>
        <v>27</v>
      </c>
      <c r="J161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1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1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12" s="50">
        <f>IF(AND(CRC_War_Room_SIMs[[#This Row],[CI]] = 0, CRC_War_Room_SIMs[[#This Row],[Miss]] = 1), 1, 0)</f>
        <v>0</v>
      </c>
      <c r="N161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1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12" s="50">
        <f>IF(AND(CRC_War_Room_SIMs[[#This Row],[Excluded]] = 0, OR(CRC_War_Room_SIMs[[#This Row],[SLA Miss]] &lt;&gt; "", ISNUMBER(SEARCH("SLA", CRC_War_Room_SIMs[[#This Row],[Labels]])))), 1, 0)</f>
        <v>0</v>
      </c>
    </row>
    <row r="1613" spans="1:16" x14ac:dyDescent="0.25">
      <c r="A1613" t="s">
        <v>4370</v>
      </c>
      <c r="B1613" t="s">
        <v>4371</v>
      </c>
      <c r="C1613" t="s">
        <v>4284</v>
      </c>
      <c r="H161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13" s="49">
        <f ca="1">IFERROR(WEEKNUM(CRC_War_Room_SIMs[[#This Row],[Ops Date]]), "N/A")</f>
        <v>27</v>
      </c>
      <c r="J161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1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1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13" s="50">
        <f>IF(AND(CRC_War_Room_SIMs[[#This Row],[CI]] = 0, CRC_War_Room_SIMs[[#This Row],[Miss]] = 1), 1, 0)</f>
        <v>0</v>
      </c>
      <c r="N161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1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13" s="50">
        <f>IF(AND(CRC_War_Room_SIMs[[#This Row],[Excluded]] = 0, OR(CRC_War_Room_SIMs[[#This Row],[SLA Miss]] &lt;&gt; "", ISNUMBER(SEARCH("SLA", CRC_War_Room_SIMs[[#This Row],[Labels]])))), 1, 0)</f>
        <v>0</v>
      </c>
    </row>
    <row r="1614" spans="1:16" x14ac:dyDescent="0.25">
      <c r="A1614" t="s">
        <v>4372</v>
      </c>
      <c r="B1614" t="s">
        <v>4367</v>
      </c>
      <c r="C1614" t="s">
        <v>4284</v>
      </c>
      <c r="H161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14" s="49">
        <f ca="1">IFERROR(WEEKNUM(CRC_War_Room_SIMs[[#This Row],[Ops Date]]), "N/A")</f>
        <v>27</v>
      </c>
      <c r="J161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1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1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14" s="50">
        <f>IF(AND(CRC_War_Room_SIMs[[#This Row],[CI]] = 0, CRC_War_Room_SIMs[[#This Row],[Miss]] = 1), 1, 0)</f>
        <v>0</v>
      </c>
      <c r="N161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1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14" s="50">
        <f>IF(AND(CRC_War_Room_SIMs[[#This Row],[Excluded]] = 0, OR(CRC_War_Room_SIMs[[#This Row],[SLA Miss]] &lt;&gt; "", ISNUMBER(SEARCH("SLA", CRC_War_Room_SIMs[[#This Row],[Labels]])))), 1, 0)</f>
        <v>0</v>
      </c>
    </row>
    <row r="1615" spans="1:16" x14ac:dyDescent="0.25">
      <c r="A1615" t="s">
        <v>4373</v>
      </c>
      <c r="B1615" t="s">
        <v>4371</v>
      </c>
      <c r="C1615" t="s">
        <v>4284</v>
      </c>
      <c r="H161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15" s="49">
        <f ca="1">IFERROR(WEEKNUM(CRC_War_Room_SIMs[[#This Row],[Ops Date]]), "N/A")</f>
        <v>27</v>
      </c>
      <c r="J161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1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1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15" s="50">
        <f>IF(AND(CRC_War_Room_SIMs[[#This Row],[CI]] = 0, CRC_War_Room_SIMs[[#This Row],[Miss]] = 1), 1, 0)</f>
        <v>0</v>
      </c>
      <c r="N161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1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15" s="50">
        <f>IF(AND(CRC_War_Room_SIMs[[#This Row],[Excluded]] = 0, OR(CRC_War_Room_SIMs[[#This Row],[SLA Miss]] &lt;&gt; "", ISNUMBER(SEARCH("SLA", CRC_War_Room_SIMs[[#This Row],[Labels]])))), 1, 0)</f>
        <v>0</v>
      </c>
    </row>
    <row r="1616" spans="1:16" x14ac:dyDescent="0.25">
      <c r="A1616" t="s">
        <v>4374</v>
      </c>
      <c r="B1616" t="s">
        <v>4280</v>
      </c>
      <c r="C1616" t="s">
        <v>4284</v>
      </c>
      <c r="H161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16" s="49">
        <f ca="1">IFERROR(WEEKNUM(CRC_War_Room_SIMs[[#This Row],[Ops Date]]), "N/A")</f>
        <v>27</v>
      </c>
      <c r="J161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1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1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16" s="50">
        <f>IF(AND(CRC_War_Room_SIMs[[#This Row],[CI]] = 0, CRC_War_Room_SIMs[[#This Row],[Miss]] = 1), 1, 0)</f>
        <v>0</v>
      </c>
      <c r="N161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1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16" s="50">
        <f>IF(AND(CRC_War_Room_SIMs[[#This Row],[Excluded]] = 0, OR(CRC_War_Room_SIMs[[#This Row],[SLA Miss]] &lt;&gt; "", ISNUMBER(SEARCH("SLA", CRC_War_Room_SIMs[[#This Row],[Labels]])))), 1, 0)</f>
        <v>0</v>
      </c>
    </row>
    <row r="1617" spans="1:16" x14ac:dyDescent="0.25">
      <c r="A1617" t="s">
        <v>4375</v>
      </c>
      <c r="B1617" t="s">
        <v>4369</v>
      </c>
      <c r="C1617" t="s">
        <v>4284</v>
      </c>
      <c r="H161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17" s="49">
        <f ca="1">IFERROR(WEEKNUM(CRC_War_Room_SIMs[[#This Row],[Ops Date]]), "N/A")</f>
        <v>27</v>
      </c>
      <c r="J161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1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1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17" s="50">
        <f>IF(AND(CRC_War_Room_SIMs[[#This Row],[CI]] = 0, CRC_War_Room_SIMs[[#This Row],[Miss]] = 1), 1, 0)</f>
        <v>0</v>
      </c>
      <c r="N161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1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17" s="50">
        <f>IF(AND(CRC_War_Room_SIMs[[#This Row],[Excluded]] = 0, OR(CRC_War_Room_SIMs[[#This Row],[SLA Miss]] &lt;&gt; "", ISNUMBER(SEARCH("SLA", CRC_War_Room_SIMs[[#This Row],[Labels]])))), 1, 0)</f>
        <v>0</v>
      </c>
    </row>
    <row r="1618" spans="1:16" x14ac:dyDescent="0.25">
      <c r="A1618" t="s">
        <v>4376</v>
      </c>
      <c r="B1618" t="s">
        <v>4280</v>
      </c>
      <c r="C1618" t="s">
        <v>4284</v>
      </c>
      <c r="H161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18" s="49">
        <f ca="1">IFERROR(WEEKNUM(CRC_War_Room_SIMs[[#This Row],[Ops Date]]), "N/A")</f>
        <v>27</v>
      </c>
      <c r="J161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1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1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18" s="50">
        <f>IF(AND(CRC_War_Room_SIMs[[#This Row],[CI]] = 0, CRC_War_Room_SIMs[[#This Row],[Miss]] = 1), 1, 0)</f>
        <v>0</v>
      </c>
      <c r="N161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1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18" s="50">
        <f>IF(AND(CRC_War_Room_SIMs[[#This Row],[Excluded]] = 0, OR(CRC_War_Room_SIMs[[#This Row],[SLA Miss]] &lt;&gt; "", ISNUMBER(SEARCH("SLA", CRC_War_Room_SIMs[[#This Row],[Labels]])))), 1, 0)</f>
        <v>0</v>
      </c>
    </row>
    <row r="1619" spans="1:16" x14ac:dyDescent="0.25">
      <c r="A1619" t="s">
        <v>4377</v>
      </c>
      <c r="B1619" t="s">
        <v>4371</v>
      </c>
      <c r="C1619" t="s">
        <v>4284</v>
      </c>
      <c r="H161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19" s="49">
        <f ca="1">IFERROR(WEEKNUM(CRC_War_Room_SIMs[[#This Row],[Ops Date]]), "N/A")</f>
        <v>27</v>
      </c>
      <c r="J161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1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1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19" s="50">
        <f>IF(AND(CRC_War_Room_SIMs[[#This Row],[CI]] = 0, CRC_War_Room_SIMs[[#This Row],[Miss]] = 1), 1, 0)</f>
        <v>0</v>
      </c>
      <c r="N161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1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19" s="50">
        <f>IF(AND(CRC_War_Room_SIMs[[#This Row],[Excluded]] = 0, OR(CRC_War_Room_SIMs[[#This Row],[SLA Miss]] &lt;&gt; "", ISNUMBER(SEARCH("SLA", CRC_War_Room_SIMs[[#This Row],[Labels]])))), 1, 0)</f>
        <v>0</v>
      </c>
    </row>
    <row r="1620" spans="1:16" x14ac:dyDescent="0.25">
      <c r="A1620" t="s">
        <v>4378</v>
      </c>
      <c r="B1620" t="s">
        <v>4371</v>
      </c>
      <c r="C1620" t="s">
        <v>4284</v>
      </c>
      <c r="H162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20" s="49">
        <f ca="1">IFERROR(WEEKNUM(CRC_War_Room_SIMs[[#This Row],[Ops Date]]), "N/A")</f>
        <v>27</v>
      </c>
      <c r="J162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2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2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20" s="50">
        <f>IF(AND(CRC_War_Room_SIMs[[#This Row],[CI]] = 0, CRC_War_Room_SIMs[[#This Row],[Miss]] = 1), 1, 0)</f>
        <v>0</v>
      </c>
      <c r="N162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2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20" s="50">
        <f>IF(AND(CRC_War_Room_SIMs[[#This Row],[Excluded]] = 0, OR(CRC_War_Room_SIMs[[#This Row],[SLA Miss]] &lt;&gt; "", ISNUMBER(SEARCH("SLA", CRC_War_Room_SIMs[[#This Row],[Labels]])))), 1, 0)</f>
        <v>0</v>
      </c>
    </row>
    <row r="1621" spans="1:16" x14ac:dyDescent="0.25">
      <c r="A1621" t="s">
        <v>4379</v>
      </c>
      <c r="B1621" t="s">
        <v>4367</v>
      </c>
      <c r="C1621" t="s">
        <v>4284</v>
      </c>
      <c r="H162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21" s="49">
        <f ca="1">IFERROR(WEEKNUM(CRC_War_Room_SIMs[[#This Row],[Ops Date]]), "N/A")</f>
        <v>27</v>
      </c>
      <c r="J162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2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2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21" s="50">
        <f>IF(AND(CRC_War_Room_SIMs[[#This Row],[CI]] = 0, CRC_War_Room_SIMs[[#This Row],[Miss]] = 1), 1, 0)</f>
        <v>0</v>
      </c>
      <c r="N162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2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21" s="50">
        <f>IF(AND(CRC_War_Room_SIMs[[#This Row],[Excluded]] = 0, OR(CRC_War_Room_SIMs[[#This Row],[SLA Miss]] &lt;&gt; "", ISNUMBER(SEARCH("SLA", CRC_War_Room_SIMs[[#This Row],[Labels]])))), 1, 0)</f>
        <v>0</v>
      </c>
    </row>
    <row r="1622" spans="1:16" x14ac:dyDescent="0.25">
      <c r="A1622" t="s">
        <v>4380</v>
      </c>
      <c r="B1622" t="s">
        <v>4369</v>
      </c>
      <c r="C1622" t="s">
        <v>4284</v>
      </c>
      <c r="H162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22" s="49">
        <f ca="1">IFERROR(WEEKNUM(CRC_War_Room_SIMs[[#This Row],[Ops Date]]), "N/A")</f>
        <v>27</v>
      </c>
      <c r="J162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2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2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22" s="50">
        <f>IF(AND(CRC_War_Room_SIMs[[#This Row],[CI]] = 0, CRC_War_Room_SIMs[[#This Row],[Miss]] = 1), 1, 0)</f>
        <v>0</v>
      </c>
      <c r="N162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2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22" s="50">
        <f>IF(AND(CRC_War_Room_SIMs[[#This Row],[Excluded]] = 0, OR(CRC_War_Room_SIMs[[#This Row],[SLA Miss]] &lt;&gt; "", ISNUMBER(SEARCH("SLA", CRC_War_Room_SIMs[[#This Row],[Labels]])))), 1, 0)</f>
        <v>0</v>
      </c>
    </row>
    <row r="1623" spans="1:16" x14ac:dyDescent="0.25">
      <c r="A1623" t="s">
        <v>4381</v>
      </c>
      <c r="B1623" t="s">
        <v>4369</v>
      </c>
      <c r="C1623" t="s">
        <v>4284</v>
      </c>
      <c r="H162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23" s="49">
        <f ca="1">IFERROR(WEEKNUM(CRC_War_Room_SIMs[[#This Row],[Ops Date]]), "N/A")</f>
        <v>27</v>
      </c>
      <c r="J162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2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2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23" s="50">
        <f>IF(AND(CRC_War_Room_SIMs[[#This Row],[CI]] = 0, CRC_War_Room_SIMs[[#This Row],[Miss]] = 1), 1, 0)</f>
        <v>0</v>
      </c>
      <c r="N162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2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23" s="50">
        <f>IF(AND(CRC_War_Room_SIMs[[#This Row],[Excluded]] = 0, OR(CRC_War_Room_SIMs[[#This Row],[SLA Miss]] &lt;&gt; "", ISNUMBER(SEARCH("SLA", CRC_War_Room_SIMs[[#This Row],[Labels]])))), 1, 0)</f>
        <v>0</v>
      </c>
    </row>
    <row r="1624" spans="1:16" x14ac:dyDescent="0.25">
      <c r="A1624" t="s">
        <v>4382</v>
      </c>
      <c r="B1624" t="s">
        <v>4367</v>
      </c>
      <c r="C1624" t="s">
        <v>4284</v>
      </c>
      <c r="H162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24" s="49">
        <f ca="1">IFERROR(WEEKNUM(CRC_War_Room_SIMs[[#This Row],[Ops Date]]), "N/A")</f>
        <v>27</v>
      </c>
      <c r="J162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2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2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24" s="50">
        <f>IF(AND(CRC_War_Room_SIMs[[#This Row],[CI]] = 0, CRC_War_Room_SIMs[[#This Row],[Miss]] = 1), 1, 0)</f>
        <v>0</v>
      </c>
      <c r="N162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2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24" s="50">
        <f>IF(AND(CRC_War_Room_SIMs[[#This Row],[Excluded]] = 0, OR(CRC_War_Room_SIMs[[#This Row],[SLA Miss]] &lt;&gt; "", ISNUMBER(SEARCH("SLA", CRC_War_Room_SIMs[[#This Row],[Labels]])))), 1, 0)</f>
        <v>0</v>
      </c>
    </row>
    <row r="1625" spans="1:16" x14ac:dyDescent="0.25">
      <c r="A1625" t="s">
        <v>4383</v>
      </c>
      <c r="B1625" t="s">
        <v>4280</v>
      </c>
      <c r="C1625" t="s">
        <v>4284</v>
      </c>
      <c r="H162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25" s="49">
        <f ca="1">IFERROR(WEEKNUM(CRC_War_Room_SIMs[[#This Row],[Ops Date]]), "N/A")</f>
        <v>27</v>
      </c>
      <c r="J162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2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2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25" s="50">
        <f>IF(AND(CRC_War_Room_SIMs[[#This Row],[CI]] = 0, CRC_War_Room_SIMs[[#This Row],[Miss]] = 1), 1, 0)</f>
        <v>0</v>
      </c>
      <c r="N162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2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25" s="50">
        <f>IF(AND(CRC_War_Room_SIMs[[#This Row],[Excluded]] = 0, OR(CRC_War_Room_SIMs[[#This Row],[SLA Miss]] &lt;&gt; "", ISNUMBER(SEARCH("SLA", CRC_War_Room_SIMs[[#This Row],[Labels]])))), 1, 0)</f>
        <v>0</v>
      </c>
    </row>
    <row r="1626" spans="1:16" x14ac:dyDescent="0.25">
      <c r="A1626" t="s">
        <v>4384</v>
      </c>
      <c r="B1626" t="s">
        <v>4371</v>
      </c>
      <c r="C1626" t="s">
        <v>4284</v>
      </c>
      <c r="H162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26" s="49">
        <f ca="1">IFERROR(WEEKNUM(CRC_War_Room_SIMs[[#This Row],[Ops Date]]), "N/A")</f>
        <v>27</v>
      </c>
      <c r="J162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2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2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26" s="50">
        <f>IF(AND(CRC_War_Room_SIMs[[#This Row],[CI]] = 0, CRC_War_Room_SIMs[[#This Row],[Miss]] = 1), 1, 0)</f>
        <v>0</v>
      </c>
      <c r="N162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2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26" s="50">
        <f>IF(AND(CRC_War_Room_SIMs[[#This Row],[Excluded]] = 0, OR(CRC_War_Room_SIMs[[#This Row],[SLA Miss]] &lt;&gt; "", ISNUMBER(SEARCH("SLA", CRC_War_Room_SIMs[[#This Row],[Labels]])))), 1, 0)</f>
        <v>0</v>
      </c>
    </row>
    <row r="1627" spans="1:16" x14ac:dyDescent="0.25">
      <c r="A1627" t="s">
        <v>4385</v>
      </c>
      <c r="B1627" t="s">
        <v>4367</v>
      </c>
      <c r="C1627" t="s">
        <v>4284</v>
      </c>
      <c r="H162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27" s="49">
        <f ca="1">IFERROR(WEEKNUM(CRC_War_Room_SIMs[[#This Row],[Ops Date]]), "N/A")</f>
        <v>27</v>
      </c>
      <c r="J162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2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2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27" s="50">
        <f>IF(AND(CRC_War_Room_SIMs[[#This Row],[CI]] = 0, CRC_War_Room_SIMs[[#This Row],[Miss]] = 1), 1, 0)</f>
        <v>0</v>
      </c>
      <c r="N162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2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27" s="50">
        <f>IF(AND(CRC_War_Room_SIMs[[#This Row],[Excluded]] = 0, OR(CRC_War_Room_SIMs[[#This Row],[SLA Miss]] &lt;&gt; "", ISNUMBER(SEARCH("SLA", CRC_War_Room_SIMs[[#This Row],[Labels]])))), 1, 0)</f>
        <v>0</v>
      </c>
    </row>
    <row r="1628" spans="1:16" x14ac:dyDescent="0.25">
      <c r="A1628" t="s">
        <v>4386</v>
      </c>
      <c r="B1628" t="s">
        <v>4369</v>
      </c>
      <c r="C1628" t="s">
        <v>4284</v>
      </c>
      <c r="H162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28" s="49">
        <f ca="1">IFERROR(WEEKNUM(CRC_War_Room_SIMs[[#This Row],[Ops Date]]), "N/A")</f>
        <v>27</v>
      </c>
      <c r="J162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2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2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28" s="50">
        <f>IF(AND(CRC_War_Room_SIMs[[#This Row],[CI]] = 0, CRC_War_Room_SIMs[[#This Row],[Miss]] = 1), 1, 0)</f>
        <v>0</v>
      </c>
      <c r="N162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2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28" s="50">
        <f>IF(AND(CRC_War_Room_SIMs[[#This Row],[Excluded]] = 0, OR(CRC_War_Room_SIMs[[#This Row],[SLA Miss]] &lt;&gt; "", ISNUMBER(SEARCH("SLA", CRC_War_Room_SIMs[[#This Row],[Labels]])))), 1, 0)</f>
        <v>0</v>
      </c>
    </row>
    <row r="1629" spans="1:16" x14ac:dyDescent="0.25">
      <c r="A1629" t="s">
        <v>4387</v>
      </c>
      <c r="B1629" t="s">
        <v>4371</v>
      </c>
      <c r="C1629" t="s">
        <v>4284</v>
      </c>
      <c r="H162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29" s="49">
        <f ca="1">IFERROR(WEEKNUM(CRC_War_Room_SIMs[[#This Row],[Ops Date]]), "N/A")</f>
        <v>27</v>
      </c>
      <c r="J162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2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2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29" s="50">
        <f>IF(AND(CRC_War_Room_SIMs[[#This Row],[CI]] = 0, CRC_War_Room_SIMs[[#This Row],[Miss]] = 1), 1, 0)</f>
        <v>0</v>
      </c>
      <c r="N162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2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29" s="50">
        <f>IF(AND(CRC_War_Room_SIMs[[#This Row],[Excluded]] = 0, OR(CRC_War_Room_SIMs[[#This Row],[SLA Miss]] &lt;&gt; "", ISNUMBER(SEARCH("SLA", CRC_War_Room_SIMs[[#This Row],[Labels]])))), 1, 0)</f>
        <v>0</v>
      </c>
    </row>
    <row r="1630" spans="1:16" x14ac:dyDescent="0.25">
      <c r="A1630" t="s">
        <v>4388</v>
      </c>
      <c r="B1630" t="s">
        <v>4389</v>
      </c>
      <c r="C1630" t="s">
        <v>4284</v>
      </c>
      <c r="H163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30" s="49">
        <f ca="1">IFERROR(WEEKNUM(CRC_War_Room_SIMs[[#This Row],[Ops Date]]), "N/A")</f>
        <v>27</v>
      </c>
      <c r="J163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3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3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30" s="50">
        <f>IF(AND(CRC_War_Room_SIMs[[#This Row],[CI]] = 0, CRC_War_Room_SIMs[[#This Row],[Miss]] = 1), 1, 0)</f>
        <v>0</v>
      </c>
      <c r="N163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3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30" s="50">
        <f>IF(AND(CRC_War_Room_SIMs[[#This Row],[Excluded]] = 0, OR(CRC_War_Room_SIMs[[#This Row],[SLA Miss]] &lt;&gt; "", ISNUMBER(SEARCH("SLA", CRC_War_Room_SIMs[[#This Row],[Labels]])))), 1, 0)</f>
        <v>0</v>
      </c>
    </row>
    <row r="1631" spans="1:16" x14ac:dyDescent="0.25">
      <c r="A1631" t="s">
        <v>4390</v>
      </c>
      <c r="B1631" t="s">
        <v>4369</v>
      </c>
      <c r="C1631" t="s">
        <v>4284</v>
      </c>
      <c r="H163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31" s="49">
        <f ca="1">IFERROR(WEEKNUM(CRC_War_Room_SIMs[[#This Row],[Ops Date]]), "N/A")</f>
        <v>27</v>
      </c>
      <c r="J163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3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3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31" s="50">
        <f>IF(AND(CRC_War_Room_SIMs[[#This Row],[CI]] = 0, CRC_War_Room_SIMs[[#This Row],[Miss]] = 1), 1, 0)</f>
        <v>0</v>
      </c>
      <c r="N163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3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31" s="50">
        <f>IF(AND(CRC_War_Room_SIMs[[#This Row],[Excluded]] = 0, OR(CRC_War_Room_SIMs[[#This Row],[SLA Miss]] &lt;&gt; "", ISNUMBER(SEARCH("SLA", CRC_War_Room_SIMs[[#This Row],[Labels]])))), 1, 0)</f>
        <v>0</v>
      </c>
    </row>
    <row r="1632" spans="1:16" x14ac:dyDescent="0.25">
      <c r="A1632" t="s">
        <v>4391</v>
      </c>
      <c r="B1632" t="s">
        <v>4369</v>
      </c>
      <c r="C1632" t="s">
        <v>4284</v>
      </c>
      <c r="H163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32" s="49">
        <f ca="1">IFERROR(WEEKNUM(CRC_War_Room_SIMs[[#This Row],[Ops Date]]), "N/A")</f>
        <v>27</v>
      </c>
      <c r="J163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3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3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32" s="50">
        <f>IF(AND(CRC_War_Room_SIMs[[#This Row],[CI]] = 0, CRC_War_Room_SIMs[[#This Row],[Miss]] = 1), 1, 0)</f>
        <v>0</v>
      </c>
      <c r="N163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3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32" s="50">
        <f>IF(AND(CRC_War_Room_SIMs[[#This Row],[Excluded]] = 0, OR(CRC_War_Room_SIMs[[#This Row],[SLA Miss]] &lt;&gt; "", ISNUMBER(SEARCH("SLA", CRC_War_Room_SIMs[[#This Row],[Labels]])))), 1, 0)</f>
        <v>0</v>
      </c>
    </row>
    <row r="1633" spans="1:16" x14ac:dyDescent="0.25">
      <c r="A1633" t="s">
        <v>4392</v>
      </c>
      <c r="B1633" t="s">
        <v>4286</v>
      </c>
      <c r="C1633" t="s">
        <v>4284</v>
      </c>
      <c r="H163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33" s="49">
        <f ca="1">IFERROR(WEEKNUM(CRC_War_Room_SIMs[[#This Row],[Ops Date]]), "N/A")</f>
        <v>27</v>
      </c>
      <c r="J163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3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3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33" s="50">
        <f>IF(AND(CRC_War_Room_SIMs[[#This Row],[CI]] = 0, CRC_War_Room_SIMs[[#This Row],[Miss]] = 1), 1, 0)</f>
        <v>0</v>
      </c>
      <c r="N163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3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33" s="50">
        <f>IF(AND(CRC_War_Room_SIMs[[#This Row],[Excluded]] = 0, OR(CRC_War_Room_SIMs[[#This Row],[SLA Miss]] &lt;&gt; "", ISNUMBER(SEARCH("SLA", CRC_War_Room_SIMs[[#This Row],[Labels]])))), 1, 0)</f>
        <v>0</v>
      </c>
    </row>
    <row r="1634" spans="1:16" x14ac:dyDescent="0.25">
      <c r="A1634" t="s">
        <v>4393</v>
      </c>
      <c r="B1634" t="s">
        <v>4394</v>
      </c>
      <c r="C1634" t="s">
        <v>4284</v>
      </c>
      <c r="H163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34" s="49">
        <f ca="1">IFERROR(WEEKNUM(CRC_War_Room_SIMs[[#This Row],[Ops Date]]), "N/A")</f>
        <v>27</v>
      </c>
      <c r="J163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3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3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34" s="50">
        <f>IF(AND(CRC_War_Room_SIMs[[#This Row],[CI]] = 0, CRC_War_Room_SIMs[[#This Row],[Miss]] = 1), 1, 0)</f>
        <v>0</v>
      </c>
      <c r="N163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3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34" s="50">
        <f>IF(AND(CRC_War_Room_SIMs[[#This Row],[Excluded]] = 0, OR(CRC_War_Room_SIMs[[#This Row],[SLA Miss]] &lt;&gt; "", ISNUMBER(SEARCH("SLA", CRC_War_Room_SIMs[[#This Row],[Labels]])))), 1, 0)</f>
        <v>0</v>
      </c>
    </row>
    <row r="1635" spans="1:16" x14ac:dyDescent="0.25">
      <c r="A1635" t="s">
        <v>4395</v>
      </c>
      <c r="B1635" t="s">
        <v>4371</v>
      </c>
      <c r="C1635" t="s">
        <v>4284</v>
      </c>
      <c r="H163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35" s="49">
        <f ca="1">IFERROR(WEEKNUM(CRC_War_Room_SIMs[[#This Row],[Ops Date]]), "N/A")</f>
        <v>27</v>
      </c>
      <c r="J163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3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3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35" s="50">
        <f>IF(AND(CRC_War_Room_SIMs[[#This Row],[CI]] = 0, CRC_War_Room_SIMs[[#This Row],[Miss]] = 1), 1, 0)</f>
        <v>0</v>
      </c>
      <c r="N163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3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35" s="50">
        <f>IF(AND(CRC_War_Room_SIMs[[#This Row],[Excluded]] = 0, OR(CRC_War_Room_SIMs[[#This Row],[SLA Miss]] &lt;&gt; "", ISNUMBER(SEARCH("SLA", CRC_War_Room_SIMs[[#This Row],[Labels]])))), 1, 0)</f>
        <v>0</v>
      </c>
    </row>
    <row r="1636" spans="1:16" x14ac:dyDescent="0.25">
      <c r="A1636" t="s">
        <v>4396</v>
      </c>
      <c r="B1636" t="s">
        <v>4280</v>
      </c>
      <c r="C1636" t="s">
        <v>4284</v>
      </c>
      <c r="H163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36" s="49">
        <f ca="1">IFERROR(WEEKNUM(CRC_War_Room_SIMs[[#This Row],[Ops Date]]), "N/A")</f>
        <v>27</v>
      </c>
      <c r="J163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3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3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36" s="50">
        <f>IF(AND(CRC_War_Room_SIMs[[#This Row],[CI]] = 0, CRC_War_Room_SIMs[[#This Row],[Miss]] = 1), 1, 0)</f>
        <v>0</v>
      </c>
      <c r="N163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3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36" s="50">
        <f>IF(AND(CRC_War_Room_SIMs[[#This Row],[Excluded]] = 0, OR(CRC_War_Room_SIMs[[#This Row],[SLA Miss]] &lt;&gt; "", ISNUMBER(SEARCH("SLA", CRC_War_Room_SIMs[[#This Row],[Labels]])))), 1, 0)</f>
        <v>0</v>
      </c>
    </row>
    <row r="1637" spans="1:16" x14ac:dyDescent="0.25">
      <c r="A1637" t="s">
        <v>4397</v>
      </c>
      <c r="B1637" t="s">
        <v>4365</v>
      </c>
      <c r="C1637" t="s">
        <v>4284</v>
      </c>
      <c r="H163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37" s="49">
        <f ca="1">IFERROR(WEEKNUM(CRC_War_Room_SIMs[[#This Row],[Ops Date]]), "N/A")</f>
        <v>27</v>
      </c>
      <c r="J163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3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3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37" s="50">
        <f>IF(AND(CRC_War_Room_SIMs[[#This Row],[CI]] = 0, CRC_War_Room_SIMs[[#This Row],[Miss]] = 1), 1, 0)</f>
        <v>0</v>
      </c>
      <c r="N163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3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37" s="50">
        <f>IF(AND(CRC_War_Room_SIMs[[#This Row],[Excluded]] = 0, OR(CRC_War_Room_SIMs[[#This Row],[SLA Miss]] &lt;&gt; "", ISNUMBER(SEARCH("SLA", CRC_War_Room_SIMs[[#This Row],[Labels]])))), 1, 0)</f>
        <v>0</v>
      </c>
    </row>
    <row r="1638" spans="1:16" x14ac:dyDescent="0.25">
      <c r="A1638" t="s">
        <v>4398</v>
      </c>
      <c r="B1638" t="s">
        <v>4389</v>
      </c>
      <c r="C1638" t="s">
        <v>4284</v>
      </c>
      <c r="H163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38" s="49">
        <f ca="1">IFERROR(WEEKNUM(CRC_War_Room_SIMs[[#This Row],[Ops Date]]), "N/A")</f>
        <v>27</v>
      </c>
      <c r="J163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3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3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38" s="50">
        <f>IF(AND(CRC_War_Room_SIMs[[#This Row],[CI]] = 0, CRC_War_Room_SIMs[[#This Row],[Miss]] = 1), 1, 0)</f>
        <v>0</v>
      </c>
      <c r="N163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3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38" s="50">
        <f>IF(AND(CRC_War_Room_SIMs[[#This Row],[Excluded]] = 0, OR(CRC_War_Room_SIMs[[#This Row],[SLA Miss]] &lt;&gt; "", ISNUMBER(SEARCH("SLA", CRC_War_Room_SIMs[[#This Row],[Labels]])))), 1, 0)</f>
        <v>0</v>
      </c>
    </row>
    <row r="1639" spans="1:16" x14ac:dyDescent="0.25">
      <c r="A1639" t="s">
        <v>4399</v>
      </c>
      <c r="B1639" t="s">
        <v>4389</v>
      </c>
      <c r="C1639" t="s">
        <v>4284</v>
      </c>
      <c r="H163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39" s="49">
        <f ca="1">IFERROR(WEEKNUM(CRC_War_Room_SIMs[[#This Row],[Ops Date]]), "N/A")</f>
        <v>27</v>
      </c>
      <c r="J163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3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3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39" s="50">
        <f>IF(AND(CRC_War_Room_SIMs[[#This Row],[CI]] = 0, CRC_War_Room_SIMs[[#This Row],[Miss]] = 1), 1, 0)</f>
        <v>0</v>
      </c>
      <c r="N163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3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39" s="50">
        <f>IF(AND(CRC_War_Room_SIMs[[#This Row],[Excluded]] = 0, OR(CRC_War_Room_SIMs[[#This Row],[SLA Miss]] &lt;&gt; "", ISNUMBER(SEARCH("SLA", CRC_War_Room_SIMs[[#This Row],[Labels]])))), 1, 0)</f>
        <v>0</v>
      </c>
    </row>
    <row r="1640" spans="1:16" x14ac:dyDescent="0.25">
      <c r="A1640" t="s">
        <v>4400</v>
      </c>
      <c r="B1640" t="s">
        <v>4394</v>
      </c>
      <c r="C1640" t="s">
        <v>4284</v>
      </c>
      <c r="H164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40" s="49">
        <f ca="1">IFERROR(WEEKNUM(CRC_War_Room_SIMs[[#This Row],[Ops Date]]), "N/A")</f>
        <v>27</v>
      </c>
      <c r="J164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4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4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40" s="50">
        <f>IF(AND(CRC_War_Room_SIMs[[#This Row],[CI]] = 0, CRC_War_Room_SIMs[[#This Row],[Miss]] = 1), 1, 0)</f>
        <v>0</v>
      </c>
      <c r="N164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4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40" s="50">
        <f>IF(AND(CRC_War_Room_SIMs[[#This Row],[Excluded]] = 0, OR(CRC_War_Room_SIMs[[#This Row],[SLA Miss]] &lt;&gt; "", ISNUMBER(SEARCH("SLA", CRC_War_Room_SIMs[[#This Row],[Labels]])))), 1, 0)</f>
        <v>0</v>
      </c>
    </row>
    <row r="1641" spans="1:16" x14ac:dyDescent="0.25">
      <c r="A1641" t="s">
        <v>4401</v>
      </c>
      <c r="B1641" t="s">
        <v>4371</v>
      </c>
      <c r="C1641" t="s">
        <v>4284</v>
      </c>
      <c r="H164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41" s="49">
        <f ca="1">IFERROR(WEEKNUM(CRC_War_Room_SIMs[[#This Row],[Ops Date]]), "N/A")</f>
        <v>27</v>
      </c>
      <c r="J164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4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4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41" s="50">
        <f>IF(AND(CRC_War_Room_SIMs[[#This Row],[CI]] = 0, CRC_War_Room_SIMs[[#This Row],[Miss]] = 1), 1, 0)</f>
        <v>0</v>
      </c>
      <c r="N164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4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41" s="50">
        <f>IF(AND(CRC_War_Room_SIMs[[#This Row],[Excluded]] = 0, OR(CRC_War_Room_SIMs[[#This Row],[SLA Miss]] &lt;&gt; "", ISNUMBER(SEARCH("SLA", CRC_War_Room_SIMs[[#This Row],[Labels]])))), 1, 0)</f>
        <v>0</v>
      </c>
    </row>
    <row r="1642" spans="1:16" x14ac:dyDescent="0.25">
      <c r="A1642" t="s">
        <v>4402</v>
      </c>
      <c r="B1642" t="s">
        <v>4280</v>
      </c>
      <c r="C1642" t="s">
        <v>4284</v>
      </c>
      <c r="H164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42" s="49">
        <f ca="1">IFERROR(WEEKNUM(CRC_War_Room_SIMs[[#This Row],[Ops Date]]), "N/A")</f>
        <v>27</v>
      </c>
      <c r="J164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4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4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42" s="50">
        <f>IF(AND(CRC_War_Room_SIMs[[#This Row],[CI]] = 0, CRC_War_Room_SIMs[[#This Row],[Miss]] = 1), 1, 0)</f>
        <v>0</v>
      </c>
      <c r="N164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4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42" s="50">
        <f>IF(AND(CRC_War_Room_SIMs[[#This Row],[Excluded]] = 0, OR(CRC_War_Room_SIMs[[#This Row],[SLA Miss]] &lt;&gt; "", ISNUMBER(SEARCH("SLA", CRC_War_Room_SIMs[[#This Row],[Labels]])))), 1, 0)</f>
        <v>0</v>
      </c>
    </row>
    <row r="1643" spans="1:16" x14ac:dyDescent="0.25">
      <c r="A1643" t="s">
        <v>4403</v>
      </c>
      <c r="B1643" t="s">
        <v>4369</v>
      </c>
      <c r="C1643" t="s">
        <v>4284</v>
      </c>
      <c r="H1643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43" s="49">
        <f ca="1">IFERROR(WEEKNUM(CRC_War_Room_SIMs[[#This Row],[Ops Date]]), "N/A")</f>
        <v>27</v>
      </c>
      <c r="J1643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43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43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43" s="50">
        <f>IF(AND(CRC_War_Room_SIMs[[#This Row],[CI]] = 0, CRC_War_Room_SIMs[[#This Row],[Miss]] = 1), 1, 0)</f>
        <v>0</v>
      </c>
      <c r="N1643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43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43" s="50">
        <f>IF(AND(CRC_War_Room_SIMs[[#This Row],[Excluded]] = 0, OR(CRC_War_Room_SIMs[[#This Row],[SLA Miss]] &lt;&gt; "", ISNUMBER(SEARCH("SLA", CRC_War_Room_SIMs[[#This Row],[Labels]])))), 1, 0)</f>
        <v>0</v>
      </c>
    </row>
    <row r="1644" spans="1:16" x14ac:dyDescent="0.25">
      <c r="A1644" t="s">
        <v>4404</v>
      </c>
      <c r="B1644" t="s">
        <v>4389</v>
      </c>
      <c r="C1644" t="s">
        <v>4284</v>
      </c>
      <c r="H1644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44" s="49">
        <f ca="1">IFERROR(WEEKNUM(CRC_War_Room_SIMs[[#This Row],[Ops Date]]), "N/A")</f>
        <v>27</v>
      </c>
      <c r="J1644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44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44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44" s="50">
        <f>IF(AND(CRC_War_Room_SIMs[[#This Row],[CI]] = 0, CRC_War_Room_SIMs[[#This Row],[Miss]] = 1), 1, 0)</f>
        <v>0</v>
      </c>
      <c r="N1644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44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44" s="50">
        <f>IF(AND(CRC_War_Room_SIMs[[#This Row],[Excluded]] = 0, OR(CRC_War_Room_SIMs[[#This Row],[SLA Miss]] &lt;&gt; "", ISNUMBER(SEARCH("SLA", CRC_War_Room_SIMs[[#This Row],[Labels]])))), 1, 0)</f>
        <v>0</v>
      </c>
    </row>
    <row r="1645" spans="1:16" x14ac:dyDescent="0.25">
      <c r="A1645" t="s">
        <v>4405</v>
      </c>
      <c r="B1645" t="s">
        <v>4365</v>
      </c>
      <c r="C1645" t="s">
        <v>4284</v>
      </c>
      <c r="H1645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45" s="49">
        <f ca="1">IFERROR(WEEKNUM(CRC_War_Room_SIMs[[#This Row],[Ops Date]]), "N/A")</f>
        <v>27</v>
      </c>
      <c r="J1645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45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45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45" s="50">
        <f>IF(AND(CRC_War_Room_SIMs[[#This Row],[CI]] = 0, CRC_War_Room_SIMs[[#This Row],[Miss]] = 1), 1, 0)</f>
        <v>0</v>
      </c>
      <c r="N1645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45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45" s="50">
        <f>IF(AND(CRC_War_Room_SIMs[[#This Row],[Excluded]] = 0, OR(CRC_War_Room_SIMs[[#This Row],[SLA Miss]] &lt;&gt; "", ISNUMBER(SEARCH("SLA", CRC_War_Room_SIMs[[#This Row],[Labels]])))), 1, 0)</f>
        <v>0</v>
      </c>
    </row>
    <row r="1646" spans="1:16" x14ac:dyDescent="0.25">
      <c r="A1646" t="s">
        <v>4406</v>
      </c>
      <c r="B1646" t="s">
        <v>4394</v>
      </c>
      <c r="C1646" t="s">
        <v>4284</v>
      </c>
      <c r="H1646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46" s="49">
        <f ca="1">IFERROR(WEEKNUM(CRC_War_Room_SIMs[[#This Row],[Ops Date]]), "N/A")</f>
        <v>27</v>
      </c>
      <c r="J1646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46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46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46" s="50">
        <f>IF(AND(CRC_War_Room_SIMs[[#This Row],[CI]] = 0, CRC_War_Room_SIMs[[#This Row],[Miss]] = 1), 1, 0)</f>
        <v>0</v>
      </c>
      <c r="N1646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46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46" s="50">
        <f>IF(AND(CRC_War_Room_SIMs[[#This Row],[Excluded]] = 0, OR(CRC_War_Room_SIMs[[#This Row],[SLA Miss]] &lt;&gt; "", ISNUMBER(SEARCH("SLA", CRC_War_Room_SIMs[[#This Row],[Labels]])))), 1, 0)</f>
        <v>0</v>
      </c>
    </row>
    <row r="1647" spans="1:16" x14ac:dyDescent="0.25">
      <c r="A1647" t="s">
        <v>4407</v>
      </c>
      <c r="B1647" t="s">
        <v>4389</v>
      </c>
      <c r="C1647" t="s">
        <v>4284</v>
      </c>
      <c r="H1647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47" s="49">
        <f ca="1">IFERROR(WEEKNUM(CRC_War_Room_SIMs[[#This Row],[Ops Date]]), "N/A")</f>
        <v>27</v>
      </c>
      <c r="J1647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47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47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47" s="50">
        <f>IF(AND(CRC_War_Room_SIMs[[#This Row],[CI]] = 0, CRC_War_Room_SIMs[[#This Row],[Miss]] = 1), 1, 0)</f>
        <v>0</v>
      </c>
      <c r="N1647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47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47" s="50">
        <f>IF(AND(CRC_War_Room_SIMs[[#This Row],[Excluded]] = 0, OR(CRC_War_Room_SIMs[[#This Row],[SLA Miss]] &lt;&gt; "", ISNUMBER(SEARCH("SLA", CRC_War_Room_SIMs[[#This Row],[Labels]])))), 1, 0)</f>
        <v>0</v>
      </c>
    </row>
    <row r="1648" spans="1:16" x14ac:dyDescent="0.25">
      <c r="A1648" t="s">
        <v>4408</v>
      </c>
      <c r="B1648" t="s">
        <v>4394</v>
      </c>
      <c r="C1648" t="s">
        <v>4284</v>
      </c>
      <c r="H1648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48" s="49">
        <f ca="1">IFERROR(WEEKNUM(CRC_War_Room_SIMs[[#This Row],[Ops Date]]), "N/A")</f>
        <v>27</v>
      </c>
      <c r="J1648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48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48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48" s="50">
        <f>IF(AND(CRC_War_Room_SIMs[[#This Row],[CI]] = 0, CRC_War_Room_SIMs[[#This Row],[Miss]] = 1), 1, 0)</f>
        <v>0</v>
      </c>
      <c r="N1648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48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48" s="50">
        <f>IF(AND(CRC_War_Room_SIMs[[#This Row],[Excluded]] = 0, OR(CRC_War_Room_SIMs[[#This Row],[SLA Miss]] &lt;&gt; "", ISNUMBER(SEARCH("SLA", CRC_War_Room_SIMs[[#This Row],[Labels]])))), 1, 0)</f>
        <v>0</v>
      </c>
    </row>
    <row r="1649" spans="1:16" x14ac:dyDescent="0.25">
      <c r="A1649" t="s">
        <v>4409</v>
      </c>
      <c r="B1649" t="s">
        <v>4365</v>
      </c>
      <c r="C1649" t="s">
        <v>4284</v>
      </c>
      <c r="H1649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49" s="49">
        <f ca="1">IFERROR(WEEKNUM(CRC_War_Room_SIMs[[#This Row],[Ops Date]]), "N/A")</f>
        <v>27</v>
      </c>
      <c r="J1649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49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49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49" s="50">
        <f>IF(AND(CRC_War_Room_SIMs[[#This Row],[CI]] = 0, CRC_War_Room_SIMs[[#This Row],[Miss]] = 1), 1, 0)</f>
        <v>0</v>
      </c>
      <c r="N1649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49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49" s="50">
        <f>IF(AND(CRC_War_Room_SIMs[[#This Row],[Excluded]] = 0, OR(CRC_War_Room_SIMs[[#This Row],[SLA Miss]] &lt;&gt; "", ISNUMBER(SEARCH("SLA", CRC_War_Room_SIMs[[#This Row],[Labels]])))), 1, 0)</f>
        <v>0</v>
      </c>
    </row>
    <row r="1650" spans="1:16" x14ac:dyDescent="0.25">
      <c r="A1650" t="s">
        <v>4410</v>
      </c>
      <c r="B1650" t="s">
        <v>4365</v>
      </c>
      <c r="C1650" t="s">
        <v>4284</v>
      </c>
      <c r="H1650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50" s="49">
        <f ca="1">IFERROR(WEEKNUM(CRC_War_Room_SIMs[[#This Row],[Ops Date]]), "N/A")</f>
        <v>27</v>
      </c>
      <c r="J1650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50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50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50" s="50">
        <f>IF(AND(CRC_War_Room_SIMs[[#This Row],[CI]] = 0, CRC_War_Room_SIMs[[#This Row],[Miss]] = 1), 1, 0)</f>
        <v>0</v>
      </c>
      <c r="N1650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50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50" s="50">
        <f>IF(AND(CRC_War_Room_SIMs[[#This Row],[Excluded]] = 0, OR(CRC_War_Room_SIMs[[#This Row],[SLA Miss]] &lt;&gt; "", ISNUMBER(SEARCH("SLA", CRC_War_Room_SIMs[[#This Row],[Labels]])))), 1, 0)</f>
        <v>0</v>
      </c>
    </row>
    <row r="1651" spans="1:16" x14ac:dyDescent="0.25">
      <c r="A1651" t="s">
        <v>4411</v>
      </c>
      <c r="B1651" t="s">
        <v>4286</v>
      </c>
      <c r="C1651" t="s">
        <v>4284</v>
      </c>
      <c r="H1651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51" s="49">
        <f ca="1">IFERROR(WEEKNUM(CRC_War_Room_SIMs[[#This Row],[Ops Date]]), "N/A")</f>
        <v>27</v>
      </c>
      <c r="J1651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51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51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51" s="50">
        <f>IF(AND(CRC_War_Room_SIMs[[#This Row],[CI]] = 0, CRC_War_Room_SIMs[[#This Row],[Miss]] = 1), 1, 0)</f>
        <v>0</v>
      </c>
      <c r="N1651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51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51" s="50">
        <f>IF(AND(CRC_War_Room_SIMs[[#This Row],[Excluded]] = 0, OR(CRC_War_Room_SIMs[[#This Row],[SLA Miss]] &lt;&gt; "", ISNUMBER(SEARCH("SLA", CRC_War_Room_SIMs[[#This Row],[Labels]])))), 1, 0)</f>
        <v>0</v>
      </c>
    </row>
    <row r="1652" spans="1:16" x14ac:dyDescent="0.25">
      <c r="A1652" t="s">
        <v>4412</v>
      </c>
      <c r="B1652" t="s">
        <v>4394</v>
      </c>
      <c r="C1652" t="s">
        <v>4284</v>
      </c>
      <c r="H1652" s="88">
        <f ca="1">_xlfn.LET(_xlpm.protoKey,
 TRIM(RIGHT(LEFT(CRC_War_Room_SIMs[[#This Row],[Title]], IFERROR(
   SEARCH("/" &amp; TEXT(TODAY(), "YYYY") - 1, CRC_War_Room_SIMs[[#This Row],[Title]]),
   SEARCH("/" &amp; TEXT(TODAY(), "YYYY"),  CRC_War_Room_SIMs[[#This Row],[Title]])) + 4), 10)),
 DATEVALUE(TEXT(IFERROR(IFERROR(
  MOD(LEFT(_xlpm.protoKey), 1) + _xlpm.protoKey,
  REPLACE(_xlpm.protoKey, 1, 1, "")),
  "N/A"), "MM/DD/YYYY")))</f>
        <v>45478</v>
      </c>
      <c r="I1652" s="49">
        <f ca="1">IFERROR(WEEKNUM(CRC_War_Room_SIMs[[#This Row],[Ops Date]]), "N/A")</f>
        <v>27</v>
      </c>
      <c r="J1652" s="49">
        <f>IF(OR(ISNUMBER(SEARCH("Excluded", CRC_War_Room_SIMs[[#This Row],[Labels]])), ISNUMBER(SEARCH("Quality", CRC_War_Room_SIMs[[#This Row],[Data Status]])), ISNUMBER(SEARCH("Exception", CRC_War_Room_SIMs[[#This Row],[Data Status]]))), 1, 0)</f>
        <v>0</v>
      </c>
      <c r="K1652" s="49">
        <f>IF(AND(CRC_War_Room_SIMs[[#This Row],[Excluded]] = 0, OR(CRC_War_Room_SIMs[[#This Row],[Operator Follow-up]] = 1, CRC_War_Room_SIMs[[#This Row],[False Resolution]] = 1, CRC_War_Room_SIMs[[#This Row],[SLA]] = 1, ISNUMBER( SEARCH("Miss", CRC_War_Room_SIMs[[#This Row],[Labels]])))), 1, 0)</f>
        <v>0</v>
      </c>
      <c r="L1652" s="49">
        <f>IF(AND(CRC_War_Room_SIMs[[#This Row],[Miss]] = 1, CRC_War_Room_SIMs[[#This Row],[Operator Follow-up]] = 0, CRC_War_Room_SIMs[[#This Row],[False Resolution]] = 0), 1,
IF(AND(CRC_War_Room_SIMs[[#This Row],[Operator Follow-up]] = 1,
 CRC_War_Room_SIMs[[#This Row],[Operator Follow-up Miss]] &lt;&gt; "AA didn’t leave accurately complete the “Resolution Comments” in salesforce (“WKXX Reimbursements: $ _____ Fuel, $ _____ DEF, XX/XX/XXXX”),"), 1,
IF(AND(CRC_War_Room_SIMs[[#This Row],[False Resolution]] = 1,
 CRC_War_Room_SIMs[[#This Row],[False Resolution Miss]] &lt;&gt; "AA didn’t accurately update the case status in salesforce,"), 1,
0)))</f>
        <v>0</v>
      </c>
      <c r="M1652" s="50">
        <f>IF(AND(CRC_War_Room_SIMs[[#This Row],[CI]] = 0, CRC_War_Room_SIMs[[#This Row],[Miss]] = 1), 1, 0)</f>
        <v>0</v>
      </c>
      <c r="N1652" s="49">
        <f>IF(AND(CRC_War_Room_SIMs[[#This Row],[Excluded]] = 0, OR(CRC_War_Room_SIMs[[#This Row],[Operator Follow-up Miss]] &lt;&gt; "", ISNUMBER(SEARCH("Operator Follow Up", CRC_War_Room_SIMs[[#This Row],[Labels]])))), 1, 0)</f>
        <v>0</v>
      </c>
      <c r="O1652" s="49">
        <f>IF(AND(CRC_War_Room_SIMs[[#This Row],[Excluded]] = 0, OR(CRC_War_Room_SIMs[[#This Row],[False Resolution Miss]] &lt;&gt; "", ISNUMBER(SEARCH("False Resolution", CRC_War_Room_SIMs[[#This Row],[Labels]])))), 1, 0)</f>
        <v>0</v>
      </c>
      <c r="P1652" s="50">
        <f>IF(AND(CRC_War_Room_SIMs[[#This Row],[Excluded]] = 0, OR(CRC_War_Room_SIMs[[#This Row],[SLA Miss]] &lt;&gt; "", ISNUMBER(SEARCH("SLA", CRC_War_Room_SIMs[[#This Row],[Labels]])))), 1, 0)</f>
        <v>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F0111-E46D-470C-92B6-CBB69B70E64C}">
  <sheetPr codeName="Sheet13">
    <tabColor rgb="FF7030A0"/>
  </sheetPr>
  <dimension ref="A1:P309"/>
  <sheetViews>
    <sheetView workbookViewId="0">
      <selection activeCell="H3" sqref="H3"/>
    </sheetView>
  </sheetViews>
  <sheetFormatPr defaultRowHeight="15" x14ac:dyDescent="0.25"/>
  <cols>
    <col min="2" max="2" width="24.5703125" customWidth="1"/>
    <col min="8" max="8" width="9.140625" style="82"/>
  </cols>
  <sheetData>
    <row r="1" spans="1:16" x14ac:dyDescent="0.25">
      <c r="A1" s="27" t="s">
        <v>52</v>
      </c>
      <c r="B1" s="28" t="s">
        <v>0</v>
      </c>
      <c r="C1" s="28" t="s">
        <v>1</v>
      </c>
      <c r="D1" s="28" t="s">
        <v>53</v>
      </c>
      <c r="E1" s="28" t="s">
        <v>54</v>
      </c>
      <c r="F1" s="28" t="s">
        <v>55</v>
      </c>
      <c r="G1" s="28" t="s">
        <v>56</v>
      </c>
      <c r="H1" s="80" t="s">
        <v>19</v>
      </c>
      <c r="I1" s="29" t="s">
        <v>35</v>
      </c>
      <c r="J1" s="30" t="s">
        <v>21</v>
      </c>
      <c r="K1" s="30" t="s">
        <v>32</v>
      </c>
      <c r="L1" s="30" t="s">
        <v>34</v>
      </c>
      <c r="M1" s="31" t="s">
        <v>20</v>
      </c>
      <c r="N1" s="30" t="s">
        <v>25</v>
      </c>
      <c r="O1" s="30" t="s">
        <v>13</v>
      </c>
      <c r="P1" s="31" t="s">
        <v>33</v>
      </c>
    </row>
    <row r="2" spans="1:16" x14ac:dyDescent="0.25">
      <c r="A2" t="s">
        <v>1741</v>
      </c>
      <c r="B2" t="s">
        <v>1742</v>
      </c>
      <c r="C2" t="s">
        <v>1743</v>
      </c>
      <c r="H2" s="81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45506</v>
      </c>
      <c r="I2" s="32">
        <f>IFERROR(WEEKNUM(CRC_Severe_Weather_SIMs[[#This Row],[Ops Date]]), "N/A")</f>
        <v>31</v>
      </c>
      <c r="J2" s="32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" s="32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" s="32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" s="33">
        <f>IF(AND(CRC_Severe_Weather_SIMs[[#This Row],[CI]] = 0, CRC_Severe_Weather_SIMs[[#This Row],[Miss]] = 1), 1, 0)</f>
        <v>0</v>
      </c>
      <c r="N2" s="32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" s="32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" s="33">
        <f>IF(AND(CRC_Severe_Weather_SIMs[[#This Row],[Excluded]] = 0, OR(CRC_Severe_Weather_SIMs[[#This Row],[SLA Miss]] &lt;&gt; "", ISNUMBER(SEARCH("SLA", CRC_Severe_Weather_SIMs[[#This Row],[Labels]])))), 1, 0)</f>
        <v>0</v>
      </c>
    </row>
    <row r="3" spans="1:16" x14ac:dyDescent="0.25">
      <c r="A3" t="s">
        <v>1744</v>
      </c>
      <c r="B3" t="s">
        <v>1745</v>
      </c>
      <c r="C3" t="s">
        <v>1743</v>
      </c>
      <c r="H3" s="81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45506</v>
      </c>
      <c r="I3" s="32">
        <f>IFERROR(WEEKNUM(CRC_Severe_Weather_SIMs[[#This Row],[Ops Date]]), "N/A")</f>
        <v>31</v>
      </c>
      <c r="J3" s="32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3" s="32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3" s="32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3" s="33">
        <f>IF(AND(CRC_Severe_Weather_SIMs[[#This Row],[CI]] = 0, CRC_Severe_Weather_SIMs[[#This Row],[Miss]] = 1), 1, 0)</f>
        <v>0</v>
      </c>
      <c r="N3" s="32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3" s="32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3" s="33">
        <f>IF(AND(CRC_Severe_Weather_SIMs[[#This Row],[Excluded]] = 0, OR(CRC_Severe_Weather_SIMs[[#This Row],[SLA Miss]] &lt;&gt; "", ISNUMBER(SEARCH("SLA", CRC_Severe_Weather_SIMs[[#This Row],[Labels]])))), 1, 0)</f>
        <v>0</v>
      </c>
    </row>
    <row r="4" spans="1:16" x14ac:dyDescent="0.25">
      <c r="A4" t="s">
        <v>1746</v>
      </c>
      <c r="B4" t="s">
        <v>1747</v>
      </c>
      <c r="C4" t="s">
        <v>1743</v>
      </c>
      <c r="H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45506</v>
      </c>
      <c r="I4" s="49">
        <f>IFERROR(WEEKNUM(CRC_Severe_Weather_SIMs[[#This Row],[Ops Date]]), "N/A")</f>
        <v>31</v>
      </c>
      <c r="J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4" s="50">
        <f>IF(AND(CRC_Severe_Weather_SIMs[[#This Row],[CI]] = 0, CRC_Severe_Weather_SIMs[[#This Row],[Miss]] = 1), 1, 0)</f>
        <v>0</v>
      </c>
      <c r="N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5" spans="1:16" x14ac:dyDescent="0.25">
      <c r="A5" t="s">
        <v>1748</v>
      </c>
      <c r="B5" t="s">
        <v>1749</v>
      </c>
      <c r="C5" t="s">
        <v>1743</v>
      </c>
      <c r="H5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45506</v>
      </c>
      <c r="I5" s="49">
        <f>IFERROR(WEEKNUM(CRC_Severe_Weather_SIMs[[#This Row],[Ops Date]]), "N/A")</f>
        <v>31</v>
      </c>
      <c r="J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5" s="50">
        <f>IF(AND(CRC_Severe_Weather_SIMs[[#This Row],[CI]] = 0, CRC_Severe_Weather_SIMs[[#This Row],[Miss]] = 1), 1, 0)</f>
        <v>0</v>
      </c>
      <c r="N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6" spans="1:16" x14ac:dyDescent="0.25">
      <c r="A6" t="s">
        <v>1750</v>
      </c>
      <c r="B6" t="s">
        <v>1751</v>
      </c>
      <c r="C6" t="s">
        <v>1743</v>
      </c>
      <c r="H6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45506</v>
      </c>
      <c r="I6" s="49">
        <f>IFERROR(WEEKNUM(CRC_Severe_Weather_SIMs[[#This Row],[Ops Date]]), "N/A")</f>
        <v>31</v>
      </c>
      <c r="J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6" s="50">
        <f>IF(AND(CRC_Severe_Weather_SIMs[[#This Row],[CI]] = 0, CRC_Severe_Weather_SIMs[[#This Row],[Miss]] = 1), 1, 0)</f>
        <v>0</v>
      </c>
      <c r="N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7" spans="1:16" x14ac:dyDescent="0.25">
      <c r="A7" t="s">
        <v>1752</v>
      </c>
      <c r="B7" t="s">
        <v>1753</v>
      </c>
      <c r="C7" t="s">
        <v>1743</v>
      </c>
      <c r="H7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45506</v>
      </c>
      <c r="I7" s="49">
        <f>IFERROR(WEEKNUM(CRC_Severe_Weather_SIMs[[#This Row],[Ops Date]]), "N/A")</f>
        <v>31</v>
      </c>
      <c r="J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7" s="50">
        <f>IF(AND(CRC_Severe_Weather_SIMs[[#This Row],[CI]] = 0, CRC_Severe_Weather_SIMs[[#This Row],[Miss]] = 1), 1, 0)</f>
        <v>0</v>
      </c>
      <c r="N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8" spans="1:16" x14ac:dyDescent="0.25">
      <c r="A8" t="s">
        <v>1754</v>
      </c>
      <c r="B8" t="s">
        <v>1755</v>
      </c>
      <c r="C8" t="s">
        <v>1743</v>
      </c>
      <c r="H8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45506</v>
      </c>
      <c r="I8" s="49">
        <f>IFERROR(WEEKNUM(CRC_Severe_Weather_SIMs[[#This Row],[Ops Date]]), "N/A")</f>
        <v>31</v>
      </c>
      <c r="J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8" s="50">
        <f>IF(AND(CRC_Severe_Weather_SIMs[[#This Row],[CI]] = 0, CRC_Severe_Weather_SIMs[[#This Row],[Miss]] = 1), 1, 0)</f>
        <v>0</v>
      </c>
      <c r="N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9" spans="1:16" x14ac:dyDescent="0.25">
      <c r="A9" t="s">
        <v>1756</v>
      </c>
      <c r="B9" t="s">
        <v>1757</v>
      </c>
      <c r="C9" t="s">
        <v>1758</v>
      </c>
      <c r="E9" t="s">
        <v>1759</v>
      </c>
      <c r="H9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45506</v>
      </c>
      <c r="I9" s="49">
        <f>IFERROR(WEEKNUM(CRC_Severe_Weather_SIMs[[#This Row],[Ops Date]]), "N/A")</f>
        <v>31</v>
      </c>
      <c r="J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9" s="50">
        <f>IF(AND(CRC_Severe_Weather_SIMs[[#This Row],[CI]] = 0, CRC_Severe_Weather_SIMs[[#This Row],[Miss]] = 1), 1, 0)</f>
        <v>0</v>
      </c>
      <c r="N9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0" spans="1:16" x14ac:dyDescent="0.25">
      <c r="A10" t="s">
        <v>1760</v>
      </c>
      <c r="B10" t="s">
        <v>1761</v>
      </c>
      <c r="C10" t="s">
        <v>1743</v>
      </c>
      <c r="H10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45506</v>
      </c>
      <c r="I10" s="49">
        <f>IFERROR(WEEKNUM(CRC_Severe_Weather_SIMs[[#This Row],[Ops Date]]), "N/A")</f>
        <v>31</v>
      </c>
      <c r="J1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0" s="50">
        <f>IF(AND(CRC_Severe_Weather_SIMs[[#This Row],[CI]] = 0, CRC_Severe_Weather_SIMs[[#This Row],[Miss]] = 1), 1, 0)</f>
        <v>0</v>
      </c>
      <c r="N1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1" spans="1:16" x14ac:dyDescent="0.25">
      <c r="A11" t="s">
        <v>1762</v>
      </c>
      <c r="B11" t="s">
        <v>1763</v>
      </c>
      <c r="C11" t="s">
        <v>1743</v>
      </c>
      <c r="H11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45506</v>
      </c>
      <c r="I11" s="49">
        <f>IFERROR(WEEKNUM(CRC_Severe_Weather_SIMs[[#This Row],[Ops Date]]), "N/A")</f>
        <v>31</v>
      </c>
      <c r="J1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1" s="50">
        <f>IF(AND(CRC_Severe_Weather_SIMs[[#This Row],[CI]] = 0, CRC_Severe_Weather_SIMs[[#This Row],[Miss]] = 1), 1, 0)</f>
        <v>0</v>
      </c>
      <c r="N1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2" spans="1:16" x14ac:dyDescent="0.25">
      <c r="A12" t="s">
        <v>1764</v>
      </c>
      <c r="B12" t="s">
        <v>1765</v>
      </c>
      <c r="C12" t="s">
        <v>1743</v>
      </c>
      <c r="H12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45506</v>
      </c>
      <c r="I12" s="49">
        <f>IFERROR(WEEKNUM(CRC_Severe_Weather_SIMs[[#This Row],[Ops Date]]), "N/A")</f>
        <v>31</v>
      </c>
      <c r="J1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2" s="50">
        <f>IF(AND(CRC_Severe_Weather_SIMs[[#This Row],[CI]] = 0, CRC_Severe_Weather_SIMs[[#This Row],[Miss]] = 1), 1, 0)</f>
        <v>0</v>
      </c>
      <c r="N1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3" spans="1:16" x14ac:dyDescent="0.25">
      <c r="A13" t="s">
        <v>1766</v>
      </c>
      <c r="B13" t="s">
        <v>1767</v>
      </c>
      <c r="C13" t="s">
        <v>1743</v>
      </c>
      <c r="H13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45506</v>
      </c>
      <c r="I13" s="49">
        <f>IFERROR(WEEKNUM(CRC_Severe_Weather_SIMs[[#This Row],[Ops Date]]), "N/A")</f>
        <v>31</v>
      </c>
      <c r="J1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3" s="50">
        <f>IF(AND(CRC_Severe_Weather_SIMs[[#This Row],[CI]] = 0, CRC_Severe_Weather_SIMs[[#This Row],[Miss]] = 1), 1, 0)</f>
        <v>0</v>
      </c>
      <c r="N1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4" spans="1:16" x14ac:dyDescent="0.25">
      <c r="A14" t="s">
        <v>1768</v>
      </c>
      <c r="B14" t="s">
        <v>1769</v>
      </c>
      <c r="C14" t="s">
        <v>1743</v>
      </c>
      <c r="H1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45506</v>
      </c>
      <c r="I14" s="49">
        <f>IFERROR(WEEKNUM(CRC_Severe_Weather_SIMs[[#This Row],[Ops Date]]), "N/A")</f>
        <v>31</v>
      </c>
      <c r="J1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4" s="50">
        <f>IF(AND(CRC_Severe_Weather_SIMs[[#This Row],[CI]] = 0, CRC_Severe_Weather_SIMs[[#This Row],[Miss]] = 1), 1, 0)</f>
        <v>0</v>
      </c>
      <c r="N1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5" spans="1:16" x14ac:dyDescent="0.25">
      <c r="A15" t="s">
        <v>1770</v>
      </c>
      <c r="B15" t="s">
        <v>1771</v>
      </c>
      <c r="C15" t="s">
        <v>1743</v>
      </c>
      <c r="H15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45506</v>
      </c>
      <c r="I15" s="49">
        <f>IFERROR(WEEKNUM(CRC_Severe_Weather_SIMs[[#This Row],[Ops Date]]), "N/A")</f>
        <v>31</v>
      </c>
      <c r="J1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5" s="50">
        <f>IF(AND(CRC_Severe_Weather_SIMs[[#This Row],[CI]] = 0, CRC_Severe_Weather_SIMs[[#This Row],[Miss]] = 1), 1, 0)</f>
        <v>0</v>
      </c>
      <c r="N1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6" spans="1:16" x14ac:dyDescent="0.25">
      <c r="A16" t="s">
        <v>1772</v>
      </c>
      <c r="B16" t="s">
        <v>1773</v>
      </c>
      <c r="C16" t="s">
        <v>1743</v>
      </c>
      <c r="H16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45506</v>
      </c>
      <c r="I16" s="49">
        <f>IFERROR(WEEKNUM(CRC_Severe_Weather_SIMs[[#This Row],[Ops Date]]), "N/A")</f>
        <v>31</v>
      </c>
      <c r="J1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6" s="50">
        <f>IF(AND(CRC_Severe_Weather_SIMs[[#This Row],[CI]] = 0, CRC_Severe_Weather_SIMs[[#This Row],[Miss]] = 1), 1, 0)</f>
        <v>0</v>
      </c>
      <c r="N1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7" spans="1:16" x14ac:dyDescent="0.25">
      <c r="A17" t="s">
        <v>1774</v>
      </c>
      <c r="B17" t="s">
        <v>1775</v>
      </c>
      <c r="C17" t="s">
        <v>1743</v>
      </c>
      <c r="H17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45506</v>
      </c>
      <c r="I17" s="49">
        <f>IFERROR(WEEKNUM(CRC_Severe_Weather_SIMs[[#This Row],[Ops Date]]), "N/A")</f>
        <v>31</v>
      </c>
      <c r="J1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7" s="50">
        <f>IF(AND(CRC_Severe_Weather_SIMs[[#This Row],[CI]] = 0, CRC_Severe_Weather_SIMs[[#This Row],[Miss]] = 1), 1, 0)</f>
        <v>0</v>
      </c>
      <c r="N1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8" spans="1:16" x14ac:dyDescent="0.25">
      <c r="A18" t="s">
        <v>1776</v>
      </c>
      <c r="B18" t="s">
        <v>1777</v>
      </c>
      <c r="C18" t="s">
        <v>1778</v>
      </c>
      <c r="E18" t="s">
        <v>1759</v>
      </c>
      <c r="H18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45505</v>
      </c>
      <c r="I18" s="49">
        <f>IFERROR(WEEKNUM(CRC_Severe_Weather_SIMs[[#This Row],[Ops Date]]), "N/A")</f>
        <v>31</v>
      </c>
      <c r="J1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1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18" s="50">
        <f>IF(AND(CRC_Severe_Weather_SIMs[[#This Row],[CI]] = 0, CRC_Severe_Weather_SIMs[[#This Row],[Miss]] = 1), 1, 0)</f>
        <v>0</v>
      </c>
      <c r="N18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1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9" spans="1:16" x14ac:dyDescent="0.25">
      <c r="A19" t="s">
        <v>1779</v>
      </c>
      <c r="B19" t="s">
        <v>1780</v>
      </c>
      <c r="C19" t="s">
        <v>1778</v>
      </c>
      <c r="E19" t="s">
        <v>1759</v>
      </c>
      <c r="H19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45505</v>
      </c>
      <c r="I19" s="49">
        <f>IFERROR(WEEKNUM(CRC_Severe_Weather_SIMs[[#This Row],[Ops Date]]), "N/A")</f>
        <v>31</v>
      </c>
      <c r="J1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1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19" s="50">
        <f>IF(AND(CRC_Severe_Weather_SIMs[[#This Row],[CI]] = 0, CRC_Severe_Weather_SIMs[[#This Row],[Miss]] = 1), 1, 0)</f>
        <v>0</v>
      </c>
      <c r="N19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1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0" spans="1:16" x14ac:dyDescent="0.25">
      <c r="A20" t="s">
        <v>1781</v>
      </c>
      <c r="B20" t="s">
        <v>1782</v>
      </c>
      <c r="C20" t="s">
        <v>1778</v>
      </c>
      <c r="E20" t="s">
        <v>1759</v>
      </c>
      <c r="H20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45505</v>
      </c>
      <c r="I20" s="49">
        <f>IFERROR(WEEKNUM(CRC_Severe_Weather_SIMs[[#This Row],[Ops Date]]), "N/A")</f>
        <v>31</v>
      </c>
      <c r="J2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2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20" s="50">
        <f>IF(AND(CRC_Severe_Weather_SIMs[[#This Row],[CI]] = 0, CRC_Severe_Weather_SIMs[[#This Row],[Miss]] = 1), 1, 0)</f>
        <v>0</v>
      </c>
      <c r="N20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2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1" spans="1:16" x14ac:dyDescent="0.25">
      <c r="A21" t="s">
        <v>1783</v>
      </c>
      <c r="B21" t="s">
        <v>1784</v>
      </c>
      <c r="C21" t="s">
        <v>1778</v>
      </c>
      <c r="E21" t="s">
        <v>1759</v>
      </c>
      <c r="H21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45505</v>
      </c>
      <c r="I21" s="49">
        <f>IFERROR(WEEKNUM(CRC_Severe_Weather_SIMs[[#This Row],[Ops Date]]), "N/A")</f>
        <v>31</v>
      </c>
      <c r="J2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2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21" s="50">
        <f>IF(AND(CRC_Severe_Weather_SIMs[[#This Row],[CI]] = 0, CRC_Severe_Weather_SIMs[[#This Row],[Miss]] = 1), 1, 0)</f>
        <v>0</v>
      </c>
      <c r="N21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2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2" spans="1:16" x14ac:dyDescent="0.25">
      <c r="A22" t="s">
        <v>1785</v>
      </c>
      <c r="B22" t="s">
        <v>1786</v>
      </c>
      <c r="C22" t="s">
        <v>1778</v>
      </c>
      <c r="E22" t="s">
        <v>1759</v>
      </c>
      <c r="H22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45505</v>
      </c>
      <c r="I22" s="49">
        <f>IFERROR(WEEKNUM(CRC_Severe_Weather_SIMs[[#This Row],[Ops Date]]), "N/A")</f>
        <v>31</v>
      </c>
      <c r="J2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2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22" s="50">
        <f>IF(AND(CRC_Severe_Weather_SIMs[[#This Row],[CI]] = 0, CRC_Severe_Weather_SIMs[[#This Row],[Miss]] = 1), 1, 0)</f>
        <v>0</v>
      </c>
      <c r="N22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2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3" spans="1:16" x14ac:dyDescent="0.25">
      <c r="A23" t="s">
        <v>1787</v>
      </c>
      <c r="B23" t="s">
        <v>1788</v>
      </c>
      <c r="C23" t="s">
        <v>1778</v>
      </c>
      <c r="E23" t="s">
        <v>1759</v>
      </c>
      <c r="H23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45505</v>
      </c>
      <c r="I23" s="49">
        <f>IFERROR(WEEKNUM(CRC_Severe_Weather_SIMs[[#This Row],[Ops Date]]), "N/A")</f>
        <v>31</v>
      </c>
      <c r="J2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2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23" s="50">
        <f>IF(AND(CRC_Severe_Weather_SIMs[[#This Row],[CI]] = 0, CRC_Severe_Weather_SIMs[[#This Row],[Miss]] = 1), 1, 0)</f>
        <v>0</v>
      </c>
      <c r="N23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2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4" spans="1:16" x14ac:dyDescent="0.25">
      <c r="A24" t="s">
        <v>1789</v>
      </c>
      <c r="B24" t="s">
        <v>1790</v>
      </c>
      <c r="C24" t="s">
        <v>1791</v>
      </c>
      <c r="H2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45505</v>
      </c>
      <c r="I24" s="49">
        <f>IFERROR(WEEKNUM(CRC_Severe_Weather_SIMs[[#This Row],[Ops Date]]), "N/A")</f>
        <v>31</v>
      </c>
      <c r="J2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4" s="50">
        <f>IF(AND(CRC_Severe_Weather_SIMs[[#This Row],[CI]] = 0, CRC_Severe_Weather_SIMs[[#This Row],[Miss]] = 1), 1, 0)</f>
        <v>0</v>
      </c>
      <c r="N2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5" spans="1:16" x14ac:dyDescent="0.25">
      <c r="A25" t="s">
        <v>1792</v>
      </c>
      <c r="B25" t="s">
        <v>1793</v>
      </c>
      <c r="C25" t="s">
        <v>1778</v>
      </c>
      <c r="E25" t="s">
        <v>1759</v>
      </c>
      <c r="H25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45505</v>
      </c>
      <c r="I25" s="49">
        <f>IFERROR(WEEKNUM(CRC_Severe_Weather_SIMs[[#This Row],[Ops Date]]), "N/A")</f>
        <v>31</v>
      </c>
      <c r="J2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2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25" s="50">
        <f>IF(AND(CRC_Severe_Weather_SIMs[[#This Row],[CI]] = 0, CRC_Severe_Weather_SIMs[[#This Row],[Miss]] = 1), 1, 0)</f>
        <v>0</v>
      </c>
      <c r="N25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2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6" spans="1:16" x14ac:dyDescent="0.25">
      <c r="A26" t="s">
        <v>1794</v>
      </c>
      <c r="B26" t="s">
        <v>1795</v>
      </c>
      <c r="C26" t="s">
        <v>1791</v>
      </c>
      <c r="H26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45505</v>
      </c>
      <c r="I26" s="49">
        <f>IFERROR(WEEKNUM(CRC_Severe_Weather_SIMs[[#This Row],[Ops Date]]), "N/A")</f>
        <v>31</v>
      </c>
      <c r="J2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6" s="50">
        <f>IF(AND(CRC_Severe_Weather_SIMs[[#This Row],[CI]] = 0, CRC_Severe_Weather_SIMs[[#This Row],[Miss]] = 1), 1, 0)</f>
        <v>0</v>
      </c>
      <c r="N2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7" spans="1:16" x14ac:dyDescent="0.25">
      <c r="A27" t="s">
        <v>1796</v>
      </c>
      <c r="B27" t="s">
        <v>1797</v>
      </c>
      <c r="C27" t="s">
        <v>1791</v>
      </c>
      <c r="H27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45505</v>
      </c>
      <c r="I27" s="49">
        <f>IFERROR(WEEKNUM(CRC_Severe_Weather_SIMs[[#This Row],[Ops Date]]), "N/A")</f>
        <v>31</v>
      </c>
      <c r="J2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7" s="50">
        <f>IF(AND(CRC_Severe_Weather_SIMs[[#This Row],[CI]] = 0, CRC_Severe_Weather_SIMs[[#This Row],[Miss]] = 1), 1, 0)</f>
        <v>0</v>
      </c>
      <c r="N2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8" spans="1:16" x14ac:dyDescent="0.25">
      <c r="A28" t="s">
        <v>1798</v>
      </c>
      <c r="B28" t="s">
        <v>1799</v>
      </c>
      <c r="C28" t="s">
        <v>1778</v>
      </c>
      <c r="E28" t="s">
        <v>1759</v>
      </c>
      <c r="H28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45505</v>
      </c>
      <c r="I28" s="49">
        <f>IFERROR(WEEKNUM(CRC_Severe_Weather_SIMs[[#This Row],[Ops Date]]), "N/A")</f>
        <v>31</v>
      </c>
      <c r="J2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2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28" s="50">
        <f>IF(AND(CRC_Severe_Weather_SIMs[[#This Row],[CI]] = 0, CRC_Severe_Weather_SIMs[[#This Row],[Miss]] = 1), 1, 0)</f>
        <v>0</v>
      </c>
      <c r="N28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2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9" spans="1:16" x14ac:dyDescent="0.25">
      <c r="A29" t="s">
        <v>1800</v>
      </c>
      <c r="B29" t="s">
        <v>1801</v>
      </c>
      <c r="C29" t="s">
        <v>1791</v>
      </c>
      <c r="H29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45505</v>
      </c>
      <c r="I29" s="49">
        <f>IFERROR(WEEKNUM(CRC_Severe_Weather_SIMs[[#This Row],[Ops Date]]), "N/A")</f>
        <v>31</v>
      </c>
      <c r="J2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9" s="50">
        <f>IF(AND(CRC_Severe_Weather_SIMs[[#This Row],[CI]] = 0, CRC_Severe_Weather_SIMs[[#This Row],[Miss]] = 1), 1, 0)</f>
        <v>0</v>
      </c>
      <c r="N2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30" spans="1:16" x14ac:dyDescent="0.25">
      <c r="A30" t="s">
        <v>1802</v>
      </c>
      <c r="B30" t="s">
        <v>1803</v>
      </c>
      <c r="C30" t="s">
        <v>1791</v>
      </c>
      <c r="H30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45505</v>
      </c>
      <c r="I30" s="49">
        <f>IFERROR(WEEKNUM(CRC_Severe_Weather_SIMs[[#This Row],[Ops Date]]), "N/A")</f>
        <v>31</v>
      </c>
      <c r="J3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3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3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30" s="50">
        <f>IF(AND(CRC_Severe_Weather_SIMs[[#This Row],[CI]] = 0, CRC_Severe_Weather_SIMs[[#This Row],[Miss]] = 1), 1, 0)</f>
        <v>0</v>
      </c>
      <c r="N3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3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3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31" spans="1:16" x14ac:dyDescent="0.25">
      <c r="A31" t="s">
        <v>1804</v>
      </c>
      <c r="B31" t="s">
        <v>1805</v>
      </c>
      <c r="C31" t="s">
        <v>1791</v>
      </c>
      <c r="H31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45505</v>
      </c>
      <c r="I31" s="49">
        <f>IFERROR(WEEKNUM(CRC_Severe_Weather_SIMs[[#This Row],[Ops Date]]), "N/A")</f>
        <v>31</v>
      </c>
      <c r="J3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3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3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31" s="50">
        <f>IF(AND(CRC_Severe_Weather_SIMs[[#This Row],[CI]] = 0, CRC_Severe_Weather_SIMs[[#This Row],[Miss]] = 1), 1, 0)</f>
        <v>0</v>
      </c>
      <c r="N3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3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3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32" spans="1:16" x14ac:dyDescent="0.25">
      <c r="A32" t="s">
        <v>1806</v>
      </c>
      <c r="B32" t="s">
        <v>1807</v>
      </c>
      <c r="C32" t="s">
        <v>1791</v>
      </c>
      <c r="H32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45505</v>
      </c>
      <c r="I32" s="49">
        <f>IFERROR(WEEKNUM(CRC_Severe_Weather_SIMs[[#This Row],[Ops Date]]), "N/A")</f>
        <v>31</v>
      </c>
      <c r="J3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3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3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32" s="50">
        <f>IF(AND(CRC_Severe_Weather_SIMs[[#This Row],[CI]] = 0, CRC_Severe_Weather_SIMs[[#This Row],[Miss]] = 1), 1, 0)</f>
        <v>0</v>
      </c>
      <c r="N3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3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3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33" spans="1:16" x14ac:dyDescent="0.25">
      <c r="A33" t="s">
        <v>1808</v>
      </c>
      <c r="B33" t="s">
        <v>1809</v>
      </c>
      <c r="C33" t="s">
        <v>1791</v>
      </c>
      <c r="H33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45505</v>
      </c>
      <c r="I33" s="49">
        <f>IFERROR(WEEKNUM(CRC_Severe_Weather_SIMs[[#This Row],[Ops Date]]), "N/A")</f>
        <v>31</v>
      </c>
      <c r="J3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3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3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33" s="50">
        <f>IF(AND(CRC_Severe_Weather_SIMs[[#This Row],[CI]] = 0, CRC_Severe_Weather_SIMs[[#This Row],[Miss]] = 1), 1, 0)</f>
        <v>0</v>
      </c>
      <c r="N3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3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3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34" spans="1:16" x14ac:dyDescent="0.25">
      <c r="A34" t="s">
        <v>1810</v>
      </c>
      <c r="B34" t="s">
        <v>1811</v>
      </c>
      <c r="C34" t="s">
        <v>1791</v>
      </c>
      <c r="H3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45505</v>
      </c>
      <c r="I34" s="49">
        <f>IFERROR(WEEKNUM(CRC_Severe_Weather_SIMs[[#This Row],[Ops Date]]), "N/A")</f>
        <v>31</v>
      </c>
      <c r="J3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3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3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34" s="50">
        <f>IF(AND(CRC_Severe_Weather_SIMs[[#This Row],[CI]] = 0, CRC_Severe_Weather_SIMs[[#This Row],[Miss]] = 1), 1, 0)</f>
        <v>0</v>
      </c>
      <c r="N3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3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3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35" spans="1:16" x14ac:dyDescent="0.25">
      <c r="A35" t="s">
        <v>1812</v>
      </c>
      <c r="B35" t="s">
        <v>1813</v>
      </c>
      <c r="C35" t="s">
        <v>1814</v>
      </c>
      <c r="H35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45504</v>
      </c>
      <c r="I35" s="49">
        <f>IFERROR(WEEKNUM(CRC_Severe_Weather_SIMs[[#This Row],[Ops Date]]), "N/A")</f>
        <v>31</v>
      </c>
      <c r="J3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3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3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35" s="50">
        <f>IF(AND(CRC_Severe_Weather_SIMs[[#This Row],[CI]] = 0, CRC_Severe_Weather_SIMs[[#This Row],[Miss]] = 1), 1, 0)</f>
        <v>0</v>
      </c>
      <c r="N3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3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3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36" spans="1:16" x14ac:dyDescent="0.25">
      <c r="A36" t="s">
        <v>1815</v>
      </c>
      <c r="B36" t="s">
        <v>1816</v>
      </c>
      <c r="C36" t="s">
        <v>1814</v>
      </c>
      <c r="H36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45504</v>
      </c>
      <c r="I36" s="49">
        <f>IFERROR(WEEKNUM(CRC_Severe_Weather_SIMs[[#This Row],[Ops Date]]), "N/A")</f>
        <v>31</v>
      </c>
      <c r="J3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3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3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36" s="50">
        <f>IF(AND(CRC_Severe_Weather_SIMs[[#This Row],[CI]] = 0, CRC_Severe_Weather_SIMs[[#This Row],[Miss]] = 1), 1, 0)</f>
        <v>0</v>
      </c>
      <c r="N3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3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3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37" spans="1:16" x14ac:dyDescent="0.25">
      <c r="A37" t="s">
        <v>1817</v>
      </c>
      <c r="B37" t="s">
        <v>1818</v>
      </c>
      <c r="C37" t="s">
        <v>1814</v>
      </c>
      <c r="H37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45504</v>
      </c>
      <c r="I37" s="49">
        <f>IFERROR(WEEKNUM(CRC_Severe_Weather_SIMs[[#This Row],[Ops Date]]), "N/A")</f>
        <v>31</v>
      </c>
      <c r="J3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3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3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37" s="50">
        <f>IF(AND(CRC_Severe_Weather_SIMs[[#This Row],[CI]] = 0, CRC_Severe_Weather_SIMs[[#This Row],[Miss]] = 1), 1, 0)</f>
        <v>0</v>
      </c>
      <c r="N3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3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3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38" spans="1:16" x14ac:dyDescent="0.25">
      <c r="A38" t="s">
        <v>1819</v>
      </c>
      <c r="B38" t="s">
        <v>1820</v>
      </c>
      <c r="C38" t="s">
        <v>1814</v>
      </c>
      <c r="H38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45504</v>
      </c>
      <c r="I38" s="49">
        <f>IFERROR(WEEKNUM(CRC_Severe_Weather_SIMs[[#This Row],[Ops Date]]), "N/A")</f>
        <v>31</v>
      </c>
      <c r="J3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3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3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38" s="50">
        <f>IF(AND(CRC_Severe_Weather_SIMs[[#This Row],[CI]] = 0, CRC_Severe_Weather_SIMs[[#This Row],[Miss]] = 1), 1, 0)</f>
        <v>0</v>
      </c>
      <c r="N3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3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3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39" spans="1:16" x14ac:dyDescent="0.25">
      <c r="A39" t="s">
        <v>1821</v>
      </c>
      <c r="B39" t="s">
        <v>1822</v>
      </c>
      <c r="C39" t="s">
        <v>1814</v>
      </c>
      <c r="H39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45504</v>
      </c>
      <c r="I39" s="49">
        <f>IFERROR(WEEKNUM(CRC_Severe_Weather_SIMs[[#This Row],[Ops Date]]), "N/A")</f>
        <v>31</v>
      </c>
      <c r="J3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3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3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39" s="50">
        <f>IF(AND(CRC_Severe_Weather_SIMs[[#This Row],[CI]] = 0, CRC_Severe_Weather_SIMs[[#This Row],[Miss]] = 1), 1, 0)</f>
        <v>0</v>
      </c>
      <c r="N3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3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3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40" spans="1:16" x14ac:dyDescent="0.25">
      <c r="A40" t="s">
        <v>1823</v>
      </c>
      <c r="B40" t="s">
        <v>1824</v>
      </c>
      <c r="C40" t="s">
        <v>1814</v>
      </c>
      <c r="H40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45504</v>
      </c>
      <c r="I40" s="49">
        <f>IFERROR(WEEKNUM(CRC_Severe_Weather_SIMs[[#This Row],[Ops Date]]), "N/A")</f>
        <v>31</v>
      </c>
      <c r="J4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4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4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40" s="50">
        <f>IF(AND(CRC_Severe_Weather_SIMs[[#This Row],[CI]] = 0, CRC_Severe_Weather_SIMs[[#This Row],[Miss]] = 1), 1, 0)</f>
        <v>0</v>
      </c>
      <c r="N4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4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4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41" spans="1:16" x14ac:dyDescent="0.25">
      <c r="A41" t="s">
        <v>1825</v>
      </c>
      <c r="B41" t="s">
        <v>1826</v>
      </c>
      <c r="C41" t="s">
        <v>1814</v>
      </c>
      <c r="H41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45504</v>
      </c>
      <c r="I41" s="49">
        <f>IFERROR(WEEKNUM(CRC_Severe_Weather_SIMs[[#This Row],[Ops Date]]), "N/A")</f>
        <v>31</v>
      </c>
      <c r="J4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4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4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41" s="50">
        <f>IF(AND(CRC_Severe_Weather_SIMs[[#This Row],[CI]] = 0, CRC_Severe_Weather_SIMs[[#This Row],[Miss]] = 1), 1, 0)</f>
        <v>0</v>
      </c>
      <c r="N4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4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4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42" spans="1:16" x14ac:dyDescent="0.25">
      <c r="A42" t="s">
        <v>1827</v>
      </c>
      <c r="B42" t="s">
        <v>1813</v>
      </c>
      <c r="C42" t="s">
        <v>1814</v>
      </c>
      <c r="H42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45504</v>
      </c>
      <c r="I42" s="49">
        <f>IFERROR(WEEKNUM(CRC_Severe_Weather_SIMs[[#This Row],[Ops Date]]), "N/A")</f>
        <v>31</v>
      </c>
      <c r="J4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4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4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42" s="50">
        <f>IF(AND(CRC_Severe_Weather_SIMs[[#This Row],[CI]] = 0, CRC_Severe_Weather_SIMs[[#This Row],[Miss]] = 1), 1, 0)</f>
        <v>0</v>
      </c>
      <c r="N4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4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4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43" spans="1:16" x14ac:dyDescent="0.25">
      <c r="A43" t="s">
        <v>1828</v>
      </c>
      <c r="B43" t="s">
        <v>1829</v>
      </c>
      <c r="C43" t="s">
        <v>1814</v>
      </c>
      <c r="H43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45504</v>
      </c>
      <c r="I43" s="49">
        <f>IFERROR(WEEKNUM(CRC_Severe_Weather_SIMs[[#This Row],[Ops Date]]), "N/A")</f>
        <v>31</v>
      </c>
      <c r="J4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4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4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43" s="50">
        <f>IF(AND(CRC_Severe_Weather_SIMs[[#This Row],[CI]] = 0, CRC_Severe_Weather_SIMs[[#This Row],[Miss]] = 1), 1, 0)</f>
        <v>0</v>
      </c>
      <c r="N4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4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4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44" spans="1:16" x14ac:dyDescent="0.25">
      <c r="A44" t="s">
        <v>1830</v>
      </c>
      <c r="B44" t="s">
        <v>1829</v>
      </c>
      <c r="C44" t="s">
        <v>1814</v>
      </c>
      <c r="H4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45504</v>
      </c>
      <c r="I44" s="49">
        <f>IFERROR(WEEKNUM(CRC_Severe_Weather_SIMs[[#This Row],[Ops Date]]), "N/A")</f>
        <v>31</v>
      </c>
      <c r="J4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4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4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44" s="50">
        <f>IF(AND(CRC_Severe_Weather_SIMs[[#This Row],[CI]] = 0, CRC_Severe_Weather_SIMs[[#This Row],[Miss]] = 1), 1, 0)</f>
        <v>0</v>
      </c>
      <c r="N4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4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4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45" spans="1:16" x14ac:dyDescent="0.25">
      <c r="A45" t="s">
        <v>1831</v>
      </c>
      <c r="B45" t="s">
        <v>1832</v>
      </c>
      <c r="C45" t="s">
        <v>1814</v>
      </c>
      <c r="H45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45504</v>
      </c>
      <c r="I45" s="49">
        <f>IFERROR(WEEKNUM(CRC_Severe_Weather_SIMs[[#This Row],[Ops Date]]), "N/A")</f>
        <v>31</v>
      </c>
      <c r="J4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4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4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45" s="50">
        <f>IF(AND(CRC_Severe_Weather_SIMs[[#This Row],[CI]] = 0, CRC_Severe_Weather_SIMs[[#This Row],[Miss]] = 1), 1, 0)</f>
        <v>0</v>
      </c>
      <c r="N4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4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4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46" spans="1:16" x14ac:dyDescent="0.25">
      <c r="A46" t="s">
        <v>1833</v>
      </c>
      <c r="B46" t="s">
        <v>1834</v>
      </c>
      <c r="C46" t="s">
        <v>1814</v>
      </c>
      <c r="H46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45504</v>
      </c>
      <c r="I46" s="49">
        <f>IFERROR(WEEKNUM(CRC_Severe_Weather_SIMs[[#This Row],[Ops Date]]), "N/A")</f>
        <v>31</v>
      </c>
      <c r="J4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4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4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46" s="50">
        <f>IF(AND(CRC_Severe_Weather_SIMs[[#This Row],[CI]] = 0, CRC_Severe_Weather_SIMs[[#This Row],[Miss]] = 1), 1, 0)</f>
        <v>0</v>
      </c>
      <c r="N4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4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4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47" spans="1:16" x14ac:dyDescent="0.25">
      <c r="A47" t="s">
        <v>1835</v>
      </c>
      <c r="B47" t="s">
        <v>1836</v>
      </c>
      <c r="C47" t="s">
        <v>1814</v>
      </c>
      <c r="H47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45504</v>
      </c>
      <c r="I47" s="49">
        <f>IFERROR(WEEKNUM(CRC_Severe_Weather_SIMs[[#This Row],[Ops Date]]), "N/A")</f>
        <v>31</v>
      </c>
      <c r="J4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4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4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47" s="50">
        <f>IF(AND(CRC_Severe_Weather_SIMs[[#This Row],[CI]] = 0, CRC_Severe_Weather_SIMs[[#This Row],[Miss]] = 1), 1, 0)</f>
        <v>0</v>
      </c>
      <c r="N4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4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4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48" spans="1:16" x14ac:dyDescent="0.25">
      <c r="A48" t="s">
        <v>1837</v>
      </c>
      <c r="B48" t="s">
        <v>1838</v>
      </c>
      <c r="C48" t="s">
        <v>1814</v>
      </c>
      <c r="H48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45504</v>
      </c>
      <c r="I48" s="49">
        <f>IFERROR(WEEKNUM(CRC_Severe_Weather_SIMs[[#This Row],[Ops Date]]), "N/A")</f>
        <v>31</v>
      </c>
      <c r="J4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4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4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48" s="50">
        <f>IF(AND(CRC_Severe_Weather_SIMs[[#This Row],[CI]] = 0, CRC_Severe_Weather_SIMs[[#This Row],[Miss]] = 1), 1, 0)</f>
        <v>0</v>
      </c>
      <c r="N4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4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4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49" spans="1:16" x14ac:dyDescent="0.25">
      <c r="A49" t="s">
        <v>1839</v>
      </c>
      <c r="B49" t="s">
        <v>1840</v>
      </c>
      <c r="C49" t="s">
        <v>1814</v>
      </c>
      <c r="H49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45504</v>
      </c>
      <c r="I49" s="49">
        <f>IFERROR(WEEKNUM(CRC_Severe_Weather_SIMs[[#This Row],[Ops Date]]), "N/A")</f>
        <v>31</v>
      </c>
      <c r="J4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4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4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49" s="50">
        <f>IF(AND(CRC_Severe_Weather_SIMs[[#This Row],[CI]] = 0, CRC_Severe_Weather_SIMs[[#This Row],[Miss]] = 1), 1, 0)</f>
        <v>0</v>
      </c>
      <c r="N4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4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4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50" spans="1:16" x14ac:dyDescent="0.25">
      <c r="A50" t="s">
        <v>1841</v>
      </c>
      <c r="B50" t="s">
        <v>1842</v>
      </c>
      <c r="C50" t="s">
        <v>1814</v>
      </c>
      <c r="H50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45504</v>
      </c>
      <c r="I50" s="49">
        <f>IFERROR(WEEKNUM(CRC_Severe_Weather_SIMs[[#This Row],[Ops Date]]), "N/A")</f>
        <v>31</v>
      </c>
      <c r="J5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5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5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50" s="50">
        <f>IF(AND(CRC_Severe_Weather_SIMs[[#This Row],[CI]] = 0, CRC_Severe_Weather_SIMs[[#This Row],[Miss]] = 1), 1, 0)</f>
        <v>0</v>
      </c>
      <c r="N5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5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5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51" spans="1:16" x14ac:dyDescent="0.25">
      <c r="A51" t="s">
        <v>1843</v>
      </c>
      <c r="B51" t="s">
        <v>1844</v>
      </c>
      <c r="C51" t="s">
        <v>1814</v>
      </c>
      <c r="H51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45504</v>
      </c>
      <c r="I51" s="49">
        <f>IFERROR(WEEKNUM(CRC_Severe_Weather_SIMs[[#This Row],[Ops Date]]), "N/A")</f>
        <v>31</v>
      </c>
      <c r="J5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5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5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51" s="50">
        <f>IF(AND(CRC_Severe_Weather_SIMs[[#This Row],[CI]] = 0, CRC_Severe_Weather_SIMs[[#This Row],[Miss]] = 1), 1, 0)</f>
        <v>0</v>
      </c>
      <c r="N5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5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5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52" spans="1:16" x14ac:dyDescent="0.25">
      <c r="A52" t="s">
        <v>1845</v>
      </c>
      <c r="B52" t="s">
        <v>1846</v>
      </c>
      <c r="C52" t="s">
        <v>1814</v>
      </c>
      <c r="H52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45504</v>
      </c>
      <c r="I52" s="49">
        <f>IFERROR(WEEKNUM(CRC_Severe_Weather_SIMs[[#This Row],[Ops Date]]), "N/A")</f>
        <v>31</v>
      </c>
      <c r="J5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5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5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52" s="50">
        <f>IF(AND(CRC_Severe_Weather_SIMs[[#This Row],[CI]] = 0, CRC_Severe_Weather_SIMs[[#This Row],[Miss]] = 1), 1, 0)</f>
        <v>0</v>
      </c>
      <c r="N5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5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5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53" spans="1:16" x14ac:dyDescent="0.25">
      <c r="A53" t="s">
        <v>1847</v>
      </c>
      <c r="B53" t="s">
        <v>1848</v>
      </c>
      <c r="C53" t="s">
        <v>1814</v>
      </c>
      <c r="H53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45504</v>
      </c>
      <c r="I53" s="49">
        <f>IFERROR(WEEKNUM(CRC_Severe_Weather_SIMs[[#This Row],[Ops Date]]), "N/A")</f>
        <v>31</v>
      </c>
      <c r="J5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5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5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53" s="50">
        <f>IF(AND(CRC_Severe_Weather_SIMs[[#This Row],[CI]] = 0, CRC_Severe_Weather_SIMs[[#This Row],[Miss]] = 1), 1, 0)</f>
        <v>0</v>
      </c>
      <c r="N5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5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5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54" spans="1:16" x14ac:dyDescent="0.25">
      <c r="A54" t="s">
        <v>1849</v>
      </c>
      <c r="B54" t="s">
        <v>1850</v>
      </c>
      <c r="C54" t="s">
        <v>1851</v>
      </c>
      <c r="H5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45503</v>
      </c>
      <c r="I54" s="49">
        <f>IFERROR(WEEKNUM(CRC_Severe_Weather_SIMs[[#This Row],[Ops Date]]), "N/A")</f>
        <v>31</v>
      </c>
      <c r="J5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5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5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54" s="50">
        <f>IF(AND(CRC_Severe_Weather_SIMs[[#This Row],[CI]] = 0, CRC_Severe_Weather_SIMs[[#This Row],[Miss]] = 1), 1, 0)</f>
        <v>0</v>
      </c>
      <c r="N5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5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5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55" spans="1:16" x14ac:dyDescent="0.25">
      <c r="A55" t="s">
        <v>1852</v>
      </c>
      <c r="B55" t="s">
        <v>1853</v>
      </c>
      <c r="C55" t="s">
        <v>1851</v>
      </c>
      <c r="H55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45503</v>
      </c>
      <c r="I55" s="49">
        <f>IFERROR(WEEKNUM(CRC_Severe_Weather_SIMs[[#This Row],[Ops Date]]), "N/A")</f>
        <v>31</v>
      </c>
      <c r="J5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5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5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55" s="50">
        <f>IF(AND(CRC_Severe_Weather_SIMs[[#This Row],[CI]] = 0, CRC_Severe_Weather_SIMs[[#This Row],[Miss]] = 1), 1, 0)</f>
        <v>0</v>
      </c>
      <c r="N5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5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5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56" spans="1:16" x14ac:dyDescent="0.25">
      <c r="A56" t="s">
        <v>1854</v>
      </c>
      <c r="B56" t="s">
        <v>1855</v>
      </c>
      <c r="C56" t="s">
        <v>1851</v>
      </c>
      <c r="H56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45503</v>
      </c>
      <c r="I56" s="49">
        <f>IFERROR(WEEKNUM(CRC_Severe_Weather_SIMs[[#This Row],[Ops Date]]), "N/A")</f>
        <v>31</v>
      </c>
      <c r="J5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5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5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56" s="50">
        <f>IF(AND(CRC_Severe_Weather_SIMs[[#This Row],[CI]] = 0, CRC_Severe_Weather_SIMs[[#This Row],[Miss]] = 1), 1, 0)</f>
        <v>0</v>
      </c>
      <c r="N5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5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5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57" spans="1:16" x14ac:dyDescent="0.25">
      <c r="A57" t="s">
        <v>1856</v>
      </c>
      <c r="B57" t="s">
        <v>1857</v>
      </c>
      <c r="C57" t="s">
        <v>1851</v>
      </c>
      <c r="H57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45503</v>
      </c>
      <c r="I57" s="49">
        <f>IFERROR(WEEKNUM(CRC_Severe_Weather_SIMs[[#This Row],[Ops Date]]), "N/A")</f>
        <v>31</v>
      </c>
      <c r="J5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5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5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57" s="50">
        <f>IF(AND(CRC_Severe_Weather_SIMs[[#This Row],[CI]] = 0, CRC_Severe_Weather_SIMs[[#This Row],[Miss]] = 1), 1, 0)</f>
        <v>0</v>
      </c>
      <c r="N5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5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5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58" spans="1:16" x14ac:dyDescent="0.25">
      <c r="A58" t="s">
        <v>1858</v>
      </c>
      <c r="B58" t="s">
        <v>1859</v>
      </c>
      <c r="C58" t="s">
        <v>1851</v>
      </c>
      <c r="H58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45503</v>
      </c>
      <c r="I58" s="49">
        <f>IFERROR(WEEKNUM(CRC_Severe_Weather_SIMs[[#This Row],[Ops Date]]), "N/A")</f>
        <v>31</v>
      </c>
      <c r="J5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5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5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58" s="50">
        <f>IF(AND(CRC_Severe_Weather_SIMs[[#This Row],[CI]] = 0, CRC_Severe_Weather_SIMs[[#This Row],[Miss]] = 1), 1, 0)</f>
        <v>0</v>
      </c>
      <c r="N5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5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5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59" spans="1:16" x14ac:dyDescent="0.25">
      <c r="A59" t="s">
        <v>1860</v>
      </c>
      <c r="B59" t="s">
        <v>1861</v>
      </c>
      <c r="C59" t="s">
        <v>1851</v>
      </c>
      <c r="H59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45503</v>
      </c>
      <c r="I59" s="49">
        <f>IFERROR(WEEKNUM(CRC_Severe_Weather_SIMs[[#This Row],[Ops Date]]), "N/A")</f>
        <v>31</v>
      </c>
      <c r="J5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5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5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59" s="50">
        <f>IF(AND(CRC_Severe_Weather_SIMs[[#This Row],[CI]] = 0, CRC_Severe_Weather_SIMs[[#This Row],[Miss]] = 1), 1, 0)</f>
        <v>0</v>
      </c>
      <c r="N5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5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5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60" spans="1:16" x14ac:dyDescent="0.25">
      <c r="A60" t="s">
        <v>1862</v>
      </c>
      <c r="B60" t="s">
        <v>1863</v>
      </c>
      <c r="C60" t="s">
        <v>1851</v>
      </c>
      <c r="H60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45503</v>
      </c>
      <c r="I60" s="49">
        <f>IFERROR(WEEKNUM(CRC_Severe_Weather_SIMs[[#This Row],[Ops Date]]), "N/A")</f>
        <v>31</v>
      </c>
      <c r="J6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6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6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60" s="50">
        <f>IF(AND(CRC_Severe_Weather_SIMs[[#This Row],[CI]] = 0, CRC_Severe_Weather_SIMs[[#This Row],[Miss]] = 1), 1, 0)</f>
        <v>0</v>
      </c>
      <c r="N6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6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6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61" spans="1:16" x14ac:dyDescent="0.25">
      <c r="A61" t="s">
        <v>1864</v>
      </c>
      <c r="B61" t="s">
        <v>1865</v>
      </c>
      <c r="C61" t="s">
        <v>1851</v>
      </c>
      <c r="H61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45503</v>
      </c>
      <c r="I61" s="49">
        <f>IFERROR(WEEKNUM(CRC_Severe_Weather_SIMs[[#This Row],[Ops Date]]), "N/A")</f>
        <v>31</v>
      </c>
      <c r="J6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6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6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61" s="50">
        <f>IF(AND(CRC_Severe_Weather_SIMs[[#This Row],[CI]] = 0, CRC_Severe_Weather_SIMs[[#This Row],[Miss]] = 1), 1, 0)</f>
        <v>0</v>
      </c>
      <c r="N6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6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6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62" spans="1:16" x14ac:dyDescent="0.25">
      <c r="A62" t="s">
        <v>1866</v>
      </c>
      <c r="B62" t="s">
        <v>1867</v>
      </c>
      <c r="C62" t="s">
        <v>1851</v>
      </c>
      <c r="H62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45503</v>
      </c>
      <c r="I62" s="49">
        <f>IFERROR(WEEKNUM(CRC_Severe_Weather_SIMs[[#This Row],[Ops Date]]), "N/A")</f>
        <v>31</v>
      </c>
      <c r="J6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6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6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62" s="50">
        <f>IF(AND(CRC_Severe_Weather_SIMs[[#This Row],[CI]] = 0, CRC_Severe_Weather_SIMs[[#This Row],[Miss]] = 1), 1, 0)</f>
        <v>0</v>
      </c>
      <c r="N6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6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6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63" spans="1:16" x14ac:dyDescent="0.25">
      <c r="A63" t="s">
        <v>1868</v>
      </c>
      <c r="B63" t="s">
        <v>1869</v>
      </c>
      <c r="C63" t="s">
        <v>1851</v>
      </c>
      <c r="H63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45503</v>
      </c>
      <c r="I63" s="49">
        <f>IFERROR(WEEKNUM(CRC_Severe_Weather_SIMs[[#This Row],[Ops Date]]), "N/A")</f>
        <v>31</v>
      </c>
      <c r="J6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6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6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63" s="50">
        <f>IF(AND(CRC_Severe_Weather_SIMs[[#This Row],[CI]] = 0, CRC_Severe_Weather_SIMs[[#This Row],[Miss]] = 1), 1, 0)</f>
        <v>0</v>
      </c>
      <c r="N6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6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6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64" spans="1:16" x14ac:dyDescent="0.25">
      <c r="A64" t="s">
        <v>1870</v>
      </c>
      <c r="B64" t="s">
        <v>1871</v>
      </c>
      <c r="C64" t="s">
        <v>1851</v>
      </c>
      <c r="H6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45503</v>
      </c>
      <c r="I64" s="49">
        <f>IFERROR(WEEKNUM(CRC_Severe_Weather_SIMs[[#This Row],[Ops Date]]), "N/A")</f>
        <v>31</v>
      </c>
      <c r="J6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6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6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64" s="50">
        <f>IF(AND(CRC_Severe_Weather_SIMs[[#This Row],[CI]] = 0, CRC_Severe_Weather_SIMs[[#This Row],[Miss]] = 1), 1, 0)</f>
        <v>0</v>
      </c>
      <c r="N6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6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6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65" spans="1:16" x14ac:dyDescent="0.25">
      <c r="A65" t="s">
        <v>1872</v>
      </c>
      <c r="B65" t="s">
        <v>1873</v>
      </c>
      <c r="C65" t="s">
        <v>1851</v>
      </c>
      <c r="H65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45503</v>
      </c>
      <c r="I65" s="49">
        <f>IFERROR(WEEKNUM(CRC_Severe_Weather_SIMs[[#This Row],[Ops Date]]), "N/A")</f>
        <v>31</v>
      </c>
      <c r="J6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6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6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65" s="50">
        <f>IF(AND(CRC_Severe_Weather_SIMs[[#This Row],[CI]] = 0, CRC_Severe_Weather_SIMs[[#This Row],[Miss]] = 1), 1, 0)</f>
        <v>0</v>
      </c>
      <c r="N6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6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6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66" spans="1:16" x14ac:dyDescent="0.25">
      <c r="A66" t="s">
        <v>1874</v>
      </c>
      <c r="B66" t="s">
        <v>1875</v>
      </c>
      <c r="C66" t="s">
        <v>1851</v>
      </c>
      <c r="H66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45503</v>
      </c>
      <c r="I66" s="49">
        <f>IFERROR(WEEKNUM(CRC_Severe_Weather_SIMs[[#This Row],[Ops Date]]), "N/A")</f>
        <v>31</v>
      </c>
      <c r="J6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6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6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66" s="50">
        <f>IF(AND(CRC_Severe_Weather_SIMs[[#This Row],[CI]] = 0, CRC_Severe_Weather_SIMs[[#This Row],[Miss]] = 1), 1, 0)</f>
        <v>0</v>
      </c>
      <c r="N6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6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6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67" spans="1:16" x14ac:dyDescent="0.25">
      <c r="A67" t="s">
        <v>1876</v>
      </c>
      <c r="B67" t="s">
        <v>1877</v>
      </c>
      <c r="C67" t="s">
        <v>1851</v>
      </c>
      <c r="H67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45503</v>
      </c>
      <c r="I67" s="49">
        <f>IFERROR(WEEKNUM(CRC_Severe_Weather_SIMs[[#This Row],[Ops Date]]), "N/A")</f>
        <v>31</v>
      </c>
      <c r="J6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6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6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67" s="50">
        <f>IF(AND(CRC_Severe_Weather_SIMs[[#This Row],[CI]] = 0, CRC_Severe_Weather_SIMs[[#This Row],[Miss]] = 1), 1, 0)</f>
        <v>0</v>
      </c>
      <c r="N6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6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6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68" spans="1:16" x14ac:dyDescent="0.25">
      <c r="A68" t="s">
        <v>1878</v>
      </c>
      <c r="B68" t="s">
        <v>1879</v>
      </c>
      <c r="C68" t="s">
        <v>1851</v>
      </c>
      <c r="H68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45503</v>
      </c>
      <c r="I68" s="49">
        <f>IFERROR(WEEKNUM(CRC_Severe_Weather_SIMs[[#This Row],[Ops Date]]), "N/A")</f>
        <v>31</v>
      </c>
      <c r="J6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6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6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68" s="50">
        <f>IF(AND(CRC_Severe_Weather_SIMs[[#This Row],[CI]] = 0, CRC_Severe_Weather_SIMs[[#This Row],[Miss]] = 1), 1, 0)</f>
        <v>0</v>
      </c>
      <c r="N6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6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6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69" spans="1:16" x14ac:dyDescent="0.25">
      <c r="A69" t="s">
        <v>1880</v>
      </c>
      <c r="B69" t="s">
        <v>1881</v>
      </c>
      <c r="C69" t="s">
        <v>1882</v>
      </c>
      <c r="H69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45502</v>
      </c>
      <c r="I69" s="49">
        <f>IFERROR(WEEKNUM(CRC_Severe_Weather_SIMs[[#This Row],[Ops Date]]), "N/A")</f>
        <v>31</v>
      </c>
      <c r="J6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6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6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69" s="50">
        <f>IF(AND(CRC_Severe_Weather_SIMs[[#This Row],[CI]] = 0, CRC_Severe_Weather_SIMs[[#This Row],[Miss]] = 1), 1, 0)</f>
        <v>0</v>
      </c>
      <c r="N6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6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6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70" spans="1:16" x14ac:dyDescent="0.25">
      <c r="A70" t="s">
        <v>1883</v>
      </c>
      <c r="B70" t="s">
        <v>1884</v>
      </c>
      <c r="C70" t="s">
        <v>1882</v>
      </c>
      <c r="H70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45502</v>
      </c>
      <c r="I70" s="49">
        <f>IFERROR(WEEKNUM(CRC_Severe_Weather_SIMs[[#This Row],[Ops Date]]), "N/A")</f>
        <v>31</v>
      </c>
      <c r="J7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7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7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70" s="50">
        <f>IF(AND(CRC_Severe_Weather_SIMs[[#This Row],[CI]] = 0, CRC_Severe_Weather_SIMs[[#This Row],[Miss]] = 1), 1, 0)</f>
        <v>0</v>
      </c>
      <c r="N7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7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7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71" spans="1:16" x14ac:dyDescent="0.25">
      <c r="A71" t="s">
        <v>1885</v>
      </c>
      <c r="B71" t="s">
        <v>1886</v>
      </c>
      <c r="C71" t="s">
        <v>1882</v>
      </c>
      <c r="H71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45502</v>
      </c>
      <c r="I71" s="49">
        <f>IFERROR(WEEKNUM(CRC_Severe_Weather_SIMs[[#This Row],[Ops Date]]), "N/A")</f>
        <v>31</v>
      </c>
      <c r="J7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7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7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71" s="50">
        <f>IF(AND(CRC_Severe_Weather_SIMs[[#This Row],[CI]] = 0, CRC_Severe_Weather_SIMs[[#This Row],[Miss]] = 1), 1, 0)</f>
        <v>0</v>
      </c>
      <c r="N7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7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7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72" spans="1:16" x14ac:dyDescent="0.25">
      <c r="A72" t="s">
        <v>1887</v>
      </c>
      <c r="B72" t="s">
        <v>1888</v>
      </c>
      <c r="C72" t="s">
        <v>1882</v>
      </c>
      <c r="H72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45502</v>
      </c>
      <c r="I72" s="49">
        <f>IFERROR(WEEKNUM(CRC_Severe_Weather_SIMs[[#This Row],[Ops Date]]), "N/A")</f>
        <v>31</v>
      </c>
      <c r="J7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7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7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72" s="50">
        <f>IF(AND(CRC_Severe_Weather_SIMs[[#This Row],[CI]] = 0, CRC_Severe_Weather_SIMs[[#This Row],[Miss]] = 1), 1, 0)</f>
        <v>0</v>
      </c>
      <c r="N7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7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7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73" spans="1:16" x14ac:dyDescent="0.25">
      <c r="A73" t="s">
        <v>1889</v>
      </c>
      <c r="B73" t="s">
        <v>1890</v>
      </c>
      <c r="C73" t="s">
        <v>1882</v>
      </c>
      <c r="H73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45502</v>
      </c>
      <c r="I73" s="49">
        <f>IFERROR(WEEKNUM(CRC_Severe_Weather_SIMs[[#This Row],[Ops Date]]), "N/A")</f>
        <v>31</v>
      </c>
      <c r="J7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7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7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73" s="50">
        <f>IF(AND(CRC_Severe_Weather_SIMs[[#This Row],[CI]] = 0, CRC_Severe_Weather_SIMs[[#This Row],[Miss]] = 1), 1, 0)</f>
        <v>0</v>
      </c>
      <c r="N7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7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7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74" spans="1:16" x14ac:dyDescent="0.25">
      <c r="A74" t="s">
        <v>1891</v>
      </c>
      <c r="B74" t="s">
        <v>1892</v>
      </c>
      <c r="C74" t="s">
        <v>1882</v>
      </c>
      <c r="H7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45502</v>
      </c>
      <c r="I74" s="49">
        <f>IFERROR(WEEKNUM(CRC_Severe_Weather_SIMs[[#This Row],[Ops Date]]), "N/A")</f>
        <v>31</v>
      </c>
      <c r="J7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7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7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74" s="50">
        <f>IF(AND(CRC_Severe_Weather_SIMs[[#This Row],[CI]] = 0, CRC_Severe_Weather_SIMs[[#This Row],[Miss]] = 1), 1, 0)</f>
        <v>0</v>
      </c>
      <c r="N7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7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7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75" spans="1:16" x14ac:dyDescent="0.25">
      <c r="A75" t="s">
        <v>1893</v>
      </c>
      <c r="B75" t="s">
        <v>1894</v>
      </c>
      <c r="C75" t="s">
        <v>1882</v>
      </c>
      <c r="H75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45502</v>
      </c>
      <c r="I75" s="49">
        <f>IFERROR(WEEKNUM(CRC_Severe_Weather_SIMs[[#This Row],[Ops Date]]), "N/A")</f>
        <v>31</v>
      </c>
      <c r="J7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7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7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75" s="50">
        <f>IF(AND(CRC_Severe_Weather_SIMs[[#This Row],[CI]] = 0, CRC_Severe_Weather_SIMs[[#This Row],[Miss]] = 1), 1, 0)</f>
        <v>0</v>
      </c>
      <c r="N7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7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7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76" spans="1:16" x14ac:dyDescent="0.25">
      <c r="A76" t="s">
        <v>1895</v>
      </c>
      <c r="B76" t="s">
        <v>1896</v>
      </c>
      <c r="C76" t="s">
        <v>1882</v>
      </c>
      <c r="H76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45502</v>
      </c>
      <c r="I76" s="49">
        <f>IFERROR(WEEKNUM(CRC_Severe_Weather_SIMs[[#This Row],[Ops Date]]), "N/A")</f>
        <v>31</v>
      </c>
      <c r="J7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7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7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76" s="50">
        <f>IF(AND(CRC_Severe_Weather_SIMs[[#This Row],[CI]] = 0, CRC_Severe_Weather_SIMs[[#This Row],[Miss]] = 1), 1, 0)</f>
        <v>0</v>
      </c>
      <c r="N7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7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7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77" spans="1:16" x14ac:dyDescent="0.25">
      <c r="A77" t="s">
        <v>1897</v>
      </c>
      <c r="B77" t="s">
        <v>1898</v>
      </c>
      <c r="C77" t="s">
        <v>1882</v>
      </c>
      <c r="H77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45502</v>
      </c>
      <c r="I77" s="49">
        <f>IFERROR(WEEKNUM(CRC_Severe_Weather_SIMs[[#This Row],[Ops Date]]), "N/A")</f>
        <v>31</v>
      </c>
      <c r="J7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7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7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77" s="50">
        <f>IF(AND(CRC_Severe_Weather_SIMs[[#This Row],[CI]] = 0, CRC_Severe_Weather_SIMs[[#This Row],[Miss]] = 1), 1, 0)</f>
        <v>0</v>
      </c>
      <c r="N7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7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7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78" spans="1:16" x14ac:dyDescent="0.25">
      <c r="A78" t="s">
        <v>1899</v>
      </c>
      <c r="B78" t="s">
        <v>1900</v>
      </c>
      <c r="C78" t="s">
        <v>1901</v>
      </c>
      <c r="E78" t="s">
        <v>1759</v>
      </c>
      <c r="H78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45498</v>
      </c>
      <c r="I78" s="49">
        <f>IFERROR(WEEKNUM(CRC_Severe_Weather_SIMs[[#This Row],[Ops Date]]), "N/A")</f>
        <v>30</v>
      </c>
      <c r="J7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7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7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78" s="50">
        <f>IF(AND(CRC_Severe_Weather_SIMs[[#This Row],[CI]] = 0, CRC_Severe_Weather_SIMs[[#This Row],[Miss]] = 1), 1, 0)</f>
        <v>0</v>
      </c>
      <c r="N78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7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7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79" spans="1:16" x14ac:dyDescent="0.25">
      <c r="A79" t="s">
        <v>1902</v>
      </c>
      <c r="B79" t="s">
        <v>1903</v>
      </c>
      <c r="C79" t="s">
        <v>1901</v>
      </c>
      <c r="E79" t="s">
        <v>1759</v>
      </c>
      <c r="H79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45498</v>
      </c>
      <c r="I79" s="49">
        <f>IFERROR(WEEKNUM(CRC_Severe_Weather_SIMs[[#This Row],[Ops Date]]), "N/A")</f>
        <v>30</v>
      </c>
      <c r="J7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7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7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79" s="50">
        <f>IF(AND(CRC_Severe_Weather_SIMs[[#This Row],[CI]] = 0, CRC_Severe_Weather_SIMs[[#This Row],[Miss]] = 1), 1, 0)</f>
        <v>0</v>
      </c>
      <c r="N79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7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7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80" spans="1:16" x14ac:dyDescent="0.25">
      <c r="A80" t="s">
        <v>1904</v>
      </c>
      <c r="B80" t="s">
        <v>1905</v>
      </c>
      <c r="C80" t="s">
        <v>1901</v>
      </c>
      <c r="E80" t="s">
        <v>1759</v>
      </c>
      <c r="H80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45498</v>
      </c>
      <c r="I80" s="49">
        <f>IFERROR(WEEKNUM(CRC_Severe_Weather_SIMs[[#This Row],[Ops Date]]), "N/A")</f>
        <v>30</v>
      </c>
      <c r="J8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8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8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80" s="50">
        <f>IF(AND(CRC_Severe_Weather_SIMs[[#This Row],[CI]] = 0, CRC_Severe_Weather_SIMs[[#This Row],[Miss]] = 1), 1, 0)</f>
        <v>0</v>
      </c>
      <c r="N80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8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8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81" spans="1:16" x14ac:dyDescent="0.25">
      <c r="A81" t="s">
        <v>1906</v>
      </c>
      <c r="B81" t="s">
        <v>1907</v>
      </c>
      <c r="C81" t="s">
        <v>1908</v>
      </c>
      <c r="H81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45501</v>
      </c>
      <c r="I81" s="49">
        <f>IFERROR(WEEKNUM(CRC_Severe_Weather_SIMs[[#This Row],[Ops Date]]), "N/A")</f>
        <v>31</v>
      </c>
      <c r="J8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8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8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81" s="50">
        <f>IF(AND(CRC_Severe_Weather_SIMs[[#This Row],[CI]] = 0, CRC_Severe_Weather_SIMs[[#This Row],[Miss]] = 1), 1, 0)</f>
        <v>0</v>
      </c>
      <c r="N8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8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8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82" spans="1:16" x14ac:dyDescent="0.25">
      <c r="A82" t="s">
        <v>1909</v>
      </c>
      <c r="B82" t="s">
        <v>1910</v>
      </c>
      <c r="C82" t="s">
        <v>1908</v>
      </c>
      <c r="H82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45501</v>
      </c>
      <c r="I82" s="49">
        <f>IFERROR(WEEKNUM(CRC_Severe_Weather_SIMs[[#This Row],[Ops Date]]), "N/A")</f>
        <v>31</v>
      </c>
      <c r="J8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8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8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82" s="50">
        <f>IF(AND(CRC_Severe_Weather_SIMs[[#This Row],[CI]] = 0, CRC_Severe_Weather_SIMs[[#This Row],[Miss]] = 1), 1, 0)</f>
        <v>0</v>
      </c>
      <c r="N8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8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8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83" spans="1:16" x14ac:dyDescent="0.25">
      <c r="A83" t="s">
        <v>1911</v>
      </c>
      <c r="B83" t="s">
        <v>1912</v>
      </c>
      <c r="C83" t="s">
        <v>1908</v>
      </c>
      <c r="H83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45501</v>
      </c>
      <c r="I83" s="49">
        <f>IFERROR(WEEKNUM(CRC_Severe_Weather_SIMs[[#This Row],[Ops Date]]), "N/A")</f>
        <v>31</v>
      </c>
      <c r="J8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8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8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83" s="50">
        <f>IF(AND(CRC_Severe_Weather_SIMs[[#This Row],[CI]] = 0, CRC_Severe_Weather_SIMs[[#This Row],[Miss]] = 1), 1, 0)</f>
        <v>0</v>
      </c>
      <c r="N8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8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8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84" spans="1:16" x14ac:dyDescent="0.25">
      <c r="A84" t="s">
        <v>1913</v>
      </c>
      <c r="B84" t="s">
        <v>1914</v>
      </c>
      <c r="C84" t="s">
        <v>1908</v>
      </c>
      <c r="H8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45501</v>
      </c>
      <c r="I84" s="49">
        <f>IFERROR(WEEKNUM(CRC_Severe_Weather_SIMs[[#This Row],[Ops Date]]), "N/A")</f>
        <v>31</v>
      </c>
      <c r="J8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8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8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84" s="50">
        <f>IF(AND(CRC_Severe_Weather_SIMs[[#This Row],[CI]] = 0, CRC_Severe_Weather_SIMs[[#This Row],[Miss]] = 1), 1, 0)</f>
        <v>0</v>
      </c>
      <c r="N8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8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8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85" spans="1:16" x14ac:dyDescent="0.25">
      <c r="A85" t="s">
        <v>1915</v>
      </c>
      <c r="B85" t="s">
        <v>1916</v>
      </c>
      <c r="C85" t="s">
        <v>1908</v>
      </c>
      <c r="H85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45501</v>
      </c>
      <c r="I85" s="49">
        <f>IFERROR(WEEKNUM(CRC_Severe_Weather_SIMs[[#This Row],[Ops Date]]), "N/A")</f>
        <v>31</v>
      </c>
      <c r="J8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8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8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85" s="50">
        <f>IF(AND(CRC_Severe_Weather_SIMs[[#This Row],[CI]] = 0, CRC_Severe_Weather_SIMs[[#This Row],[Miss]] = 1), 1, 0)</f>
        <v>0</v>
      </c>
      <c r="N8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8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8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86" spans="1:16" x14ac:dyDescent="0.25">
      <c r="A86" t="s">
        <v>1917</v>
      </c>
      <c r="B86" t="s">
        <v>1918</v>
      </c>
      <c r="C86" t="s">
        <v>1908</v>
      </c>
      <c r="H86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45501</v>
      </c>
      <c r="I86" s="49">
        <f>IFERROR(WEEKNUM(CRC_Severe_Weather_SIMs[[#This Row],[Ops Date]]), "N/A")</f>
        <v>31</v>
      </c>
      <c r="J8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8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8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86" s="50">
        <f>IF(AND(CRC_Severe_Weather_SIMs[[#This Row],[CI]] = 0, CRC_Severe_Weather_SIMs[[#This Row],[Miss]] = 1), 1, 0)</f>
        <v>0</v>
      </c>
      <c r="N8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8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8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87" spans="1:16" x14ac:dyDescent="0.25">
      <c r="A87" t="s">
        <v>1919</v>
      </c>
      <c r="B87" t="s">
        <v>1920</v>
      </c>
      <c r="C87" t="s">
        <v>1908</v>
      </c>
      <c r="H87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45501</v>
      </c>
      <c r="I87" s="49">
        <f>IFERROR(WEEKNUM(CRC_Severe_Weather_SIMs[[#This Row],[Ops Date]]), "N/A")</f>
        <v>31</v>
      </c>
      <c r="J8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8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8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87" s="50">
        <f>IF(AND(CRC_Severe_Weather_SIMs[[#This Row],[CI]] = 0, CRC_Severe_Weather_SIMs[[#This Row],[Miss]] = 1), 1, 0)</f>
        <v>0</v>
      </c>
      <c r="N8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8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8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88" spans="1:16" x14ac:dyDescent="0.25">
      <c r="A88" t="s">
        <v>1921</v>
      </c>
      <c r="B88" t="s">
        <v>1922</v>
      </c>
      <c r="C88" t="s">
        <v>1908</v>
      </c>
      <c r="H88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45501</v>
      </c>
      <c r="I88" s="49">
        <f>IFERROR(WEEKNUM(CRC_Severe_Weather_SIMs[[#This Row],[Ops Date]]), "N/A")</f>
        <v>31</v>
      </c>
      <c r="J8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8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8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88" s="50">
        <f>IF(AND(CRC_Severe_Weather_SIMs[[#This Row],[CI]] = 0, CRC_Severe_Weather_SIMs[[#This Row],[Miss]] = 1), 1, 0)</f>
        <v>0</v>
      </c>
      <c r="N8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8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8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89" spans="1:16" x14ac:dyDescent="0.25">
      <c r="A89" t="s">
        <v>1923</v>
      </c>
      <c r="B89" t="s">
        <v>1924</v>
      </c>
      <c r="C89" t="s">
        <v>1908</v>
      </c>
      <c r="H89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45501</v>
      </c>
      <c r="I89" s="49">
        <f>IFERROR(WEEKNUM(CRC_Severe_Weather_SIMs[[#This Row],[Ops Date]]), "N/A")</f>
        <v>31</v>
      </c>
      <c r="J8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8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8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89" s="50">
        <f>IF(AND(CRC_Severe_Weather_SIMs[[#This Row],[CI]] = 0, CRC_Severe_Weather_SIMs[[#This Row],[Miss]] = 1), 1, 0)</f>
        <v>0</v>
      </c>
      <c r="N8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8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8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90" spans="1:16" x14ac:dyDescent="0.25">
      <c r="A90" t="s">
        <v>1925</v>
      </c>
      <c r="B90" t="s">
        <v>1926</v>
      </c>
      <c r="C90" t="s">
        <v>1908</v>
      </c>
      <c r="H90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45501</v>
      </c>
      <c r="I90" s="49">
        <f>IFERROR(WEEKNUM(CRC_Severe_Weather_SIMs[[#This Row],[Ops Date]]), "N/A")</f>
        <v>31</v>
      </c>
      <c r="J9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9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9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90" s="50">
        <f>IF(AND(CRC_Severe_Weather_SIMs[[#This Row],[CI]] = 0, CRC_Severe_Weather_SIMs[[#This Row],[Miss]] = 1), 1, 0)</f>
        <v>0</v>
      </c>
      <c r="N9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9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9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91" spans="1:16" x14ac:dyDescent="0.25">
      <c r="A91" t="s">
        <v>1927</v>
      </c>
      <c r="B91" t="s">
        <v>1928</v>
      </c>
      <c r="C91" t="s">
        <v>1908</v>
      </c>
      <c r="H91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45501</v>
      </c>
      <c r="I91" s="49">
        <f>IFERROR(WEEKNUM(CRC_Severe_Weather_SIMs[[#This Row],[Ops Date]]), "N/A")</f>
        <v>31</v>
      </c>
      <c r="J9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9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9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91" s="50">
        <f>IF(AND(CRC_Severe_Weather_SIMs[[#This Row],[CI]] = 0, CRC_Severe_Weather_SIMs[[#This Row],[Miss]] = 1), 1, 0)</f>
        <v>0</v>
      </c>
      <c r="N9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9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9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92" spans="1:16" x14ac:dyDescent="0.25">
      <c r="A92" t="s">
        <v>1929</v>
      </c>
      <c r="B92" t="s">
        <v>1930</v>
      </c>
      <c r="C92" t="s">
        <v>1908</v>
      </c>
      <c r="H92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45501</v>
      </c>
      <c r="I92" s="49">
        <f>IFERROR(WEEKNUM(CRC_Severe_Weather_SIMs[[#This Row],[Ops Date]]), "N/A")</f>
        <v>31</v>
      </c>
      <c r="J9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9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9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92" s="50">
        <f>IF(AND(CRC_Severe_Weather_SIMs[[#This Row],[CI]] = 0, CRC_Severe_Weather_SIMs[[#This Row],[Miss]] = 1), 1, 0)</f>
        <v>0</v>
      </c>
      <c r="N9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9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9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93" spans="1:16" x14ac:dyDescent="0.25">
      <c r="A93" t="s">
        <v>1931</v>
      </c>
      <c r="B93" t="s">
        <v>1932</v>
      </c>
      <c r="C93" t="s">
        <v>1908</v>
      </c>
      <c r="H93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45501</v>
      </c>
      <c r="I93" s="49">
        <f>IFERROR(WEEKNUM(CRC_Severe_Weather_SIMs[[#This Row],[Ops Date]]), "N/A")</f>
        <v>31</v>
      </c>
      <c r="J9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9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9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93" s="50">
        <f>IF(AND(CRC_Severe_Weather_SIMs[[#This Row],[CI]] = 0, CRC_Severe_Weather_SIMs[[#This Row],[Miss]] = 1), 1, 0)</f>
        <v>0</v>
      </c>
      <c r="N9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9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9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94" spans="1:16" x14ac:dyDescent="0.25">
      <c r="A94" t="s">
        <v>1933</v>
      </c>
      <c r="B94" t="s">
        <v>1934</v>
      </c>
      <c r="C94" t="s">
        <v>1935</v>
      </c>
      <c r="H9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45500</v>
      </c>
      <c r="I94" s="49">
        <f>IFERROR(WEEKNUM(CRC_Severe_Weather_SIMs[[#This Row],[Ops Date]]), "N/A")</f>
        <v>30</v>
      </c>
      <c r="J9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9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9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94" s="50">
        <f>IF(AND(CRC_Severe_Weather_SIMs[[#This Row],[CI]] = 0, CRC_Severe_Weather_SIMs[[#This Row],[Miss]] = 1), 1, 0)</f>
        <v>0</v>
      </c>
      <c r="N9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9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9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95" spans="1:16" x14ac:dyDescent="0.25">
      <c r="A95" t="s">
        <v>1936</v>
      </c>
      <c r="B95" t="s">
        <v>1937</v>
      </c>
      <c r="C95" t="s">
        <v>1935</v>
      </c>
      <c r="H95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45500</v>
      </c>
      <c r="I95" s="49">
        <f>IFERROR(WEEKNUM(CRC_Severe_Weather_SIMs[[#This Row],[Ops Date]]), "N/A")</f>
        <v>30</v>
      </c>
      <c r="J9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9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9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95" s="50">
        <f>IF(AND(CRC_Severe_Weather_SIMs[[#This Row],[CI]] = 0, CRC_Severe_Weather_SIMs[[#This Row],[Miss]] = 1), 1, 0)</f>
        <v>0</v>
      </c>
      <c r="N9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9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9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96" spans="1:16" x14ac:dyDescent="0.25">
      <c r="A96" t="s">
        <v>1938</v>
      </c>
      <c r="B96" t="s">
        <v>1939</v>
      </c>
      <c r="C96" t="s">
        <v>1935</v>
      </c>
      <c r="H96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45500</v>
      </c>
      <c r="I96" s="49">
        <f>IFERROR(WEEKNUM(CRC_Severe_Weather_SIMs[[#This Row],[Ops Date]]), "N/A")</f>
        <v>30</v>
      </c>
      <c r="J9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9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9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96" s="50">
        <f>IF(AND(CRC_Severe_Weather_SIMs[[#This Row],[CI]] = 0, CRC_Severe_Weather_SIMs[[#This Row],[Miss]] = 1), 1, 0)</f>
        <v>0</v>
      </c>
      <c r="N9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9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9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97" spans="1:16" x14ac:dyDescent="0.25">
      <c r="A97" t="s">
        <v>1940</v>
      </c>
      <c r="B97" t="s">
        <v>1941</v>
      </c>
      <c r="C97" t="s">
        <v>1935</v>
      </c>
      <c r="H97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45500</v>
      </c>
      <c r="I97" s="49">
        <f>IFERROR(WEEKNUM(CRC_Severe_Weather_SIMs[[#This Row],[Ops Date]]), "N/A")</f>
        <v>30</v>
      </c>
      <c r="J9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9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9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97" s="50">
        <f>IF(AND(CRC_Severe_Weather_SIMs[[#This Row],[CI]] = 0, CRC_Severe_Weather_SIMs[[#This Row],[Miss]] = 1), 1, 0)</f>
        <v>0</v>
      </c>
      <c r="N9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9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9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98" spans="1:16" x14ac:dyDescent="0.25">
      <c r="A98" t="s">
        <v>1942</v>
      </c>
      <c r="B98" t="s">
        <v>1943</v>
      </c>
      <c r="C98" t="s">
        <v>1935</v>
      </c>
      <c r="H98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45500</v>
      </c>
      <c r="I98" s="49">
        <f>IFERROR(WEEKNUM(CRC_Severe_Weather_SIMs[[#This Row],[Ops Date]]), "N/A")</f>
        <v>30</v>
      </c>
      <c r="J9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9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9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98" s="50">
        <f>IF(AND(CRC_Severe_Weather_SIMs[[#This Row],[CI]] = 0, CRC_Severe_Weather_SIMs[[#This Row],[Miss]] = 1), 1, 0)</f>
        <v>0</v>
      </c>
      <c r="N9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9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9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99" spans="1:16" x14ac:dyDescent="0.25">
      <c r="A99" t="s">
        <v>1944</v>
      </c>
      <c r="B99" t="s">
        <v>1945</v>
      </c>
      <c r="C99" t="s">
        <v>1935</v>
      </c>
      <c r="H99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45500</v>
      </c>
      <c r="I99" s="49">
        <f>IFERROR(WEEKNUM(CRC_Severe_Weather_SIMs[[#This Row],[Ops Date]]), "N/A")</f>
        <v>30</v>
      </c>
      <c r="J9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9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9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99" s="50">
        <f>IF(AND(CRC_Severe_Weather_SIMs[[#This Row],[CI]] = 0, CRC_Severe_Weather_SIMs[[#This Row],[Miss]] = 1), 1, 0)</f>
        <v>0</v>
      </c>
      <c r="N9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9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9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00" spans="1:16" x14ac:dyDescent="0.25">
      <c r="A100" t="s">
        <v>1946</v>
      </c>
      <c r="B100" t="s">
        <v>1947</v>
      </c>
      <c r="C100" t="s">
        <v>1935</v>
      </c>
      <c r="H100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45500</v>
      </c>
      <c r="I100" s="49">
        <f>IFERROR(WEEKNUM(CRC_Severe_Weather_SIMs[[#This Row],[Ops Date]]), "N/A")</f>
        <v>30</v>
      </c>
      <c r="J10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0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0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00" s="50">
        <f>IF(AND(CRC_Severe_Weather_SIMs[[#This Row],[CI]] = 0, CRC_Severe_Weather_SIMs[[#This Row],[Miss]] = 1), 1, 0)</f>
        <v>0</v>
      </c>
      <c r="N10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0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0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01" spans="1:16" x14ac:dyDescent="0.25">
      <c r="A101" t="s">
        <v>1948</v>
      </c>
      <c r="B101" t="s">
        <v>1949</v>
      </c>
      <c r="C101" t="s">
        <v>1935</v>
      </c>
      <c r="H101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45500</v>
      </c>
      <c r="I101" s="49">
        <f>IFERROR(WEEKNUM(CRC_Severe_Weather_SIMs[[#This Row],[Ops Date]]), "N/A")</f>
        <v>30</v>
      </c>
      <c r="J10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0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0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01" s="50">
        <f>IF(AND(CRC_Severe_Weather_SIMs[[#This Row],[CI]] = 0, CRC_Severe_Weather_SIMs[[#This Row],[Miss]] = 1), 1, 0)</f>
        <v>0</v>
      </c>
      <c r="N10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0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0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02" spans="1:16" x14ac:dyDescent="0.25">
      <c r="A102" t="s">
        <v>1950</v>
      </c>
      <c r="B102" t="s">
        <v>1951</v>
      </c>
      <c r="C102" t="s">
        <v>1935</v>
      </c>
      <c r="H102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45500</v>
      </c>
      <c r="I102" s="49">
        <f>IFERROR(WEEKNUM(CRC_Severe_Weather_SIMs[[#This Row],[Ops Date]]), "N/A")</f>
        <v>30</v>
      </c>
      <c r="J10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0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0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02" s="50">
        <f>IF(AND(CRC_Severe_Weather_SIMs[[#This Row],[CI]] = 0, CRC_Severe_Weather_SIMs[[#This Row],[Miss]] = 1), 1, 0)</f>
        <v>0</v>
      </c>
      <c r="N10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0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0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03" spans="1:16" x14ac:dyDescent="0.25">
      <c r="A103" t="s">
        <v>1952</v>
      </c>
      <c r="B103" t="s">
        <v>1953</v>
      </c>
      <c r="C103" t="s">
        <v>1935</v>
      </c>
      <c r="H103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45500</v>
      </c>
      <c r="I103" s="49">
        <f>IFERROR(WEEKNUM(CRC_Severe_Weather_SIMs[[#This Row],[Ops Date]]), "N/A")</f>
        <v>30</v>
      </c>
      <c r="J10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0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0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03" s="50">
        <f>IF(AND(CRC_Severe_Weather_SIMs[[#This Row],[CI]] = 0, CRC_Severe_Weather_SIMs[[#This Row],[Miss]] = 1), 1, 0)</f>
        <v>0</v>
      </c>
      <c r="N10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0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0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04" spans="1:16" x14ac:dyDescent="0.25">
      <c r="A104" t="s">
        <v>1954</v>
      </c>
      <c r="B104" t="s">
        <v>1955</v>
      </c>
      <c r="C104" t="s">
        <v>1956</v>
      </c>
      <c r="H10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45499</v>
      </c>
      <c r="I104" s="49">
        <f>IFERROR(WEEKNUM(CRC_Severe_Weather_SIMs[[#This Row],[Ops Date]]), "N/A")</f>
        <v>30</v>
      </c>
      <c r="J10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0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0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04" s="50">
        <f>IF(AND(CRC_Severe_Weather_SIMs[[#This Row],[CI]] = 0, CRC_Severe_Weather_SIMs[[#This Row],[Miss]] = 1), 1, 0)</f>
        <v>0</v>
      </c>
      <c r="N10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0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0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05" spans="1:16" x14ac:dyDescent="0.25">
      <c r="A105" t="s">
        <v>1957</v>
      </c>
      <c r="B105" t="s">
        <v>1958</v>
      </c>
      <c r="C105" t="s">
        <v>1956</v>
      </c>
      <c r="H105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45499</v>
      </c>
      <c r="I105" s="49">
        <f>IFERROR(WEEKNUM(CRC_Severe_Weather_SIMs[[#This Row],[Ops Date]]), "N/A")</f>
        <v>30</v>
      </c>
      <c r="J10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0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0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05" s="50">
        <f>IF(AND(CRC_Severe_Weather_SIMs[[#This Row],[CI]] = 0, CRC_Severe_Weather_SIMs[[#This Row],[Miss]] = 1), 1, 0)</f>
        <v>0</v>
      </c>
      <c r="N10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0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0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06" spans="1:16" x14ac:dyDescent="0.25">
      <c r="A106" t="s">
        <v>1959</v>
      </c>
      <c r="B106" t="s">
        <v>1960</v>
      </c>
      <c r="C106" t="s">
        <v>1956</v>
      </c>
      <c r="H106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45499</v>
      </c>
      <c r="I106" s="49">
        <f>IFERROR(WEEKNUM(CRC_Severe_Weather_SIMs[[#This Row],[Ops Date]]), "N/A")</f>
        <v>30</v>
      </c>
      <c r="J10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0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0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06" s="50">
        <f>IF(AND(CRC_Severe_Weather_SIMs[[#This Row],[CI]] = 0, CRC_Severe_Weather_SIMs[[#This Row],[Miss]] = 1), 1, 0)</f>
        <v>0</v>
      </c>
      <c r="N10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0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0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07" spans="1:16" x14ac:dyDescent="0.25">
      <c r="A107" t="s">
        <v>1961</v>
      </c>
      <c r="B107" t="s">
        <v>1962</v>
      </c>
      <c r="C107" t="s">
        <v>1956</v>
      </c>
      <c r="H107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45499</v>
      </c>
      <c r="I107" s="49">
        <f>IFERROR(WEEKNUM(CRC_Severe_Weather_SIMs[[#This Row],[Ops Date]]), "N/A")</f>
        <v>30</v>
      </c>
      <c r="J10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0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0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07" s="50">
        <f>IF(AND(CRC_Severe_Weather_SIMs[[#This Row],[CI]] = 0, CRC_Severe_Weather_SIMs[[#This Row],[Miss]] = 1), 1, 0)</f>
        <v>0</v>
      </c>
      <c r="N10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0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0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08" spans="1:16" x14ac:dyDescent="0.25">
      <c r="A108" t="s">
        <v>1963</v>
      </c>
      <c r="B108" t="s">
        <v>1964</v>
      </c>
      <c r="C108" t="s">
        <v>1956</v>
      </c>
      <c r="H108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45499</v>
      </c>
      <c r="I108" s="49">
        <f>IFERROR(WEEKNUM(CRC_Severe_Weather_SIMs[[#This Row],[Ops Date]]), "N/A")</f>
        <v>30</v>
      </c>
      <c r="J10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0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0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08" s="50">
        <f>IF(AND(CRC_Severe_Weather_SIMs[[#This Row],[CI]] = 0, CRC_Severe_Weather_SIMs[[#This Row],[Miss]] = 1), 1, 0)</f>
        <v>0</v>
      </c>
      <c r="N10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0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0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09" spans="1:16" x14ac:dyDescent="0.25">
      <c r="A109" t="s">
        <v>1965</v>
      </c>
      <c r="B109" t="s">
        <v>1966</v>
      </c>
      <c r="C109" t="s">
        <v>1956</v>
      </c>
      <c r="H109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45499</v>
      </c>
      <c r="I109" s="49">
        <f>IFERROR(WEEKNUM(CRC_Severe_Weather_SIMs[[#This Row],[Ops Date]]), "N/A")</f>
        <v>30</v>
      </c>
      <c r="J10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0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0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09" s="50">
        <f>IF(AND(CRC_Severe_Weather_SIMs[[#This Row],[CI]] = 0, CRC_Severe_Weather_SIMs[[#This Row],[Miss]] = 1), 1, 0)</f>
        <v>0</v>
      </c>
      <c r="N10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0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0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10" spans="1:16" x14ac:dyDescent="0.25">
      <c r="A110" t="s">
        <v>1967</v>
      </c>
      <c r="B110" t="s">
        <v>1968</v>
      </c>
      <c r="C110" t="s">
        <v>1956</v>
      </c>
      <c r="H110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45499</v>
      </c>
      <c r="I110" s="49">
        <f>IFERROR(WEEKNUM(CRC_Severe_Weather_SIMs[[#This Row],[Ops Date]]), "N/A")</f>
        <v>30</v>
      </c>
      <c r="J11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1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1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10" s="50">
        <f>IF(AND(CRC_Severe_Weather_SIMs[[#This Row],[CI]] = 0, CRC_Severe_Weather_SIMs[[#This Row],[Miss]] = 1), 1, 0)</f>
        <v>0</v>
      </c>
      <c r="N11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1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1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11" spans="1:16" x14ac:dyDescent="0.25">
      <c r="A111" t="s">
        <v>1969</v>
      </c>
      <c r="B111" t="s">
        <v>1970</v>
      </c>
      <c r="C111" t="s">
        <v>1956</v>
      </c>
      <c r="H111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45499</v>
      </c>
      <c r="I111" s="49">
        <f>IFERROR(WEEKNUM(CRC_Severe_Weather_SIMs[[#This Row],[Ops Date]]), "N/A")</f>
        <v>30</v>
      </c>
      <c r="J11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1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1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11" s="50">
        <f>IF(AND(CRC_Severe_Weather_SIMs[[#This Row],[CI]] = 0, CRC_Severe_Weather_SIMs[[#This Row],[Miss]] = 1), 1, 0)</f>
        <v>0</v>
      </c>
      <c r="N11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1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1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12" spans="1:16" x14ac:dyDescent="0.25">
      <c r="A112" t="s">
        <v>1971</v>
      </c>
      <c r="B112" t="s">
        <v>1972</v>
      </c>
      <c r="C112" t="s">
        <v>1956</v>
      </c>
      <c r="H112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45499</v>
      </c>
      <c r="I112" s="49">
        <f>IFERROR(WEEKNUM(CRC_Severe_Weather_SIMs[[#This Row],[Ops Date]]), "N/A")</f>
        <v>30</v>
      </c>
      <c r="J11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1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1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12" s="50">
        <f>IF(AND(CRC_Severe_Weather_SIMs[[#This Row],[CI]] = 0, CRC_Severe_Weather_SIMs[[#This Row],[Miss]] = 1), 1, 0)</f>
        <v>0</v>
      </c>
      <c r="N11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1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1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13" spans="1:16" x14ac:dyDescent="0.25">
      <c r="A113" t="s">
        <v>1973</v>
      </c>
      <c r="B113" t="s">
        <v>1974</v>
      </c>
      <c r="C113" t="s">
        <v>1956</v>
      </c>
      <c r="H113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45499</v>
      </c>
      <c r="I113" s="49">
        <f>IFERROR(WEEKNUM(CRC_Severe_Weather_SIMs[[#This Row],[Ops Date]]), "N/A")</f>
        <v>30</v>
      </c>
      <c r="J11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1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1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13" s="50">
        <f>IF(AND(CRC_Severe_Weather_SIMs[[#This Row],[CI]] = 0, CRC_Severe_Weather_SIMs[[#This Row],[Miss]] = 1), 1, 0)</f>
        <v>0</v>
      </c>
      <c r="N11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1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1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14" spans="1:16" x14ac:dyDescent="0.25">
      <c r="A114" t="s">
        <v>1975</v>
      </c>
      <c r="B114" t="s">
        <v>1976</v>
      </c>
      <c r="C114" t="s">
        <v>1956</v>
      </c>
      <c r="H11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45499</v>
      </c>
      <c r="I114" s="49">
        <f>IFERROR(WEEKNUM(CRC_Severe_Weather_SIMs[[#This Row],[Ops Date]]), "N/A")</f>
        <v>30</v>
      </c>
      <c r="J11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1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1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14" s="50">
        <f>IF(AND(CRC_Severe_Weather_SIMs[[#This Row],[CI]] = 0, CRC_Severe_Weather_SIMs[[#This Row],[Miss]] = 1), 1, 0)</f>
        <v>0</v>
      </c>
      <c r="N11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1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1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15" spans="1:16" x14ac:dyDescent="0.25">
      <c r="A115" t="s">
        <v>1977</v>
      </c>
      <c r="B115" t="s">
        <v>1978</v>
      </c>
      <c r="C115" t="s">
        <v>1956</v>
      </c>
      <c r="H115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45499</v>
      </c>
      <c r="I115" s="49">
        <f>IFERROR(WEEKNUM(CRC_Severe_Weather_SIMs[[#This Row],[Ops Date]]), "N/A")</f>
        <v>30</v>
      </c>
      <c r="J11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1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1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15" s="50">
        <f>IF(AND(CRC_Severe_Weather_SIMs[[#This Row],[CI]] = 0, CRC_Severe_Weather_SIMs[[#This Row],[Miss]] = 1), 1, 0)</f>
        <v>0</v>
      </c>
      <c r="N11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1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1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16" spans="1:16" x14ac:dyDescent="0.25">
      <c r="A116" t="s">
        <v>1979</v>
      </c>
      <c r="B116" t="s">
        <v>1980</v>
      </c>
      <c r="C116" t="s">
        <v>1956</v>
      </c>
      <c r="H116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45499</v>
      </c>
      <c r="I116" s="49">
        <f>IFERROR(WEEKNUM(CRC_Severe_Weather_SIMs[[#This Row],[Ops Date]]), "N/A")</f>
        <v>30</v>
      </c>
      <c r="J11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1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1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16" s="50">
        <f>IF(AND(CRC_Severe_Weather_SIMs[[#This Row],[CI]] = 0, CRC_Severe_Weather_SIMs[[#This Row],[Miss]] = 1), 1, 0)</f>
        <v>0</v>
      </c>
      <c r="N11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1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1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17" spans="1:16" x14ac:dyDescent="0.25">
      <c r="A117" t="s">
        <v>1981</v>
      </c>
      <c r="B117" t="s">
        <v>1982</v>
      </c>
      <c r="C117" t="s">
        <v>1956</v>
      </c>
      <c r="H117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45499</v>
      </c>
      <c r="I117" s="49">
        <f>IFERROR(WEEKNUM(CRC_Severe_Weather_SIMs[[#This Row],[Ops Date]]), "N/A")</f>
        <v>30</v>
      </c>
      <c r="J11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1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1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17" s="50">
        <f>IF(AND(CRC_Severe_Weather_SIMs[[#This Row],[CI]] = 0, CRC_Severe_Weather_SIMs[[#This Row],[Miss]] = 1), 1, 0)</f>
        <v>0</v>
      </c>
      <c r="N11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1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1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18" spans="1:16" x14ac:dyDescent="0.25">
      <c r="A118" t="s">
        <v>1983</v>
      </c>
      <c r="B118" t="s">
        <v>1984</v>
      </c>
      <c r="C118" t="s">
        <v>1985</v>
      </c>
      <c r="H118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45498</v>
      </c>
      <c r="I118" s="49">
        <f>IFERROR(WEEKNUM(CRC_Severe_Weather_SIMs[[#This Row],[Ops Date]]), "N/A")</f>
        <v>30</v>
      </c>
      <c r="J11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1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1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18" s="50">
        <f>IF(AND(CRC_Severe_Weather_SIMs[[#This Row],[CI]] = 0, CRC_Severe_Weather_SIMs[[#This Row],[Miss]] = 1), 1, 0)</f>
        <v>0</v>
      </c>
      <c r="N11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1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1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19" spans="1:16" x14ac:dyDescent="0.25">
      <c r="A119" t="s">
        <v>1986</v>
      </c>
      <c r="B119" t="s">
        <v>1987</v>
      </c>
      <c r="C119" t="s">
        <v>1985</v>
      </c>
      <c r="H119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45498</v>
      </c>
      <c r="I119" s="49">
        <f>IFERROR(WEEKNUM(CRC_Severe_Weather_SIMs[[#This Row],[Ops Date]]), "N/A")</f>
        <v>30</v>
      </c>
      <c r="J11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1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1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19" s="50">
        <f>IF(AND(CRC_Severe_Weather_SIMs[[#This Row],[CI]] = 0, CRC_Severe_Weather_SIMs[[#This Row],[Miss]] = 1), 1, 0)</f>
        <v>0</v>
      </c>
      <c r="N11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1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1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20" spans="1:16" x14ac:dyDescent="0.25">
      <c r="A120" t="s">
        <v>1988</v>
      </c>
      <c r="B120" t="s">
        <v>1989</v>
      </c>
      <c r="C120" t="s">
        <v>1985</v>
      </c>
      <c r="H120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45498</v>
      </c>
      <c r="I120" s="49">
        <f>IFERROR(WEEKNUM(CRC_Severe_Weather_SIMs[[#This Row],[Ops Date]]), "N/A")</f>
        <v>30</v>
      </c>
      <c r="J12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2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2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20" s="50">
        <f>IF(AND(CRC_Severe_Weather_SIMs[[#This Row],[CI]] = 0, CRC_Severe_Weather_SIMs[[#This Row],[Miss]] = 1), 1, 0)</f>
        <v>0</v>
      </c>
      <c r="N12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2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2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21" spans="1:16" x14ac:dyDescent="0.25">
      <c r="A121" t="s">
        <v>1990</v>
      </c>
      <c r="B121" t="s">
        <v>1991</v>
      </c>
      <c r="C121" t="s">
        <v>1985</v>
      </c>
      <c r="H121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45498</v>
      </c>
      <c r="I121" s="49">
        <f>IFERROR(WEEKNUM(CRC_Severe_Weather_SIMs[[#This Row],[Ops Date]]), "N/A")</f>
        <v>30</v>
      </c>
      <c r="J12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2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2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21" s="50">
        <f>IF(AND(CRC_Severe_Weather_SIMs[[#This Row],[CI]] = 0, CRC_Severe_Weather_SIMs[[#This Row],[Miss]] = 1), 1, 0)</f>
        <v>0</v>
      </c>
      <c r="N12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2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2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22" spans="1:16" x14ac:dyDescent="0.25">
      <c r="A122" t="s">
        <v>1992</v>
      </c>
      <c r="B122" t="s">
        <v>1993</v>
      </c>
      <c r="C122" t="s">
        <v>1985</v>
      </c>
      <c r="H122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45498</v>
      </c>
      <c r="I122" s="49">
        <f>IFERROR(WEEKNUM(CRC_Severe_Weather_SIMs[[#This Row],[Ops Date]]), "N/A")</f>
        <v>30</v>
      </c>
      <c r="J12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2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2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22" s="50">
        <f>IF(AND(CRC_Severe_Weather_SIMs[[#This Row],[CI]] = 0, CRC_Severe_Weather_SIMs[[#This Row],[Miss]] = 1), 1, 0)</f>
        <v>0</v>
      </c>
      <c r="N12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2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2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23" spans="1:16" x14ac:dyDescent="0.25">
      <c r="A123" t="s">
        <v>1994</v>
      </c>
      <c r="B123" t="s">
        <v>1995</v>
      </c>
      <c r="C123" t="s">
        <v>1985</v>
      </c>
      <c r="H123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45498</v>
      </c>
      <c r="I123" s="49">
        <f>IFERROR(WEEKNUM(CRC_Severe_Weather_SIMs[[#This Row],[Ops Date]]), "N/A")</f>
        <v>30</v>
      </c>
      <c r="J12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2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2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23" s="50">
        <f>IF(AND(CRC_Severe_Weather_SIMs[[#This Row],[CI]] = 0, CRC_Severe_Weather_SIMs[[#This Row],[Miss]] = 1), 1, 0)</f>
        <v>0</v>
      </c>
      <c r="N12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2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2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24" spans="1:16" x14ac:dyDescent="0.25">
      <c r="A124" t="s">
        <v>1996</v>
      </c>
      <c r="B124" t="s">
        <v>1997</v>
      </c>
      <c r="C124" t="s">
        <v>1985</v>
      </c>
      <c r="H12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45498</v>
      </c>
      <c r="I124" s="49">
        <f>IFERROR(WEEKNUM(CRC_Severe_Weather_SIMs[[#This Row],[Ops Date]]), "N/A")</f>
        <v>30</v>
      </c>
      <c r="J12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2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2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24" s="50">
        <f>IF(AND(CRC_Severe_Weather_SIMs[[#This Row],[CI]] = 0, CRC_Severe_Weather_SIMs[[#This Row],[Miss]] = 1), 1, 0)</f>
        <v>0</v>
      </c>
      <c r="N12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2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2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25" spans="1:16" x14ac:dyDescent="0.25">
      <c r="A125" t="s">
        <v>1998</v>
      </c>
      <c r="B125" t="s">
        <v>1999</v>
      </c>
      <c r="C125" t="s">
        <v>1985</v>
      </c>
      <c r="H125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45498</v>
      </c>
      <c r="I125" s="49">
        <f>IFERROR(WEEKNUM(CRC_Severe_Weather_SIMs[[#This Row],[Ops Date]]), "N/A")</f>
        <v>30</v>
      </c>
      <c r="J12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2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2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25" s="50">
        <f>IF(AND(CRC_Severe_Weather_SIMs[[#This Row],[CI]] = 0, CRC_Severe_Weather_SIMs[[#This Row],[Miss]] = 1), 1, 0)</f>
        <v>0</v>
      </c>
      <c r="N12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2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2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26" spans="1:16" x14ac:dyDescent="0.25">
      <c r="A126" t="s">
        <v>2000</v>
      </c>
      <c r="B126" t="s">
        <v>2001</v>
      </c>
      <c r="C126" t="s">
        <v>1985</v>
      </c>
      <c r="H126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45498</v>
      </c>
      <c r="I126" s="49">
        <f>IFERROR(WEEKNUM(CRC_Severe_Weather_SIMs[[#This Row],[Ops Date]]), "N/A")</f>
        <v>30</v>
      </c>
      <c r="J12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2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2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26" s="50">
        <f>IF(AND(CRC_Severe_Weather_SIMs[[#This Row],[CI]] = 0, CRC_Severe_Weather_SIMs[[#This Row],[Miss]] = 1), 1, 0)</f>
        <v>0</v>
      </c>
      <c r="N12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2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2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27" spans="1:16" x14ac:dyDescent="0.25">
      <c r="A127" t="s">
        <v>2002</v>
      </c>
      <c r="B127" t="s">
        <v>2003</v>
      </c>
      <c r="C127" t="s">
        <v>1985</v>
      </c>
      <c r="H127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45498</v>
      </c>
      <c r="I127" s="49">
        <f>IFERROR(WEEKNUM(CRC_Severe_Weather_SIMs[[#This Row],[Ops Date]]), "N/A")</f>
        <v>30</v>
      </c>
      <c r="J12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2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2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27" s="50">
        <f>IF(AND(CRC_Severe_Weather_SIMs[[#This Row],[CI]] = 0, CRC_Severe_Weather_SIMs[[#This Row],[Miss]] = 1), 1, 0)</f>
        <v>0</v>
      </c>
      <c r="N12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2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2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28" spans="1:16" x14ac:dyDescent="0.25">
      <c r="A128" t="s">
        <v>2004</v>
      </c>
      <c r="B128" t="s">
        <v>2005</v>
      </c>
      <c r="C128" t="s">
        <v>1985</v>
      </c>
      <c r="H128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45498</v>
      </c>
      <c r="I128" s="49">
        <f>IFERROR(WEEKNUM(CRC_Severe_Weather_SIMs[[#This Row],[Ops Date]]), "N/A")</f>
        <v>30</v>
      </c>
      <c r="J12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2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2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28" s="50">
        <f>IF(AND(CRC_Severe_Weather_SIMs[[#This Row],[CI]] = 0, CRC_Severe_Weather_SIMs[[#This Row],[Miss]] = 1), 1, 0)</f>
        <v>0</v>
      </c>
      <c r="N12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2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2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29" spans="1:16" x14ac:dyDescent="0.25">
      <c r="A129" t="s">
        <v>2006</v>
      </c>
      <c r="B129" t="s">
        <v>2007</v>
      </c>
      <c r="C129" t="s">
        <v>2008</v>
      </c>
      <c r="H129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45497</v>
      </c>
      <c r="I129" s="49">
        <f>IFERROR(WEEKNUM(CRC_Severe_Weather_SIMs[[#This Row],[Ops Date]]), "N/A")</f>
        <v>30</v>
      </c>
      <c r="J12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2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2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29" s="50">
        <f>IF(AND(CRC_Severe_Weather_SIMs[[#This Row],[CI]] = 0, CRC_Severe_Weather_SIMs[[#This Row],[Miss]] = 1), 1, 0)</f>
        <v>0</v>
      </c>
      <c r="N12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2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2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30" spans="1:16" x14ac:dyDescent="0.25">
      <c r="A130" t="s">
        <v>2009</v>
      </c>
      <c r="B130" t="s">
        <v>2010</v>
      </c>
      <c r="C130" t="s">
        <v>2008</v>
      </c>
      <c r="H130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45497</v>
      </c>
      <c r="I130" s="49">
        <f>IFERROR(WEEKNUM(CRC_Severe_Weather_SIMs[[#This Row],[Ops Date]]), "N/A")</f>
        <v>30</v>
      </c>
      <c r="J13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3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3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30" s="50">
        <f>IF(AND(CRC_Severe_Weather_SIMs[[#This Row],[CI]] = 0, CRC_Severe_Weather_SIMs[[#This Row],[Miss]] = 1), 1, 0)</f>
        <v>0</v>
      </c>
      <c r="N13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3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3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31" spans="1:16" x14ac:dyDescent="0.25">
      <c r="A131" t="s">
        <v>2011</v>
      </c>
      <c r="B131" t="s">
        <v>2012</v>
      </c>
      <c r="C131" t="s">
        <v>2008</v>
      </c>
      <c r="H131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45497</v>
      </c>
      <c r="I131" s="49">
        <f>IFERROR(WEEKNUM(CRC_Severe_Weather_SIMs[[#This Row],[Ops Date]]), "N/A")</f>
        <v>30</v>
      </c>
      <c r="J13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3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3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31" s="50">
        <f>IF(AND(CRC_Severe_Weather_SIMs[[#This Row],[CI]] = 0, CRC_Severe_Weather_SIMs[[#This Row],[Miss]] = 1), 1, 0)</f>
        <v>0</v>
      </c>
      <c r="N13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3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3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32" spans="1:16" x14ac:dyDescent="0.25">
      <c r="A132" t="s">
        <v>2013</v>
      </c>
      <c r="B132" t="s">
        <v>2014</v>
      </c>
      <c r="C132" t="s">
        <v>2008</v>
      </c>
      <c r="H132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45497</v>
      </c>
      <c r="I132" s="49">
        <f>IFERROR(WEEKNUM(CRC_Severe_Weather_SIMs[[#This Row],[Ops Date]]), "N/A")</f>
        <v>30</v>
      </c>
      <c r="J13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3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3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32" s="50">
        <f>IF(AND(CRC_Severe_Weather_SIMs[[#This Row],[CI]] = 0, CRC_Severe_Weather_SIMs[[#This Row],[Miss]] = 1), 1, 0)</f>
        <v>0</v>
      </c>
      <c r="N13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3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3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33" spans="1:16" x14ac:dyDescent="0.25">
      <c r="A133" t="s">
        <v>2015</v>
      </c>
      <c r="B133" t="s">
        <v>2016</v>
      </c>
      <c r="C133" t="s">
        <v>2008</v>
      </c>
      <c r="H133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45497</v>
      </c>
      <c r="I133" s="49">
        <f>IFERROR(WEEKNUM(CRC_Severe_Weather_SIMs[[#This Row],[Ops Date]]), "N/A")</f>
        <v>30</v>
      </c>
      <c r="J13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3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3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33" s="50">
        <f>IF(AND(CRC_Severe_Weather_SIMs[[#This Row],[CI]] = 0, CRC_Severe_Weather_SIMs[[#This Row],[Miss]] = 1), 1, 0)</f>
        <v>0</v>
      </c>
      <c r="N13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3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3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34" spans="1:16" x14ac:dyDescent="0.25">
      <c r="A134" t="s">
        <v>2017</v>
      </c>
      <c r="B134" t="s">
        <v>2018</v>
      </c>
      <c r="C134" t="s">
        <v>2008</v>
      </c>
      <c r="H13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45497</v>
      </c>
      <c r="I134" s="49">
        <f>IFERROR(WEEKNUM(CRC_Severe_Weather_SIMs[[#This Row],[Ops Date]]), "N/A")</f>
        <v>30</v>
      </c>
      <c r="J13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3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3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34" s="50">
        <f>IF(AND(CRC_Severe_Weather_SIMs[[#This Row],[CI]] = 0, CRC_Severe_Weather_SIMs[[#This Row],[Miss]] = 1), 1, 0)</f>
        <v>0</v>
      </c>
      <c r="N13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3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3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35" spans="1:16" x14ac:dyDescent="0.25">
      <c r="A135" t="s">
        <v>2019</v>
      </c>
      <c r="B135" t="s">
        <v>2020</v>
      </c>
      <c r="C135" t="s">
        <v>2008</v>
      </c>
      <c r="H135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45497</v>
      </c>
      <c r="I135" s="49">
        <f>IFERROR(WEEKNUM(CRC_Severe_Weather_SIMs[[#This Row],[Ops Date]]), "N/A")</f>
        <v>30</v>
      </c>
      <c r="J13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3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3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35" s="50">
        <f>IF(AND(CRC_Severe_Weather_SIMs[[#This Row],[CI]] = 0, CRC_Severe_Weather_SIMs[[#This Row],[Miss]] = 1), 1, 0)</f>
        <v>0</v>
      </c>
      <c r="N13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3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3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36" spans="1:16" x14ac:dyDescent="0.25">
      <c r="A136" t="s">
        <v>2021</v>
      </c>
      <c r="B136" t="s">
        <v>2022</v>
      </c>
      <c r="C136" t="s">
        <v>2008</v>
      </c>
      <c r="H136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45497</v>
      </c>
      <c r="I136" s="49">
        <f>IFERROR(WEEKNUM(CRC_Severe_Weather_SIMs[[#This Row],[Ops Date]]), "N/A")</f>
        <v>30</v>
      </c>
      <c r="J13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3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3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36" s="50">
        <f>IF(AND(CRC_Severe_Weather_SIMs[[#This Row],[CI]] = 0, CRC_Severe_Weather_SIMs[[#This Row],[Miss]] = 1), 1, 0)</f>
        <v>0</v>
      </c>
      <c r="N13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3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3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37" spans="1:16" x14ac:dyDescent="0.25">
      <c r="A137" t="s">
        <v>2023</v>
      </c>
      <c r="B137" t="s">
        <v>2024</v>
      </c>
      <c r="C137" t="s">
        <v>2008</v>
      </c>
      <c r="H137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45497</v>
      </c>
      <c r="I137" s="49">
        <f>IFERROR(WEEKNUM(CRC_Severe_Weather_SIMs[[#This Row],[Ops Date]]), "N/A")</f>
        <v>30</v>
      </c>
      <c r="J13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3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3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37" s="50">
        <f>IF(AND(CRC_Severe_Weather_SIMs[[#This Row],[CI]] = 0, CRC_Severe_Weather_SIMs[[#This Row],[Miss]] = 1), 1, 0)</f>
        <v>0</v>
      </c>
      <c r="N13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3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3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38" spans="1:16" x14ac:dyDescent="0.25">
      <c r="A138" t="s">
        <v>2025</v>
      </c>
      <c r="B138" t="s">
        <v>2026</v>
      </c>
      <c r="C138" t="s">
        <v>2008</v>
      </c>
      <c r="H138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45497</v>
      </c>
      <c r="I138" s="49">
        <f>IFERROR(WEEKNUM(CRC_Severe_Weather_SIMs[[#This Row],[Ops Date]]), "N/A")</f>
        <v>30</v>
      </c>
      <c r="J13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3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3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38" s="50">
        <f>IF(AND(CRC_Severe_Weather_SIMs[[#This Row],[CI]] = 0, CRC_Severe_Weather_SIMs[[#This Row],[Miss]] = 1), 1, 0)</f>
        <v>0</v>
      </c>
      <c r="N13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3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3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39" spans="1:16" x14ac:dyDescent="0.25">
      <c r="A139" t="s">
        <v>2027</v>
      </c>
      <c r="B139" t="s">
        <v>2028</v>
      </c>
      <c r="C139" t="s">
        <v>2008</v>
      </c>
      <c r="H139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45497</v>
      </c>
      <c r="I139" s="49">
        <f>IFERROR(WEEKNUM(CRC_Severe_Weather_SIMs[[#This Row],[Ops Date]]), "N/A")</f>
        <v>30</v>
      </c>
      <c r="J13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3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3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39" s="50">
        <f>IF(AND(CRC_Severe_Weather_SIMs[[#This Row],[CI]] = 0, CRC_Severe_Weather_SIMs[[#This Row],[Miss]] = 1), 1, 0)</f>
        <v>0</v>
      </c>
      <c r="N13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3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3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40" spans="1:16" x14ac:dyDescent="0.25">
      <c r="A140" t="s">
        <v>2029</v>
      </c>
      <c r="B140" t="s">
        <v>2030</v>
      </c>
      <c r="C140" t="s">
        <v>2008</v>
      </c>
      <c r="H140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45497</v>
      </c>
      <c r="I140" s="49">
        <f>IFERROR(WEEKNUM(CRC_Severe_Weather_SIMs[[#This Row],[Ops Date]]), "N/A")</f>
        <v>30</v>
      </c>
      <c r="J14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4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4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40" s="50">
        <f>IF(AND(CRC_Severe_Weather_SIMs[[#This Row],[CI]] = 0, CRC_Severe_Weather_SIMs[[#This Row],[Miss]] = 1), 1, 0)</f>
        <v>0</v>
      </c>
      <c r="N14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4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4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41" spans="1:16" x14ac:dyDescent="0.25">
      <c r="A141" t="s">
        <v>2031</v>
      </c>
      <c r="B141" t="s">
        <v>2032</v>
      </c>
      <c r="C141" t="s">
        <v>2008</v>
      </c>
      <c r="H141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45497</v>
      </c>
      <c r="I141" s="49">
        <f>IFERROR(WEEKNUM(CRC_Severe_Weather_SIMs[[#This Row],[Ops Date]]), "N/A")</f>
        <v>30</v>
      </c>
      <c r="J14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4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4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41" s="50">
        <f>IF(AND(CRC_Severe_Weather_SIMs[[#This Row],[CI]] = 0, CRC_Severe_Weather_SIMs[[#This Row],[Miss]] = 1), 1, 0)</f>
        <v>0</v>
      </c>
      <c r="N14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4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4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42" spans="1:16" x14ac:dyDescent="0.25">
      <c r="A142" t="s">
        <v>2033</v>
      </c>
      <c r="B142" t="s">
        <v>2034</v>
      </c>
      <c r="C142" t="s">
        <v>2008</v>
      </c>
      <c r="H142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45497</v>
      </c>
      <c r="I142" s="49">
        <f>IFERROR(WEEKNUM(CRC_Severe_Weather_SIMs[[#This Row],[Ops Date]]), "N/A")</f>
        <v>30</v>
      </c>
      <c r="J14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4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4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42" s="50">
        <f>IF(AND(CRC_Severe_Weather_SIMs[[#This Row],[CI]] = 0, CRC_Severe_Weather_SIMs[[#This Row],[Miss]] = 1), 1, 0)</f>
        <v>0</v>
      </c>
      <c r="N14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4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4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43" spans="1:16" x14ac:dyDescent="0.25">
      <c r="A143" t="s">
        <v>2035</v>
      </c>
      <c r="B143" t="s">
        <v>2036</v>
      </c>
      <c r="C143" t="s">
        <v>2008</v>
      </c>
      <c r="H143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45497</v>
      </c>
      <c r="I143" s="49">
        <f>IFERROR(WEEKNUM(CRC_Severe_Weather_SIMs[[#This Row],[Ops Date]]), "N/A")</f>
        <v>30</v>
      </c>
      <c r="J14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4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4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43" s="50">
        <f>IF(AND(CRC_Severe_Weather_SIMs[[#This Row],[CI]] = 0, CRC_Severe_Weather_SIMs[[#This Row],[Miss]] = 1), 1, 0)</f>
        <v>0</v>
      </c>
      <c r="N14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4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4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44" spans="1:16" x14ac:dyDescent="0.25">
      <c r="A144" t="s">
        <v>2037</v>
      </c>
      <c r="B144" t="s">
        <v>2038</v>
      </c>
      <c r="C144" t="s">
        <v>2008</v>
      </c>
      <c r="H14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45497</v>
      </c>
      <c r="I144" s="49">
        <f>IFERROR(WEEKNUM(CRC_Severe_Weather_SIMs[[#This Row],[Ops Date]]), "N/A")</f>
        <v>30</v>
      </c>
      <c r="J14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4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4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44" s="50">
        <f>IF(AND(CRC_Severe_Weather_SIMs[[#This Row],[CI]] = 0, CRC_Severe_Weather_SIMs[[#This Row],[Miss]] = 1), 1, 0)</f>
        <v>0</v>
      </c>
      <c r="N14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4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4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45" spans="1:16" x14ac:dyDescent="0.25">
      <c r="A145" t="s">
        <v>2039</v>
      </c>
      <c r="B145" t="s">
        <v>2040</v>
      </c>
      <c r="C145" t="s">
        <v>2008</v>
      </c>
      <c r="H145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45497</v>
      </c>
      <c r="I145" s="49">
        <f>IFERROR(WEEKNUM(CRC_Severe_Weather_SIMs[[#This Row],[Ops Date]]), "N/A")</f>
        <v>30</v>
      </c>
      <c r="J14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4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4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45" s="50">
        <f>IF(AND(CRC_Severe_Weather_SIMs[[#This Row],[CI]] = 0, CRC_Severe_Weather_SIMs[[#This Row],[Miss]] = 1), 1, 0)</f>
        <v>0</v>
      </c>
      <c r="N14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4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4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46" spans="1:16" x14ac:dyDescent="0.25">
      <c r="A146" t="s">
        <v>2041</v>
      </c>
      <c r="B146" t="s">
        <v>2042</v>
      </c>
      <c r="C146" t="s">
        <v>2043</v>
      </c>
      <c r="H146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45496</v>
      </c>
      <c r="I146" s="49">
        <f>IFERROR(WEEKNUM(CRC_Severe_Weather_SIMs[[#This Row],[Ops Date]]), "N/A")</f>
        <v>30</v>
      </c>
      <c r="J14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4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4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46" s="50">
        <f>IF(AND(CRC_Severe_Weather_SIMs[[#This Row],[CI]] = 0, CRC_Severe_Weather_SIMs[[#This Row],[Miss]] = 1), 1, 0)</f>
        <v>0</v>
      </c>
      <c r="N14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4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4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47" spans="1:16" x14ac:dyDescent="0.25">
      <c r="A147" t="s">
        <v>2044</v>
      </c>
      <c r="B147" t="s">
        <v>2045</v>
      </c>
      <c r="C147" t="s">
        <v>2043</v>
      </c>
      <c r="H147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45496</v>
      </c>
      <c r="I147" s="49">
        <f>IFERROR(WEEKNUM(CRC_Severe_Weather_SIMs[[#This Row],[Ops Date]]), "N/A")</f>
        <v>30</v>
      </c>
      <c r="J14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4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4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47" s="50">
        <f>IF(AND(CRC_Severe_Weather_SIMs[[#This Row],[CI]] = 0, CRC_Severe_Weather_SIMs[[#This Row],[Miss]] = 1), 1, 0)</f>
        <v>0</v>
      </c>
      <c r="N14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4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4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48" spans="1:16" x14ac:dyDescent="0.25">
      <c r="A148" t="s">
        <v>2046</v>
      </c>
      <c r="B148" t="s">
        <v>2047</v>
      </c>
      <c r="C148" t="s">
        <v>2043</v>
      </c>
      <c r="H148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45496</v>
      </c>
      <c r="I148" s="49">
        <f>IFERROR(WEEKNUM(CRC_Severe_Weather_SIMs[[#This Row],[Ops Date]]), "N/A")</f>
        <v>30</v>
      </c>
      <c r="J14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4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4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48" s="50">
        <f>IF(AND(CRC_Severe_Weather_SIMs[[#This Row],[CI]] = 0, CRC_Severe_Weather_SIMs[[#This Row],[Miss]] = 1), 1, 0)</f>
        <v>0</v>
      </c>
      <c r="N14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4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4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49" spans="1:16" x14ac:dyDescent="0.25">
      <c r="A149" t="s">
        <v>2048</v>
      </c>
      <c r="B149" t="s">
        <v>2049</v>
      </c>
      <c r="C149" t="s">
        <v>2043</v>
      </c>
      <c r="H149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45496</v>
      </c>
      <c r="I149" s="49">
        <f>IFERROR(WEEKNUM(CRC_Severe_Weather_SIMs[[#This Row],[Ops Date]]), "N/A")</f>
        <v>30</v>
      </c>
      <c r="J14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4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4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49" s="50">
        <f>IF(AND(CRC_Severe_Weather_SIMs[[#This Row],[CI]] = 0, CRC_Severe_Weather_SIMs[[#This Row],[Miss]] = 1), 1, 0)</f>
        <v>0</v>
      </c>
      <c r="N14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4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4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50" spans="1:16" x14ac:dyDescent="0.25">
      <c r="A150" t="s">
        <v>2050</v>
      </c>
      <c r="B150" t="s">
        <v>2051</v>
      </c>
      <c r="C150" t="s">
        <v>2043</v>
      </c>
      <c r="H150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45496</v>
      </c>
      <c r="I150" s="49">
        <f>IFERROR(WEEKNUM(CRC_Severe_Weather_SIMs[[#This Row],[Ops Date]]), "N/A")</f>
        <v>30</v>
      </c>
      <c r="J15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5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5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50" s="50">
        <f>IF(AND(CRC_Severe_Weather_SIMs[[#This Row],[CI]] = 0, CRC_Severe_Weather_SIMs[[#This Row],[Miss]] = 1), 1, 0)</f>
        <v>0</v>
      </c>
      <c r="N15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5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5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51" spans="1:16" x14ac:dyDescent="0.25">
      <c r="A151" t="s">
        <v>2052</v>
      </c>
      <c r="B151" t="s">
        <v>2053</v>
      </c>
      <c r="C151" t="s">
        <v>2043</v>
      </c>
      <c r="H151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45496</v>
      </c>
      <c r="I151" s="49">
        <f>IFERROR(WEEKNUM(CRC_Severe_Weather_SIMs[[#This Row],[Ops Date]]), "N/A")</f>
        <v>30</v>
      </c>
      <c r="J15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5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5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51" s="50">
        <f>IF(AND(CRC_Severe_Weather_SIMs[[#This Row],[CI]] = 0, CRC_Severe_Weather_SIMs[[#This Row],[Miss]] = 1), 1, 0)</f>
        <v>0</v>
      </c>
      <c r="N15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5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5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52" spans="1:16" x14ac:dyDescent="0.25">
      <c r="A152" t="s">
        <v>2054</v>
      </c>
      <c r="B152" t="s">
        <v>2055</v>
      </c>
      <c r="C152" t="s">
        <v>2043</v>
      </c>
      <c r="H152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45496</v>
      </c>
      <c r="I152" s="49">
        <f>IFERROR(WEEKNUM(CRC_Severe_Weather_SIMs[[#This Row],[Ops Date]]), "N/A")</f>
        <v>30</v>
      </c>
      <c r="J15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5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5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52" s="50">
        <f>IF(AND(CRC_Severe_Weather_SIMs[[#This Row],[CI]] = 0, CRC_Severe_Weather_SIMs[[#This Row],[Miss]] = 1), 1, 0)</f>
        <v>0</v>
      </c>
      <c r="N15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5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5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53" spans="1:16" x14ac:dyDescent="0.25">
      <c r="A153" t="s">
        <v>2056</v>
      </c>
      <c r="B153" t="s">
        <v>2057</v>
      </c>
      <c r="C153" t="s">
        <v>2043</v>
      </c>
      <c r="H153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45496</v>
      </c>
      <c r="I153" s="49">
        <f>IFERROR(WEEKNUM(CRC_Severe_Weather_SIMs[[#This Row],[Ops Date]]), "N/A")</f>
        <v>30</v>
      </c>
      <c r="J15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5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5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53" s="50">
        <f>IF(AND(CRC_Severe_Weather_SIMs[[#This Row],[CI]] = 0, CRC_Severe_Weather_SIMs[[#This Row],[Miss]] = 1), 1, 0)</f>
        <v>0</v>
      </c>
      <c r="N15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5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5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54" spans="1:16" x14ac:dyDescent="0.25">
      <c r="A154" t="s">
        <v>2058</v>
      </c>
      <c r="B154" t="s">
        <v>2059</v>
      </c>
      <c r="C154" t="s">
        <v>2043</v>
      </c>
      <c r="H15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45496</v>
      </c>
      <c r="I154" s="49">
        <f>IFERROR(WEEKNUM(CRC_Severe_Weather_SIMs[[#This Row],[Ops Date]]), "N/A")</f>
        <v>30</v>
      </c>
      <c r="J15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5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5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54" s="50">
        <f>IF(AND(CRC_Severe_Weather_SIMs[[#This Row],[CI]] = 0, CRC_Severe_Weather_SIMs[[#This Row],[Miss]] = 1), 1, 0)</f>
        <v>0</v>
      </c>
      <c r="N15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5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5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55" spans="1:16" x14ac:dyDescent="0.25">
      <c r="A155" t="s">
        <v>2060</v>
      </c>
      <c r="B155" t="s">
        <v>2061</v>
      </c>
      <c r="C155" t="s">
        <v>2043</v>
      </c>
      <c r="H155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45496</v>
      </c>
      <c r="I155" s="49">
        <f>IFERROR(WEEKNUM(CRC_Severe_Weather_SIMs[[#This Row],[Ops Date]]), "N/A")</f>
        <v>30</v>
      </c>
      <c r="J15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5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5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55" s="50">
        <f>IF(AND(CRC_Severe_Weather_SIMs[[#This Row],[CI]] = 0, CRC_Severe_Weather_SIMs[[#This Row],[Miss]] = 1), 1, 0)</f>
        <v>0</v>
      </c>
      <c r="N15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5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5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56" spans="1:16" x14ac:dyDescent="0.25">
      <c r="A156" t="s">
        <v>2062</v>
      </c>
      <c r="B156" t="s">
        <v>2063</v>
      </c>
      <c r="C156" t="s">
        <v>2043</v>
      </c>
      <c r="H156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45496</v>
      </c>
      <c r="I156" s="49">
        <f>IFERROR(WEEKNUM(CRC_Severe_Weather_SIMs[[#This Row],[Ops Date]]), "N/A")</f>
        <v>30</v>
      </c>
      <c r="J15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5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5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56" s="50">
        <f>IF(AND(CRC_Severe_Weather_SIMs[[#This Row],[CI]] = 0, CRC_Severe_Weather_SIMs[[#This Row],[Miss]] = 1), 1, 0)</f>
        <v>0</v>
      </c>
      <c r="N15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5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5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57" spans="1:16" x14ac:dyDescent="0.25">
      <c r="A157" t="s">
        <v>2064</v>
      </c>
      <c r="B157" t="s">
        <v>2065</v>
      </c>
      <c r="C157" t="s">
        <v>2043</v>
      </c>
      <c r="H157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45496</v>
      </c>
      <c r="I157" s="49">
        <f>IFERROR(WEEKNUM(CRC_Severe_Weather_SIMs[[#This Row],[Ops Date]]), "N/A")</f>
        <v>30</v>
      </c>
      <c r="J15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5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5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57" s="50">
        <f>IF(AND(CRC_Severe_Weather_SIMs[[#This Row],[CI]] = 0, CRC_Severe_Weather_SIMs[[#This Row],[Miss]] = 1), 1, 0)</f>
        <v>0</v>
      </c>
      <c r="N15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5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5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58" spans="1:16" x14ac:dyDescent="0.25">
      <c r="A158" t="s">
        <v>2066</v>
      </c>
      <c r="B158" t="s">
        <v>2067</v>
      </c>
      <c r="C158" t="s">
        <v>2043</v>
      </c>
      <c r="H158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45496</v>
      </c>
      <c r="I158" s="49">
        <f>IFERROR(WEEKNUM(CRC_Severe_Weather_SIMs[[#This Row],[Ops Date]]), "N/A")</f>
        <v>30</v>
      </c>
      <c r="J15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5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5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58" s="50">
        <f>IF(AND(CRC_Severe_Weather_SIMs[[#This Row],[CI]] = 0, CRC_Severe_Weather_SIMs[[#This Row],[Miss]] = 1), 1, 0)</f>
        <v>0</v>
      </c>
      <c r="N15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5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5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59" spans="1:16" x14ac:dyDescent="0.25">
      <c r="A159" t="s">
        <v>2068</v>
      </c>
      <c r="B159" t="s">
        <v>2069</v>
      </c>
      <c r="C159" t="s">
        <v>2070</v>
      </c>
      <c r="H159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45495</v>
      </c>
      <c r="I159" s="49">
        <f>IFERROR(WEEKNUM(CRC_Severe_Weather_SIMs[[#This Row],[Ops Date]]), "N/A")</f>
        <v>30</v>
      </c>
      <c r="J15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5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5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59" s="50">
        <f>IF(AND(CRC_Severe_Weather_SIMs[[#This Row],[CI]] = 0, CRC_Severe_Weather_SIMs[[#This Row],[Miss]] = 1), 1, 0)</f>
        <v>0</v>
      </c>
      <c r="N15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5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5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60" spans="1:16" x14ac:dyDescent="0.25">
      <c r="A160" t="s">
        <v>2071</v>
      </c>
      <c r="B160" t="s">
        <v>2072</v>
      </c>
      <c r="C160" t="s">
        <v>2070</v>
      </c>
      <c r="H160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45495</v>
      </c>
      <c r="I160" s="49">
        <f>IFERROR(WEEKNUM(CRC_Severe_Weather_SIMs[[#This Row],[Ops Date]]), "N/A")</f>
        <v>30</v>
      </c>
      <c r="J16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6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6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60" s="50">
        <f>IF(AND(CRC_Severe_Weather_SIMs[[#This Row],[CI]] = 0, CRC_Severe_Weather_SIMs[[#This Row],[Miss]] = 1), 1, 0)</f>
        <v>0</v>
      </c>
      <c r="N16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6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6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61" spans="1:16" x14ac:dyDescent="0.25">
      <c r="A161" t="s">
        <v>2073</v>
      </c>
      <c r="B161" t="s">
        <v>2074</v>
      </c>
      <c r="C161" t="s">
        <v>2070</v>
      </c>
      <c r="H161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45495</v>
      </c>
      <c r="I161" s="49">
        <f>IFERROR(WEEKNUM(CRC_Severe_Weather_SIMs[[#This Row],[Ops Date]]), "N/A")</f>
        <v>30</v>
      </c>
      <c r="J16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6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6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61" s="50">
        <f>IF(AND(CRC_Severe_Weather_SIMs[[#This Row],[CI]] = 0, CRC_Severe_Weather_SIMs[[#This Row],[Miss]] = 1), 1, 0)</f>
        <v>0</v>
      </c>
      <c r="N16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6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6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62" spans="1:16" x14ac:dyDescent="0.25">
      <c r="A162" t="s">
        <v>2075</v>
      </c>
      <c r="B162" t="s">
        <v>2076</v>
      </c>
      <c r="C162" t="s">
        <v>2070</v>
      </c>
      <c r="H162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45495</v>
      </c>
      <c r="I162" s="49">
        <f>IFERROR(WEEKNUM(CRC_Severe_Weather_SIMs[[#This Row],[Ops Date]]), "N/A")</f>
        <v>30</v>
      </c>
      <c r="J16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6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6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62" s="50">
        <f>IF(AND(CRC_Severe_Weather_SIMs[[#This Row],[CI]] = 0, CRC_Severe_Weather_SIMs[[#This Row],[Miss]] = 1), 1, 0)</f>
        <v>0</v>
      </c>
      <c r="N16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6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6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63" spans="1:16" x14ac:dyDescent="0.25">
      <c r="A163" t="s">
        <v>2077</v>
      </c>
      <c r="B163" t="s">
        <v>2078</v>
      </c>
      <c r="C163" t="s">
        <v>2070</v>
      </c>
      <c r="H163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45495</v>
      </c>
      <c r="I163" s="49">
        <f>IFERROR(WEEKNUM(CRC_Severe_Weather_SIMs[[#This Row],[Ops Date]]), "N/A")</f>
        <v>30</v>
      </c>
      <c r="J16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6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6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63" s="50">
        <f>IF(AND(CRC_Severe_Weather_SIMs[[#This Row],[CI]] = 0, CRC_Severe_Weather_SIMs[[#This Row],[Miss]] = 1), 1, 0)</f>
        <v>0</v>
      </c>
      <c r="N16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6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6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64" spans="1:16" x14ac:dyDescent="0.25">
      <c r="A164" t="s">
        <v>2079</v>
      </c>
      <c r="B164" t="s">
        <v>2080</v>
      </c>
      <c r="C164" t="s">
        <v>2070</v>
      </c>
      <c r="H16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45495</v>
      </c>
      <c r="I164" s="49">
        <f>IFERROR(WEEKNUM(CRC_Severe_Weather_SIMs[[#This Row],[Ops Date]]), "N/A")</f>
        <v>30</v>
      </c>
      <c r="J16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6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6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64" s="50">
        <f>IF(AND(CRC_Severe_Weather_SIMs[[#This Row],[CI]] = 0, CRC_Severe_Weather_SIMs[[#This Row],[Miss]] = 1), 1, 0)</f>
        <v>0</v>
      </c>
      <c r="N16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6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6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65" spans="1:16" x14ac:dyDescent="0.25">
      <c r="A165" t="s">
        <v>2081</v>
      </c>
      <c r="B165" t="s">
        <v>2082</v>
      </c>
      <c r="C165" t="s">
        <v>2070</v>
      </c>
      <c r="H165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45495</v>
      </c>
      <c r="I165" s="49">
        <f>IFERROR(WEEKNUM(CRC_Severe_Weather_SIMs[[#This Row],[Ops Date]]), "N/A")</f>
        <v>30</v>
      </c>
      <c r="J16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6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6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65" s="50">
        <f>IF(AND(CRC_Severe_Weather_SIMs[[#This Row],[CI]] = 0, CRC_Severe_Weather_SIMs[[#This Row],[Miss]] = 1), 1, 0)</f>
        <v>0</v>
      </c>
      <c r="N16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6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6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66" spans="1:16" x14ac:dyDescent="0.25">
      <c r="A166" t="s">
        <v>2083</v>
      </c>
      <c r="B166" t="s">
        <v>2084</v>
      </c>
      <c r="C166" t="s">
        <v>2070</v>
      </c>
      <c r="H166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45495</v>
      </c>
      <c r="I166" s="49">
        <f>IFERROR(WEEKNUM(CRC_Severe_Weather_SIMs[[#This Row],[Ops Date]]), "N/A")</f>
        <v>30</v>
      </c>
      <c r="J16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6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6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66" s="50">
        <f>IF(AND(CRC_Severe_Weather_SIMs[[#This Row],[CI]] = 0, CRC_Severe_Weather_SIMs[[#This Row],[Miss]] = 1), 1, 0)</f>
        <v>0</v>
      </c>
      <c r="N16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6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6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67" spans="1:16" x14ac:dyDescent="0.25">
      <c r="A167" t="s">
        <v>2085</v>
      </c>
      <c r="B167" t="s">
        <v>2086</v>
      </c>
      <c r="C167" t="s">
        <v>2070</v>
      </c>
      <c r="H167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45495</v>
      </c>
      <c r="I167" s="49">
        <f>IFERROR(WEEKNUM(CRC_Severe_Weather_SIMs[[#This Row],[Ops Date]]), "N/A")</f>
        <v>30</v>
      </c>
      <c r="J16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6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6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67" s="50">
        <f>IF(AND(CRC_Severe_Weather_SIMs[[#This Row],[CI]] = 0, CRC_Severe_Weather_SIMs[[#This Row],[Miss]] = 1), 1, 0)</f>
        <v>0</v>
      </c>
      <c r="N16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6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6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68" spans="1:16" x14ac:dyDescent="0.25">
      <c r="A168" t="s">
        <v>2087</v>
      </c>
      <c r="B168" t="s">
        <v>2088</v>
      </c>
      <c r="C168" t="s">
        <v>2070</v>
      </c>
      <c r="H168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45495</v>
      </c>
      <c r="I168" s="49">
        <f>IFERROR(WEEKNUM(CRC_Severe_Weather_SIMs[[#This Row],[Ops Date]]), "N/A")</f>
        <v>30</v>
      </c>
      <c r="J16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6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6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68" s="50">
        <f>IF(AND(CRC_Severe_Weather_SIMs[[#This Row],[CI]] = 0, CRC_Severe_Weather_SIMs[[#This Row],[Miss]] = 1), 1, 0)</f>
        <v>0</v>
      </c>
      <c r="N16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6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6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69" spans="1:16" x14ac:dyDescent="0.25">
      <c r="A169" t="s">
        <v>2089</v>
      </c>
      <c r="B169" t="s">
        <v>2090</v>
      </c>
      <c r="C169" t="s">
        <v>2070</v>
      </c>
      <c r="H169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45495</v>
      </c>
      <c r="I169" s="49">
        <f>IFERROR(WEEKNUM(CRC_Severe_Weather_SIMs[[#This Row],[Ops Date]]), "N/A")</f>
        <v>30</v>
      </c>
      <c r="J16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6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6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69" s="50">
        <f>IF(AND(CRC_Severe_Weather_SIMs[[#This Row],[CI]] = 0, CRC_Severe_Weather_SIMs[[#This Row],[Miss]] = 1), 1, 0)</f>
        <v>0</v>
      </c>
      <c r="N16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6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6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70" spans="1:16" x14ac:dyDescent="0.25">
      <c r="A170" t="s">
        <v>2091</v>
      </c>
      <c r="B170" t="s">
        <v>2092</v>
      </c>
      <c r="C170" t="s">
        <v>2070</v>
      </c>
      <c r="H170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45495</v>
      </c>
      <c r="I170" s="49">
        <f>IFERROR(WEEKNUM(CRC_Severe_Weather_SIMs[[#This Row],[Ops Date]]), "N/A")</f>
        <v>30</v>
      </c>
      <c r="J17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7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7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70" s="50">
        <f>IF(AND(CRC_Severe_Weather_SIMs[[#This Row],[CI]] = 0, CRC_Severe_Weather_SIMs[[#This Row],[Miss]] = 1), 1, 0)</f>
        <v>0</v>
      </c>
      <c r="N17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7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7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71" spans="1:16" x14ac:dyDescent="0.25">
      <c r="A171" t="s">
        <v>2093</v>
      </c>
      <c r="B171" t="s">
        <v>2094</v>
      </c>
      <c r="C171" t="s">
        <v>2070</v>
      </c>
      <c r="H171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45495</v>
      </c>
      <c r="I171" s="49">
        <f>IFERROR(WEEKNUM(CRC_Severe_Weather_SIMs[[#This Row],[Ops Date]]), "N/A")</f>
        <v>30</v>
      </c>
      <c r="J17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7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7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71" s="50">
        <f>IF(AND(CRC_Severe_Weather_SIMs[[#This Row],[CI]] = 0, CRC_Severe_Weather_SIMs[[#This Row],[Miss]] = 1), 1, 0)</f>
        <v>0</v>
      </c>
      <c r="N17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7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7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72" spans="1:16" x14ac:dyDescent="0.25">
      <c r="A172" t="s">
        <v>2095</v>
      </c>
      <c r="B172" t="s">
        <v>2096</v>
      </c>
      <c r="C172" t="s">
        <v>2097</v>
      </c>
      <c r="E172" t="s">
        <v>2098</v>
      </c>
      <c r="H172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45494</v>
      </c>
      <c r="I172" s="49">
        <f>IFERROR(WEEKNUM(CRC_Severe_Weather_SIMs[[#This Row],[Ops Date]]), "N/A")</f>
        <v>30</v>
      </c>
      <c r="J17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7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17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172" s="50">
        <f>IF(AND(CRC_Severe_Weather_SIMs[[#This Row],[CI]] = 0, CRC_Severe_Weather_SIMs[[#This Row],[Miss]] = 1), 1, 0)</f>
        <v>0</v>
      </c>
      <c r="N172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17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7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73" spans="1:16" x14ac:dyDescent="0.25">
      <c r="A173" t="s">
        <v>2099</v>
      </c>
      <c r="B173" t="s">
        <v>2100</v>
      </c>
      <c r="C173" t="s">
        <v>2101</v>
      </c>
      <c r="E173" t="s">
        <v>1759</v>
      </c>
      <c r="H173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45491</v>
      </c>
      <c r="I173" s="49">
        <f>IFERROR(WEEKNUM(CRC_Severe_Weather_SIMs[[#This Row],[Ops Date]]), "N/A")</f>
        <v>29</v>
      </c>
      <c r="J17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7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17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173" s="50">
        <f>IF(AND(CRC_Severe_Weather_SIMs[[#This Row],[CI]] = 0, CRC_Severe_Weather_SIMs[[#This Row],[Miss]] = 1), 1, 0)</f>
        <v>0</v>
      </c>
      <c r="N173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17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7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74" spans="1:16" x14ac:dyDescent="0.25">
      <c r="A174" t="s">
        <v>2102</v>
      </c>
      <c r="B174" t="s">
        <v>2103</v>
      </c>
      <c r="C174" t="s">
        <v>2101</v>
      </c>
      <c r="E174" t="s">
        <v>1759</v>
      </c>
      <c r="H17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45491</v>
      </c>
      <c r="I174" s="49">
        <f>IFERROR(WEEKNUM(CRC_Severe_Weather_SIMs[[#This Row],[Ops Date]]), "N/A")</f>
        <v>29</v>
      </c>
      <c r="J17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7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17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174" s="50">
        <f>IF(AND(CRC_Severe_Weather_SIMs[[#This Row],[CI]] = 0, CRC_Severe_Weather_SIMs[[#This Row],[Miss]] = 1), 1, 0)</f>
        <v>0</v>
      </c>
      <c r="N174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17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7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75" spans="1:16" x14ac:dyDescent="0.25">
      <c r="A175" t="s">
        <v>2104</v>
      </c>
      <c r="B175" t="s">
        <v>2105</v>
      </c>
      <c r="C175" t="s">
        <v>2101</v>
      </c>
      <c r="E175" t="s">
        <v>1759</v>
      </c>
      <c r="H175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45491</v>
      </c>
      <c r="I175" s="49">
        <f>IFERROR(WEEKNUM(CRC_Severe_Weather_SIMs[[#This Row],[Ops Date]]), "N/A")</f>
        <v>29</v>
      </c>
      <c r="J17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7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17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175" s="50">
        <f>IF(AND(CRC_Severe_Weather_SIMs[[#This Row],[CI]] = 0, CRC_Severe_Weather_SIMs[[#This Row],[Miss]] = 1), 1, 0)</f>
        <v>0</v>
      </c>
      <c r="N175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17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7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76" spans="1:16" x14ac:dyDescent="0.25">
      <c r="A176" t="s">
        <v>2106</v>
      </c>
      <c r="B176" t="s">
        <v>2107</v>
      </c>
      <c r="C176" t="s">
        <v>2101</v>
      </c>
      <c r="E176" t="s">
        <v>1759</v>
      </c>
      <c r="H176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176" s="49" t="str">
        <f>IFERROR(WEEKNUM(CRC_Severe_Weather_SIMs[[#This Row],[Ops Date]]), "N/A")</f>
        <v>N/A</v>
      </c>
      <c r="J17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7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17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176" s="50">
        <f>IF(AND(CRC_Severe_Weather_SIMs[[#This Row],[CI]] = 0, CRC_Severe_Weather_SIMs[[#This Row],[Miss]] = 1), 1, 0)</f>
        <v>0</v>
      </c>
      <c r="N176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17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7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77" spans="1:16" x14ac:dyDescent="0.25">
      <c r="A177" t="s">
        <v>2108</v>
      </c>
      <c r="B177" t="s">
        <v>2109</v>
      </c>
      <c r="C177" t="s">
        <v>2101</v>
      </c>
      <c r="E177" t="s">
        <v>2110</v>
      </c>
      <c r="H177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177" s="49" t="str">
        <f>IFERROR(WEEKNUM(CRC_Severe_Weather_SIMs[[#This Row],[Ops Date]]), "N/A")</f>
        <v>N/A</v>
      </c>
      <c r="J17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7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17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177" s="50">
        <f>IF(AND(CRC_Severe_Weather_SIMs[[#This Row],[CI]] = 0, CRC_Severe_Weather_SIMs[[#This Row],[Miss]] = 1), 1, 0)</f>
        <v>0</v>
      </c>
      <c r="N177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17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7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78" spans="1:16" x14ac:dyDescent="0.25">
      <c r="A178" t="s">
        <v>2111</v>
      </c>
      <c r="B178" t="s">
        <v>2112</v>
      </c>
      <c r="C178" t="s">
        <v>2113</v>
      </c>
      <c r="E178" t="s">
        <v>1759</v>
      </c>
      <c r="H178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45493</v>
      </c>
      <c r="I178" s="49">
        <f>IFERROR(WEEKNUM(CRC_Severe_Weather_SIMs[[#This Row],[Ops Date]]), "N/A")</f>
        <v>29</v>
      </c>
      <c r="J17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7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17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178" s="50">
        <f>IF(AND(CRC_Severe_Weather_SIMs[[#This Row],[CI]] = 0, CRC_Severe_Weather_SIMs[[#This Row],[Miss]] = 1), 1, 0)</f>
        <v>0</v>
      </c>
      <c r="N178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17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7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79" spans="1:16" x14ac:dyDescent="0.25">
      <c r="A179" t="s">
        <v>2114</v>
      </c>
      <c r="B179" t="s">
        <v>2115</v>
      </c>
      <c r="C179" t="s">
        <v>2116</v>
      </c>
      <c r="H179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45494</v>
      </c>
      <c r="I179" s="49">
        <f>IFERROR(WEEKNUM(CRC_Severe_Weather_SIMs[[#This Row],[Ops Date]]), "N/A")</f>
        <v>30</v>
      </c>
      <c r="J17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7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7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79" s="50">
        <f>IF(AND(CRC_Severe_Weather_SIMs[[#This Row],[CI]] = 0, CRC_Severe_Weather_SIMs[[#This Row],[Miss]] = 1), 1, 0)</f>
        <v>0</v>
      </c>
      <c r="N17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7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7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80" spans="1:16" x14ac:dyDescent="0.25">
      <c r="A180" t="s">
        <v>2117</v>
      </c>
      <c r="B180" t="s">
        <v>2118</v>
      </c>
      <c r="C180" t="s">
        <v>2116</v>
      </c>
      <c r="H180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45494</v>
      </c>
      <c r="I180" s="49">
        <f>IFERROR(WEEKNUM(CRC_Severe_Weather_SIMs[[#This Row],[Ops Date]]), "N/A")</f>
        <v>30</v>
      </c>
      <c r="J18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8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8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80" s="50">
        <f>IF(AND(CRC_Severe_Weather_SIMs[[#This Row],[CI]] = 0, CRC_Severe_Weather_SIMs[[#This Row],[Miss]] = 1), 1, 0)</f>
        <v>0</v>
      </c>
      <c r="N18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8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8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81" spans="1:16" x14ac:dyDescent="0.25">
      <c r="A181" t="s">
        <v>2119</v>
      </c>
      <c r="B181" t="s">
        <v>2120</v>
      </c>
      <c r="C181" t="s">
        <v>2116</v>
      </c>
      <c r="H181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45494</v>
      </c>
      <c r="I181" s="49">
        <f>IFERROR(WEEKNUM(CRC_Severe_Weather_SIMs[[#This Row],[Ops Date]]), "N/A")</f>
        <v>30</v>
      </c>
      <c r="J18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8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8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81" s="50">
        <f>IF(AND(CRC_Severe_Weather_SIMs[[#This Row],[CI]] = 0, CRC_Severe_Weather_SIMs[[#This Row],[Miss]] = 1), 1, 0)</f>
        <v>0</v>
      </c>
      <c r="N18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8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8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82" spans="1:16" x14ac:dyDescent="0.25">
      <c r="A182" t="s">
        <v>2121</v>
      </c>
      <c r="B182" t="s">
        <v>2122</v>
      </c>
      <c r="C182" t="s">
        <v>2116</v>
      </c>
      <c r="H182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45494</v>
      </c>
      <c r="I182" s="49">
        <f>IFERROR(WEEKNUM(CRC_Severe_Weather_SIMs[[#This Row],[Ops Date]]), "N/A")</f>
        <v>30</v>
      </c>
      <c r="J18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8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8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82" s="50">
        <f>IF(AND(CRC_Severe_Weather_SIMs[[#This Row],[CI]] = 0, CRC_Severe_Weather_SIMs[[#This Row],[Miss]] = 1), 1, 0)</f>
        <v>0</v>
      </c>
      <c r="N18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8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8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83" spans="1:16" x14ac:dyDescent="0.25">
      <c r="A183" t="s">
        <v>2123</v>
      </c>
      <c r="B183" t="s">
        <v>2124</v>
      </c>
      <c r="C183" t="s">
        <v>2116</v>
      </c>
      <c r="H183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45494</v>
      </c>
      <c r="I183" s="49">
        <f>IFERROR(WEEKNUM(CRC_Severe_Weather_SIMs[[#This Row],[Ops Date]]), "N/A")</f>
        <v>30</v>
      </c>
      <c r="J18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8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8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83" s="50">
        <f>IF(AND(CRC_Severe_Weather_SIMs[[#This Row],[CI]] = 0, CRC_Severe_Weather_SIMs[[#This Row],[Miss]] = 1), 1, 0)</f>
        <v>0</v>
      </c>
      <c r="N18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8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8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84" spans="1:16" x14ac:dyDescent="0.25">
      <c r="A184" t="s">
        <v>2125</v>
      </c>
      <c r="B184" t="s">
        <v>2126</v>
      </c>
      <c r="C184" t="s">
        <v>2116</v>
      </c>
      <c r="H18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45494</v>
      </c>
      <c r="I184" s="49">
        <f>IFERROR(WEEKNUM(CRC_Severe_Weather_SIMs[[#This Row],[Ops Date]]), "N/A")</f>
        <v>30</v>
      </c>
      <c r="J18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8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8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84" s="50">
        <f>IF(AND(CRC_Severe_Weather_SIMs[[#This Row],[CI]] = 0, CRC_Severe_Weather_SIMs[[#This Row],[Miss]] = 1), 1, 0)</f>
        <v>0</v>
      </c>
      <c r="N18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8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8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85" spans="1:16" x14ac:dyDescent="0.25">
      <c r="A185" t="s">
        <v>2127</v>
      </c>
      <c r="B185" t="s">
        <v>2128</v>
      </c>
      <c r="C185" t="s">
        <v>2116</v>
      </c>
      <c r="H185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45494</v>
      </c>
      <c r="I185" s="49">
        <f>IFERROR(WEEKNUM(CRC_Severe_Weather_SIMs[[#This Row],[Ops Date]]), "N/A")</f>
        <v>30</v>
      </c>
      <c r="J18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8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8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85" s="50">
        <f>IF(AND(CRC_Severe_Weather_SIMs[[#This Row],[CI]] = 0, CRC_Severe_Weather_SIMs[[#This Row],[Miss]] = 1), 1, 0)</f>
        <v>0</v>
      </c>
      <c r="N18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8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8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86" spans="1:16" x14ac:dyDescent="0.25">
      <c r="A186" t="s">
        <v>2129</v>
      </c>
      <c r="B186" t="s">
        <v>2130</v>
      </c>
      <c r="C186" t="s">
        <v>2116</v>
      </c>
      <c r="H186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45494</v>
      </c>
      <c r="I186" s="49">
        <f>IFERROR(WEEKNUM(CRC_Severe_Weather_SIMs[[#This Row],[Ops Date]]), "N/A")</f>
        <v>30</v>
      </c>
      <c r="J18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8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8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86" s="50">
        <f>IF(AND(CRC_Severe_Weather_SIMs[[#This Row],[CI]] = 0, CRC_Severe_Weather_SIMs[[#This Row],[Miss]] = 1), 1, 0)</f>
        <v>0</v>
      </c>
      <c r="N18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8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8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87" spans="1:16" x14ac:dyDescent="0.25">
      <c r="A187" t="s">
        <v>2131</v>
      </c>
      <c r="B187" t="s">
        <v>2132</v>
      </c>
      <c r="C187" t="s">
        <v>2116</v>
      </c>
      <c r="H187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45494</v>
      </c>
      <c r="I187" s="49">
        <f>IFERROR(WEEKNUM(CRC_Severe_Weather_SIMs[[#This Row],[Ops Date]]), "N/A")</f>
        <v>30</v>
      </c>
      <c r="J18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8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8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87" s="50">
        <f>IF(AND(CRC_Severe_Weather_SIMs[[#This Row],[CI]] = 0, CRC_Severe_Weather_SIMs[[#This Row],[Miss]] = 1), 1, 0)</f>
        <v>0</v>
      </c>
      <c r="N18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8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8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88" spans="1:16" x14ac:dyDescent="0.25">
      <c r="A188" t="s">
        <v>2133</v>
      </c>
      <c r="B188" t="s">
        <v>2134</v>
      </c>
      <c r="C188" t="s">
        <v>2116</v>
      </c>
      <c r="H188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45494</v>
      </c>
      <c r="I188" s="49">
        <f>IFERROR(WEEKNUM(CRC_Severe_Weather_SIMs[[#This Row],[Ops Date]]), "N/A")</f>
        <v>30</v>
      </c>
      <c r="J18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8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8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88" s="50">
        <f>IF(AND(CRC_Severe_Weather_SIMs[[#This Row],[CI]] = 0, CRC_Severe_Weather_SIMs[[#This Row],[Miss]] = 1), 1, 0)</f>
        <v>0</v>
      </c>
      <c r="N18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8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8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89" spans="1:16" x14ac:dyDescent="0.25">
      <c r="A189" t="s">
        <v>2135</v>
      </c>
      <c r="B189" t="s">
        <v>2136</v>
      </c>
      <c r="C189" t="s">
        <v>2116</v>
      </c>
      <c r="H189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45494</v>
      </c>
      <c r="I189" s="49">
        <f>IFERROR(WEEKNUM(CRC_Severe_Weather_SIMs[[#This Row],[Ops Date]]), "N/A")</f>
        <v>30</v>
      </c>
      <c r="J18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8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8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89" s="50">
        <f>IF(AND(CRC_Severe_Weather_SIMs[[#This Row],[CI]] = 0, CRC_Severe_Weather_SIMs[[#This Row],[Miss]] = 1), 1, 0)</f>
        <v>0</v>
      </c>
      <c r="N18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8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8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90" spans="1:16" x14ac:dyDescent="0.25">
      <c r="A190" t="s">
        <v>2137</v>
      </c>
      <c r="B190" t="s">
        <v>2138</v>
      </c>
      <c r="C190" t="s">
        <v>2139</v>
      </c>
      <c r="H190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45493</v>
      </c>
      <c r="I190" s="49">
        <f>IFERROR(WEEKNUM(CRC_Severe_Weather_SIMs[[#This Row],[Ops Date]]), "N/A")</f>
        <v>29</v>
      </c>
      <c r="J19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9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9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90" s="50">
        <f>IF(AND(CRC_Severe_Weather_SIMs[[#This Row],[CI]] = 0, CRC_Severe_Weather_SIMs[[#This Row],[Miss]] = 1), 1, 0)</f>
        <v>0</v>
      </c>
      <c r="N19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9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9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91" spans="1:16" x14ac:dyDescent="0.25">
      <c r="A191" t="s">
        <v>2140</v>
      </c>
      <c r="B191" t="s">
        <v>2141</v>
      </c>
      <c r="C191" t="s">
        <v>2139</v>
      </c>
      <c r="H191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45493</v>
      </c>
      <c r="I191" s="49">
        <f>IFERROR(WEEKNUM(CRC_Severe_Weather_SIMs[[#This Row],[Ops Date]]), "N/A")</f>
        <v>29</v>
      </c>
      <c r="J19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9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9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91" s="50">
        <f>IF(AND(CRC_Severe_Weather_SIMs[[#This Row],[CI]] = 0, CRC_Severe_Weather_SIMs[[#This Row],[Miss]] = 1), 1, 0)</f>
        <v>0</v>
      </c>
      <c r="N19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9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9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92" spans="1:16" x14ac:dyDescent="0.25">
      <c r="A192" t="s">
        <v>2142</v>
      </c>
      <c r="B192" t="s">
        <v>2143</v>
      </c>
      <c r="C192" t="s">
        <v>2139</v>
      </c>
      <c r="H192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45493</v>
      </c>
      <c r="I192" s="49">
        <f>IFERROR(WEEKNUM(CRC_Severe_Weather_SIMs[[#This Row],[Ops Date]]), "N/A")</f>
        <v>29</v>
      </c>
      <c r="J19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9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9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92" s="50">
        <f>IF(AND(CRC_Severe_Weather_SIMs[[#This Row],[CI]] = 0, CRC_Severe_Weather_SIMs[[#This Row],[Miss]] = 1), 1, 0)</f>
        <v>0</v>
      </c>
      <c r="N19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9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9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93" spans="1:16" x14ac:dyDescent="0.25">
      <c r="A193" t="s">
        <v>2144</v>
      </c>
      <c r="B193" t="s">
        <v>2145</v>
      </c>
      <c r="C193" t="s">
        <v>2139</v>
      </c>
      <c r="H193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45493</v>
      </c>
      <c r="I193" s="49">
        <f>IFERROR(WEEKNUM(CRC_Severe_Weather_SIMs[[#This Row],[Ops Date]]), "N/A")</f>
        <v>29</v>
      </c>
      <c r="J19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9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9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93" s="50">
        <f>IF(AND(CRC_Severe_Weather_SIMs[[#This Row],[CI]] = 0, CRC_Severe_Weather_SIMs[[#This Row],[Miss]] = 1), 1, 0)</f>
        <v>0</v>
      </c>
      <c r="N19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9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9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94" spans="1:16" x14ac:dyDescent="0.25">
      <c r="A194" t="s">
        <v>2146</v>
      </c>
      <c r="B194" t="s">
        <v>2147</v>
      </c>
      <c r="C194" t="s">
        <v>2139</v>
      </c>
      <c r="H19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45493</v>
      </c>
      <c r="I194" s="49">
        <f>IFERROR(WEEKNUM(CRC_Severe_Weather_SIMs[[#This Row],[Ops Date]]), "N/A")</f>
        <v>29</v>
      </c>
      <c r="J19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9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9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94" s="50">
        <f>IF(AND(CRC_Severe_Weather_SIMs[[#This Row],[CI]] = 0, CRC_Severe_Weather_SIMs[[#This Row],[Miss]] = 1), 1, 0)</f>
        <v>0</v>
      </c>
      <c r="N19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9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9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95" spans="1:16" x14ac:dyDescent="0.25">
      <c r="A195" t="s">
        <v>2148</v>
      </c>
      <c r="B195" t="s">
        <v>2149</v>
      </c>
      <c r="C195" t="s">
        <v>2139</v>
      </c>
      <c r="H195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45493</v>
      </c>
      <c r="I195" s="49">
        <f>IFERROR(WEEKNUM(CRC_Severe_Weather_SIMs[[#This Row],[Ops Date]]), "N/A")</f>
        <v>29</v>
      </c>
      <c r="J19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9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9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95" s="50">
        <f>IF(AND(CRC_Severe_Weather_SIMs[[#This Row],[CI]] = 0, CRC_Severe_Weather_SIMs[[#This Row],[Miss]] = 1), 1, 0)</f>
        <v>0</v>
      </c>
      <c r="N19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9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9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96" spans="1:16" x14ac:dyDescent="0.25">
      <c r="A196" t="s">
        <v>2150</v>
      </c>
      <c r="B196" t="s">
        <v>2151</v>
      </c>
      <c r="C196" t="s">
        <v>2139</v>
      </c>
      <c r="H196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45493</v>
      </c>
      <c r="I196" s="49">
        <f>IFERROR(WEEKNUM(CRC_Severe_Weather_SIMs[[#This Row],[Ops Date]]), "N/A")</f>
        <v>29</v>
      </c>
      <c r="J19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9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9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96" s="50">
        <f>IF(AND(CRC_Severe_Weather_SIMs[[#This Row],[CI]] = 0, CRC_Severe_Weather_SIMs[[#This Row],[Miss]] = 1), 1, 0)</f>
        <v>0</v>
      </c>
      <c r="N19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9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9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97" spans="1:16" x14ac:dyDescent="0.25">
      <c r="A197" t="s">
        <v>2152</v>
      </c>
      <c r="B197" t="s">
        <v>2153</v>
      </c>
      <c r="C197" t="s">
        <v>2139</v>
      </c>
      <c r="H197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45493</v>
      </c>
      <c r="I197" s="49">
        <f>IFERROR(WEEKNUM(CRC_Severe_Weather_SIMs[[#This Row],[Ops Date]]), "N/A")</f>
        <v>29</v>
      </c>
      <c r="J19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9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9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97" s="50">
        <f>IF(AND(CRC_Severe_Weather_SIMs[[#This Row],[CI]] = 0, CRC_Severe_Weather_SIMs[[#This Row],[Miss]] = 1), 1, 0)</f>
        <v>0</v>
      </c>
      <c r="N19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9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9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98" spans="1:16" x14ac:dyDescent="0.25">
      <c r="A198" t="s">
        <v>2154</v>
      </c>
      <c r="B198" t="s">
        <v>2155</v>
      </c>
      <c r="C198" t="s">
        <v>2139</v>
      </c>
      <c r="H198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45493</v>
      </c>
      <c r="I198" s="49">
        <f>IFERROR(WEEKNUM(CRC_Severe_Weather_SIMs[[#This Row],[Ops Date]]), "N/A")</f>
        <v>29</v>
      </c>
      <c r="J19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9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9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98" s="50">
        <f>IF(AND(CRC_Severe_Weather_SIMs[[#This Row],[CI]] = 0, CRC_Severe_Weather_SIMs[[#This Row],[Miss]] = 1), 1, 0)</f>
        <v>0</v>
      </c>
      <c r="N19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9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9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199" spans="1:16" x14ac:dyDescent="0.25">
      <c r="A199" t="s">
        <v>2156</v>
      </c>
      <c r="B199" t="s">
        <v>2157</v>
      </c>
      <c r="C199" t="s">
        <v>2139</v>
      </c>
      <c r="H199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45493</v>
      </c>
      <c r="I199" s="49">
        <f>IFERROR(WEEKNUM(CRC_Severe_Weather_SIMs[[#This Row],[Ops Date]]), "N/A")</f>
        <v>29</v>
      </c>
      <c r="J19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19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19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199" s="50">
        <f>IF(AND(CRC_Severe_Weather_SIMs[[#This Row],[CI]] = 0, CRC_Severe_Weather_SIMs[[#This Row],[Miss]] = 1), 1, 0)</f>
        <v>0</v>
      </c>
      <c r="N19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19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19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00" spans="1:16" x14ac:dyDescent="0.25">
      <c r="A200" t="s">
        <v>2158</v>
      </c>
      <c r="B200" t="s">
        <v>2159</v>
      </c>
      <c r="C200" t="s">
        <v>2139</v>
      </c>
      <c r="H200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45493</v>
      </c>
      <c r="I200" s="49">
        <f>IFERROR(WEEKNUM(CRC_Severe_Weather_SIMs[[#This Row],[Ops Date]]), "N/A")</f>
        <v>29</v>
      </c>
      <c r="J20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0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0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00" s="50">
        <f>IF(AND(CRC_Severe_Weather_SIMs[[#This Row],[CI]] = 0, CRC_Severe_Weather_SIMs[[#This Row],[Miss]] = 1), 1, 0)</f>
        <v>0</v>
      </c>
      <c r="N20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0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0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01" spans="1:16" x14ac:dyDescent="0.25">
      <c r="A201" t="s">
        <v>2160</v>
      </c>
      <c r="B201" t="s">
        <v>2161</v>
      </c>
      <c r="C201" t="s">
        <v>2139</v>
      </c>
      <c r="H201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45493</v>
      </c>
      <c r="I201" s="49">
        <f>IFERROR(WEEKNUM(CRC_Severe_Weather_SIMs[[#This Row],[Ops Date]]), "N/A")</f>
        <v>29</v>
      </c>
      <c r="J20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0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0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01" s="50">
        <f>IF(AND(CRC_Severe_Weather_SIMs[[#This Row],[CI]] = 0, CRC_Severe_Weather_SIMs[[#This Row],[Miss]] = 1), 1, 0)</f>
        <v>0</v>
      </c>
      <c r="N20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0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0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02" spans="1:16" x14ac:dyDescent="0.25">
      <c r="A202" t="s">
        <v>2162</v>
      </c>
      <c r="B202" t="s">
        <v>2163</v>
      </c>
      <c r="C202" t="s">
        <v>2164</v>
      </c>
      <c r="H202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45492</v>
      </c>
      <c r="I202" s="49">
        <f>IFERROR(WEEKNUM(CRC_Severe_Weather_SIMs[[#This Row],[Ops Date]]), "N/A")</f>
        <v>29</v>
      </c>
      <c r="J20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0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0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02" s="50">
        <f>IF(AND(CRC_Severe_Weather_SIMs[[#This Row],[CI]] = 0, CRC_Severe_Weather_SIMs[[#This Row],[Miss]] = 1), 1, 0)</f>
        <v>0</v>
      </c>
      <c r="N20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0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0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03" spans="1:16" x14ac:dyDescent="0.25">
      <c r="A203" t="s">
        <v>2165</v>
      </c>
      <c r="B203" t="s">
        <v>2166</v>
      </c>
      <c r="C203" t="s">
        <v>2164</v>
      </c>
      <c r="H203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45492</v>
      </c>
      <c r="I203" s="49">
        <f>IFERROR(WEEKNUM(CRC_Severe_Weather_SIMs[[#This Row],[Ops Date]]), "N/A")</f>
        <v>29</v>
      </c>
      <c r="J20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0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0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03" s="50">
        <f>IF(AND(CRC_Severe_Weather_SIMs[[#This Row],[CI]] = 0, CRC_Severe_Weather_SIMs[[#This Row],[Miss]] = 1), 1, 0)</f>
        <v>0</v>
      </c>
      <c r="N20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0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0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04" spans="1:16" x14ac:dyDescent="0.25">
      <c r="A204" t="s">
        <v>2167</v>
      </c>
      <c r="B204" t="s">
        <v>2168</v>
      </c>
      <c r="C204" t="s">
        <v>2164</v>
      </c>
      <c r="H20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45492</v>
      </c>
      <c r="I204" s="49">
        <f>IFERROR(WEEKNUM(CRC_Severe_Weather_SIMs[[#This Row],[Ops Date]]), "N/A")</f>
        <v>29</v>
      </c>
      <c r="J20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0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0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04" s="50">
        <f>IF(AND(CRC_Severe_Weather_SIMs[[#This Row],[CI]] = 0, CRC_Severe_Weather_SIMs[[#This Row],[Miss]] = 1), 1, 0)</f>
        <v>0</v>
      </c>
      <c r="N20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0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0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05" spans="1:16" x14ac:dyDescent="0.25">
      <c r="A205" t="s">
        <v>2169</v>
      </c>
      <c r="B205" t="s">
        <v>2170</v>
      </c>
      <c r="C205" t="s">
        <v>2171</v>
      </c>
      <c r="E205" t="s">
        <v>1759</v>
      </c>
      <c r="F205" t="s">
        <v>2172</v>
      </c>
      <c r="H205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05" s="49" t="str">
        <f>IFERROR(WEEKNUM(CRC_Severe_Weather_SIMs[[#This Row],[Ops Date]]), "N/A")</f>
        <v>N/A</v>
      </c>
      <c r="J20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0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20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205" s="50">
        <f>IF(AND(CRC_Severe_Weather_SIMs[[#This Row],[CI]] = 0, CRC_Severe_Weather_SIMs[[#This Row],[Miss]] = 1), 1, 0)</f>
        <v>0</v>
      </c>
      <c r="N205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205" s="49">
        <f>IF(AND(CRC_Severe_Weather_SIMs[[#This Row],[Excluded]] = 0, OR(CRC_Severe_Weather_SIMs[[#This Row],[False Resolution Miss]] &lt;&gt; "", ISNUMBER(SEARCH("False Resolution", CRC_Severe_Weather_SIMs[[#This Row],[Labels]])))), 1, 0)</f>
        <v>1</v>
      </c>
      <c r="P20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06" spans="1:16" x14ac:dyDescent="0.25">
      <c r="A206" t="s">
        <v>2173</v>
      </c>
      <c r="B206" t="s">
        <v>2174</v>
      </c>
      <c r="C206" t="s">
        <v>2171</v>
      </c>
      <c r="E206" t="s">
        <v>1759</v>
      </c>
      <c r="H206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06" s="49" t="str">
        <f>IFERROR(WEEKNUM(CRC_Severe_Weather_SIMs[[#This Row],[Ops Date]]), "N/A")</f>
        <v>N/A</v>
      </c>
      <c r="J20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0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20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206" s="50">
        <f>IF(AND(CRC_Severe_Weather_SIMs[[#This Row],[CI]] = 0, CRC_Severe_Weather_SIMs[[#This Row],[Miss]] = 1), 1, 0)</f>
        <v>0</v>
      </c>
      <c r="N206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20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0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07" spans="1:16" x14ac:dyDescent="0.25">
      <c r="A207" t="s">
        <v>2175</v>
      </c>
      <c r="B207" t="s">
        <v>2176</v>
      </c>
      <c r="C207" t="s">
        <v>2171</v>
      </c>
      <c r="E207" t="s">
        <v>1759</v>
      </c>
      <c r="H207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07" s="49" t="str">
        <f>IFERROR(WEEKNUM(CRC_Severe_Weather_SIMs[[#This Row],[Ops Date]]), "N/A")</f>
        <v>N/A</v>
      </c>
      <c r="J20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0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20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207" s="50">
        <f>IF(AND(CRC_Severe_Weather_SIMs[[#This Row],[CI]] = 0, CRC_Severe_Weather_SIMs[[#This Row],[Miss]] = 1), 1, 0)</f>
        <v>0</v>
      </c>
      <c r="N207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20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0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08" spans="1:16" x14ac:dyDescent="0.25">
      <c r="A208" t="s">
        <v>2177</v>
      </c>
      <c r="B208" t="s">
        <v>2178</v>
      </c>
      <c r="C208" t="s">
        <v>2171</v>
      </c>
      <c r="E208" t="s">
        <v>1759</v>
      </c>
      <c r="H208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08" s="49" t="str">
        <f>IFERROR(WEEKNUM(CRC_Severe_Weather_SIMs[[#This Row],[Ops Date]]), "N/A")</f>
        <v>N/A</v>
      </c>
      <c r="J20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0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20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208" s="50">
        <f>IF(AND(CRC_Severe_Weather_SIMs[[#This Row],[CI]] = 0, CRC_Severe_Weather_SIMs[[#This Row],[Miss]] = 1), 1, 0)</f>
        <v>0</v>
      </c>
      <c r="N208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20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0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09" spans="1:16" x14ac:dyDescent="0.25">
      <c r="A209" t="s">
        <v>2179</v>
      </c>
      <c r="B209" t="s">
        <v>2180</v>
      </c>
      <c r="C209" t="s">
        <v>2171</v>
      </c>
      <c r="E209" t="s">
        <v>1759</v>
      </c>
      <c r="H209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09" s="49" t="str">
        <f>IFERROR(WEEKNUM(CRC_Severe_Weather_SIMs[[#This Row],[Ops Date]]), "N/A")</f>
        <v>N/A</v>
      </c>
      <c r="J20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0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20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209" s="50">
        <f>IF(AND(CRC_Severe_Weather_SIMs[[#This Row],[CI]] = 0, CRC_Severe_Weather_SIMs[[#This Row],[Miss]] = 1), 1, 0)</f>
        <v>0</v>
      </c>
      <c r="N209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20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0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10" spans="1:16" x14ac:dyDescent="0.25">
      <c r="A210" t="s">
        <v>2181</v>
      </c>
      <c r="B210" t="s">
        <v>2182</v>
      </c>
      <c r="C210" t="s">
        <v>2164</v>
      </c>
      <c r="H210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45492</v>
      </c>
      <c r="I210" s="49">
        <f>IFERROR(WEEKNUM(CRC_Severe_Weather_SIMs[[#This Row],[Ops Date]]), "N/A")</f>
        <v>29</v>
      </c>
      <c r="J21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1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1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10" s="50">
        <f>IF(AND(CRC_Severe_Weather_SIMs[[#This Row],[CI]] = 0, CRC_Severe_Weather_SIMs[[#This Row],[Miss]] = 1), 1, 0)</f>
        <v>0</v>
      </c>
      <c r="N21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1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1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11" spans="1:16" x14ac:dyDescent="0.25">
      <c r="A211" t="s">
        <v>2183</v>
      </c>
      <c r="B211" t="s">
        <v>2184</v>
      </c>
      <c r="C211" t="s">
        <v>2164</v>
      </c>
      <c r="H211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45492</v>
      </c>
      <c r="I211" s="49">
        <f>IFERROR(WEEKNUM(CRC_Severe_Weather_SIMs[[#This Row],[Ops Date]]), "N/A")</f>
        <v>29</v>
      </c>
      <c r="J21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1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1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11" s="50">
        <f>IF(AND(CRC_Severe_Weather_SIMs[[#This Row],[CI]] = 0, CRC_Severe_Weather_SIMs[[#This Row],[Miss]] = 1), 1, 0)</f>
        <v>0</v>
      </c>
      <c r="N21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1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1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12" spans="1:16" x14ac:dyDescent="0.25">
      <c r="A212" t="s">
        <v>2185</v>
      </c>
      <c r="B212" t="s">
        <v>2186</v>
      </c>
      <c r="C212" t="s">
        <v>2164</v>
      </c>
      <c r="H212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45492</v>
      </c>
      <c r="I212" s="49">
        <f>IFERROR(WEEKNUM(CRC_Severe_Weather_SIMs[[#This Row],[Ops Date]]), "N/A")</f>
        <v>29</v>
      </c>
      <c r="J21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1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1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12" s="50">
        <f>IF(AND(CRC_Severe_Weather_SIMs[[#This Row],[CI]] = 0, CRC_Severe_Weather_SIMs[[#This Row],[Miss]] = 1), 1, 0)</f>
        <v>0</v>
      </c>
      <c r="N21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1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1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13" spans="1:16" x14ac:dyDescent="0.25">
      <c r="A213" t="s">
        <v>2187</v>
      </c>
      <c r="B213" t="s">
        <v>2188</v>
      </c>
      <c r="C213" t="s">
        <v>2164</v>
      </c>
      <c r="H213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45492</v>
      </c>
      <c r="I213" s="49">
        <f>IFERROR(WEEKNUM(CRC_Severe_Weather_SIMs[[#This Row],[Ops Date]]), "N/A")</f>
        <v>29</v>
      </c>
      <c r="J21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1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1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13" s="50">
        <f>IF(AND(CRC_Severe_Weather_SIMs[[#This Row],[CI]] = 0, CRC_Severe_Weather_SIMs[[#This Row],[Miss]] = 1), 1, 0)</f>
        <v>0</v>
      </c>
      <c r="N21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1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1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14" spans="1:16" x14ac:dyDescent="0.25">
      <c r="A214" t="s">
        <v>2189</v>
      </c>
      <c r="B214" t="s">
        <v>2190</v>
      </c>
      <c r="C214" t="s">
        <v>2164</v>
      </c>
      <c r="H214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45492</v>
      </c>
      <c r="I214" s="49">
        <f>IFERROR(WEEKNUM(CRC_Severe_Weather_SIMs[[#This Row],[Ops Date]]), "N/A")</f>
        <v>29</v>
      </c>
      <c r="J21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1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1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14" s="50">
        <f>IF(AND(CRC_Severe_Weather_SIMs[[#This Row],[CI]] = 0, CRC_Severe_Weather_SIMs[[#This Row],[Miss]] = 1), 1, 0)</f>
        <v>0</v>
      </c>
      <c r="N21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1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1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15" spans="1:16" x14ac:dyDescent="0.25">
      <c r="A215" t="s">
        <v>2191</v>
      </c>
      <c r="B215" t="s">
        <v>2192</v>
      </c>
      <c r="C215" t="s">
        <v>2164</v>
      </c>
      <c r="H215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45492</v>
      </c>
      <c r="I215" s="49">
        <f>IFERROR(WEEKNUM(CRC_Severe_Weather_SIMs[[#This Row],[Ops Date]]), "N/A")</f>
        <v>29</v>
      </c>
      <c r="J21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1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1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15" s="50">
        <f>IF(AND(CRC_Severe_Weather_SIMs[[#This Row],[CI]] = 0, CRC_Severe_Weather_SIMs[[#This Row],[Miss]] = 1), 1, 0)</f>
        <v>0</v>
      </c>
      <c r="N21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1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1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16" spans="1:16" x14ac:dyDescent="0.25">
      <c r="A216" t="s">
        <v>2193</v>
      </c>
      <c r="B216" t="s">
        <v>2194</v>
      </c>
      <c r="C216" t="s">
        <v>2164</v>
      </c>
      <c r="H216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45492</v>
      </c>
      <c r="I216" s="49">
        <f>IFERROR(WEEKNUM(CRC_Severe_Weather_SIMs[[#This Row],[Ops Date]]), "N/A")</f>
        <v>29</v>
      </c>
      <c r="J21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1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1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16" s="50">
        <f>IF(AND(CRC_Severe_Weather_SIMs[[#This Row],[CI]] = 0, CRC_Severe_Weather_SIMs[[#This Row],[Miss]] = 1), 1, 0)</f>
        <v>0</v>
      </c>
      <c r="N21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1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1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17" spans="1:16" x14ac:dyDescent="0.25">
      <c r="A217" t="s">
        <v>2195</v>
      </c>
      <c r="B217" t="s">
        <v>2196</v>
      </c>
      <c r="C217" t="s">
        <v>2164</v>
      </c>
      <c r="H217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45492</v>
      </c>
      <c r="I217" s="49">
        <f>IFERROR(WEEKNUM(CRC_Severe_Weather_SIMs[[#This Row],[Ops Date]]), "N/A")</f>
        <v>29</v>
      </c>
      <c r="J21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1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1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17" s="50">
        <f>IF(AND(CRC_Severe_Weather_SIMs[[#This Row],[CI]] = 0, CRC_Severe_Weather_SIMs[[#This Row],[Miss]] = 1), 1, 0)</f>
        <v>0</v>
      </c>
      <c r="N21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1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1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18" spans="1:16" x14ac:dyDescent="0.25">
      <c r="A218" t="s">
        <v>2197</v>
      </c>
      <c r="B218" t="s">
        <v>2198</v>
      </c>
      <c r="C218" t="s">
        <v>2164</v>
      </c>
      <c r="H218" s="88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45492</v>
      </c>
      <c r="I218" s="49">
        <f>IFERROR(WEEKNUM(CRC_Severe_Weather_SIMs[[#This Row],[Ops Date]]), "N/A")</f>
        <v>29</v>
      </c>
      <c r="J21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1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1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18" s="50">
        <f>IF(AND(CRC_Severe_Weather_SIMs[[#This Row],[CI]] = 0, CRC_Severe_Weather_SIMs[[#This Row],[Miss]] = 1), 1, 0)</f>
        <v>0</v>
      </c>
      <c r="N21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1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1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19" spans="1:16" x14ac:dyDescent="0.25">
      <c r="A219" t="s">
        <v>2199</v>
      </c>
      <c r="B219" t="s">
        <v>2200</v>
      </c>
      <c r="C219" t="s">
        <v>2201</v>
      </c>
      <c r="H219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19" s="49" t="str">
        <f>IFERROR(WEEKNUM(CRC_Severe_Weather_SIMs[[#This Row],[Ops Date]]), "N/A")</f>
        <v>N/A</v>
      </c>
      <c r="J21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1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1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19" s="50">
        <f>IF(AND(CRC_Severe_Weather_SIMs[[#This Row],[CI]] = 0, CRC_Severe_Weather_SIMs[[#This Row],[Miss]] = 1), 1, 0)</f>
        <v>0</v>
      </c>
      <c r="N21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1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1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20" spans="1:16" x14ac:dyDescent="0.25">
      <c r="A220" t="s">
        <v>2202</v>
      </c>
      <c r="B220" t="s">
        <v>2203</v>
      </c>
      <c r="C220" t="s">
        <v>2201</v>
      </c>
      <c r="H220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20" s="49" t="str">
        <f>IFERROR(WEEKNUM(CRC_Severe_Weather_SIMs[[#This Row],[Ops Date]]), "N/A")</f>
        <v>N/A</v>
      </c>
      <c r="J22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2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2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20" s="50">
        <f>IF(AND(CRC_Severe_Weather_SIMs[[#This Row],[CI]] = 0, CRC_Severe_Weather_SIMs[[#This Row],[Miss]] = 1), 1, 0)</f>
        <v>0</v>
      </c>
      <c r="N22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2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2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21" spans="1:16" x14ac:dyDescent="0.25">
      <c r="A221" t="s">
        <v>2204</v>
      </c>
      <c r="B221" t="s">
        <v>2205</v>
      </c>
      <c r="C221" t="s">
        <v>2201</v>
      </c>
      <c r="H221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21" s="49" t="str">
        <f>IFERROR(WEEKNUM(CRC_Severe_Weather_SIMs[[#This Row],[Ops Date]]), "N/A")</f>
        <v>N/A</v>
      </c>
      <c r="J22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2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2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21" s="50">
        <f>IF(AND(CRC_Severe_Weather_SIMs[[#This Row],[CI]] = 0, CRC_Severe_Weather_SIMs[[#This Row],[Miss]] = 1), 1, 0)</f>
        <v>0</v>
      </c>
      <c r="N22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2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2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22" spans="1:16" x14ac:dyDescent="0.25">
      <c r="A222" t="s">
        <v>2206</v>
      </c>
      <c r="B222" t="s">
        <v>2207</v>
      </c>
      <c r="C222" t="s">
        <v>2201</v>
      </c>
      <c r="H222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22" s="49" t="str">
        <f>IFERROR(WEEKNUM(CRC_Severe_Weather_SIMs[[#This Row],[Ops Date]]), "N/A")</f>
        <v>N/A</v>
      </c>
      <c r="J22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2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2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22" s="50">
        <f>IF(AND(CRC_Severe_Weather_SIMs[[#This Row],[CI]] = 0, CRC_Severe_Weather_SIMs[[#This Row],[Miss]] = 1), 1, 0)</f>
        <v>0</v>
      </c>
      <c r="N22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2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2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23" spans="1:16" x14ac:dyDescent="0.25">
      <c r="A223" t="s">
        <v>2208</v>
      </c>
      <c r="B223" t="s">
        <v>2209</v>
      </c>
      <c r="C223" t="s">
        <v>2201</v>
      </c>
      <c r="H223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23" s="49" t="str">
        <f>IFERROR(WEEKNUM(CRC_Severe_Weather_SIMs[[#This Row],[Ops Date]]), "N/A")</f>
        <v>N/A</v>
      </c>
      <c r="J22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2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2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23" s="50">
        <f>IF(AND(CRC_Severe_Weather_SIMs[[#This Row],[CI]] = 0, CRC_Severe_Weather_SIMs[[#This Row],[Miss]] = 1), 1, 0)</f>
        <v>0</v>
      </c>
      <c r="N22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2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2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24" spans="1:16" x14ac:dyDescent="0.25">
      <c r="A224" t="s">
        <v>2210</v>
      </c>
      <c r="B224" t="s">
        <v>2211</v>
      </c>
      <c r="C224" t="s">
        <v>2201</v>
      </c>
      <c r="H224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24" s="49" t="str">
        <f>IFERROR(WEEKNUM(CRC_Severe_Weather_SIMs[[#This Row],[Ops Date]]), "N/A")</f>
        <v>N/A</v>
      </c>
      <c r="J22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2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2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24" s="50">
        <f>IF(AND(CRC_Severe_Weather_SIMs[[#This Row],[CI]] = 0, CRC_Severe_Weather_SIMs[[#This Row],[Miss]] = 1), 1, 0)</f>
        <v>0</v>
      </c>
      <c r="N22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2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2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25" spans="1:16" x14ac:dyDescent="0.25">
      <c r="A225" t="s">
        <v>2212</v>
      </c>
      <c r="B225" t="s">
        <v>2213</v>
      </c>
      <c r="C225" t="s">
        <v>2201</v>
      </c>
      <c r="H225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25" s="49" t="str">
        <f>IFERROR(WEEKNUM(CRC_Severe_Weather_SIMs[[#This Row],[Ops Date]]), "N/A")</f>
        <v>N/A</v>
      </c>
      <c r="J22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2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2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25" s="50">
        <f>IF(AND(CRC_Severe_Weather_SIMs[[#This Row],[CI]] = 0, CRC_Severe_Weather_SIMs[[#This Row],[Miss]] = 1), 1, 0)</f>
        <v>0</v>
      </c>
      <c r="N22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2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2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26" spans="1:16" x14ac:dyDescent="0.25">
      <c r="A226" t="s">
        <v>2214</v>
      </c>
      <c r="B226" t="s">
        <v>2215</v>
      </c>
      <c r="C226" t="s">
        <v>2201</v>
      </c>
      <c r="H226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26" s="49" t="str">
        <f>IFERROR(WEEKNUM(CRC_Severe_Weather_SIMs[[#This Row],[Ops Date]]), "N/A")</f>
        <v>N/A</v>
      </c>
      <c r="J22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2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2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26" s="50">
        <f>IF(AND(CRC_Severe_Weather_SIMs[[#This Row],[CI]] = 0, CRC_Severe_Weather_SIMs[[#This Row],[Miss]] = 1), 1, 0)</f>
        <v>0</v>
      </c>
      <c r="N22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2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2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27" spans="1:16" x14ac:dyDescent="0.25">
      <c r="A227" t="s">
        <v>2216</v>
      </c>
      <c r="B227" t="s">
        <v>2217</v>
      </c>
      <c r="C227" t="s">
        <v>2218</v>
      </c>
      <c r="E227" t="s">
        <v>1759</v>
      </c>
      <c r="H227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27" s="49" t="str">
        <f>IFERROR(WEEKNUM(CRC_Severe_Weather_SIMs[[#This Row],[Ops Date]]), "N/A")</f>
        <v>N/A</v>
      </c>
      <c r="J22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2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22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227" s="50">
        <f>IF(AND(CRC_Severe_Weather_SIMs[[#This Row],[CI]] = 0, CRC_Severe_Weather_SIMs[[#This Row],[Miss]] = 1), 1, 0)</f>
        <v>0</v>
      </c>
      <c r="N227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22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2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28" spans="1:16" x14ac:dyDescent="0.25">
      <c r="A228" t="s">
        <v>2219</v>
      </c>
      <c r="B228" t="s">
        <v>2220</v>
      </c>
      <c r="C228" t="s">
        <v>2221</v>
      </c>
      <c r="D228" t="s">
        <v>1453</v>
      </c>
      <c r="E228" t="s">
        <v>1759</v>
      </c>
      <c r="H228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28" s="49" t="str">
        <f>IFERROR(WEEKNUM(CRC_Severe_Weather_SIMs[[#This Row],[Ops Date]]), "N/A")</f>
        <v>N/A</v>
      </c>
      <c r="J22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1</v>
      </c>
      <c r="K22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2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28" s="50">
        <f>IF(AND(CRC_Severe_Weather_SIMs[[#This Row],[CI]] = 0, CRC_Severe_Weather_SIMs[[#This Row],[Miss]] = 1), 1, 0)</f>
        <v>0</v>
      </c>
      <c r="N22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2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2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29" spans="1:16" x14ac:dyDescent="0.25">
      <c r="A229" t="s">
        <v>2222</v>
      </c>
      <c r="B229" t="s">
        <v>2223</v>
      </c>
      <c r="C229" t="s">
        <v>2221</v>
      </c>
      <c r="D229" t="s">
        <v>1453</v>
      </c>
      <c r="E229" t="s">
        <v>1759</v>
      </c>
      <c r="H229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29" s="49" t="str">
        <f>IFERROR(WEEKNUM(CRC_Severe_Weather_SIMs[[#This Row],[Ops Date]]), "N/A")</f>
        <v>N/A</v>
      </c>
      <c r="J22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1</v>
      </c>
      <c r="K22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2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29" s="50">
        <f>IF(AND(CRC_Severe_Weather_SIMs[[#This Row],[CI]] = 0, CRC_Severe_Weather_SIMs[[#This Row],[Miss]] = 1), 1, 0)</f>
        <v>0</v>
      </c>
      <c r="N22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2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2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30" spans="1:16" x14ac:dyDescent="0.25">
      <c r="A230" t="s">
        <v>2224</v>
      </c>
      <c r="B230" t="s">
        <v>2225</v>
      </c>
      <c r="C230" t="s">
        <v>2221</v>
      </c>
      <c r="D230" t="s">
        <v>1453</v>
      </c>
      <c r="E230" t="s">
        <v>1759</v>
      </c>
      <c r="H230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30" s="49" t="str">
        <f>IFERROR(WEEKNUM(CRC_Severe_Weather_SIMs[[#This Row],[Ops Date]]), "N/A")</f>
        <v>N/A</v>
      </c>
      <c r="J23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1</v>
      </c>
      <c r="K23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3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30" s="50">
        <f>IF(AND(CRC_Severe_Weather_SIMs[[#This Row],[CI]] = 0, CRC_Severe_Weather_SIMs[[#This Row],[Miss]] = 1), 1, 0)</f>
        <v>0</v>
      </c>
      <c r="N23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3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3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31" spans="1:16" x14ac:dyDescent="0.25">
      <c r="A231" t="s">
        <v>2226</v>
      </c>
      <c r="B231" t="s">
        <v>2227</v>
      </c>
      <c r="C231" t="s">
        <v>2218</v>
      </c>
      <c r="E231" t="s">
        <v>1759</v>
      </c>
      <c r="H231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31" s="49" t="str">
        <f>IFERROR(WEEKNUM(CRC_Severe_Weather_SIMs[[#This Row],[Ops Date]]), "N/A")</f>
        <v>N/A</v>
      </c>
      <c r="J23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3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23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231" s="50">
        <f>IF(AND(CRC_Severe_Weather_SIMs[[#This Row],[CI]] = 0, CRC_Severe_Weather_SIMs[[#This Row],[Miss]] = 1), 1, 0)</f>
        <v>0</v>
      </c>
      <c r="N231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23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3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32" spans="1:16" x14ac:dyDescent="0.25">
      <c r="A232" t="s">
        <v>2228</v>
      </c>
      <c r="B232" t="s">
        <v>2227</v>
      </c>
      <c r="C232" t="s">
        <v>2229</v>
      </c>
      <c r="H232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32" s="49" t="str">
        <f>IFERROR(WEEKNUM(CRC_Severe_Weather_SIMs[[#This Row],[Ops Date]]), "N/A")</f>
        <v>N/A</v>
      </c>
      <c r="J23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3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3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32" s="50">
        <f>IF(AND(CRC_Severe_Weather_SIMs[[#This Row],[CI]] = 0, CRC_Severe_Weather_SIMs[[#This Row],[Miss]] = 1), 1, 0)</f>
        <v>0</v>
      </c>
      <c r="N23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3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3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33" spans="1:16" x14ac:dyDescent="0.25">
      <c r="A233" t="s">
        <v>2230</v>
      </c>
      <c r="B233" t="s">
        <v>2231</v>
      </c>
      <c r="C233" t="s">
        <v>2229</v>
      </c>
      <c r="H233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33" s="49" t="str">
        <f>IFERROR(WEEKNUM(CRC_Severe_Weather_SIMs[[#This Row],[Ops Date]]), "N/A")</f>
        <v>N/A</v>
      </c>
      <c r="J23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3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3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33" s="50">
        <f>IF(AND(CRC_Severe_Weather_SIMs[[#This Row],[CI]] = 0, CRC_Severe_Weather_SIMs[[#This Row],[Miss]] = 1), 1, 0)</f>
        <v>0</v>
      </c>
      <c r="N23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3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3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34" spans="1:16" x14ac:dyDescent="0.25">
      <c r="A234" t="s">
        <v>2232</v>
      </c>
      <c r="B234" t="s">
        <v>2223</v>
      </c>
      <c r="C234" t="s">
        <v>2229</v>
      </c>
      <c r="H234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34" s="49" t="str">
        <f>IFERROR(WEEKNUM(CRC_Severe_Weather_SIMs[[#This Row],[Ops Date]]), "N/A")</f>
        <v>N/A</v>
      </c>
      <c r="J23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3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3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34" s="50">
        <f>IF(AND(CRC_Severe_Weather_SIMs[[#This Row],[CI]] = 0, CRC_Severe_Weather_SIMs[[#This Row],[Miss]] = 1), 1, 0)</f>
        <v>0</v>
      </c>
      <c r="N23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3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3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35" spans="1:16" x14ac:dyDescent="0.25">
      <c r="A235" t="s">
        <v>2233</v>
      </c>
      <c r="B235" t="s">
        <v>2225</v>
      </c>
      <c r="C235" t="s">
        <v>2229</v>
      </c>
      <c r="H235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35" s="49" t="str">
        <f>IFERROR(WEEKNUM(CRC_Severe_Weather_SIMs[[#This Row],[Ops Date]]), "N/A")</f>
        <v>N/A</v>
      </c>
      <c r="J23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3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3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35" s="50">
        <f>IF(AND(CRC_Severe_Weather_SIMs[[#This Row],[CI]] = 0, CRC_Severe_Weather_SIMs[[#This Row],[Miss]] = 1), 1, 0)</f>
        <v>0</v>
      </c>
      <c r="N23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3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3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36" spans="1:16" x14ac:dyDescent="0.25">
      <c r="A236" t="s">
        <v>2234</v>
      </c>
      <c r="B236" t="s">
        <v>2220</v>
      </c>
      <c r="C236" t="s">
        <v>2229</v>
      </c>
      <c r="H236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36" s="49" t="str">
        <f>IFERROR(WEEKNUM(CRC_Severe_Weather_SIMs[[#This Row],[Ops Date]]), "N/A")</f>
        <v>N/A</v>
      </c>
      <c r="J23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3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3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36" s="50">
        <f>IF(AND(CRC_Severe_Weather_SIMs[[#This Row],[CI]] = 0, CRC_Severe_Weather_SIMs[[#This Row],[Miss]] = 1), 1, 0)</f>
        <v>0</v>
      </c>
      <c r="N23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3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3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37" spans="1:16" x14ac:dyDescent="0.25">
      <c r="A237" t="s">
        <v>2235</v>
      </c>
      <c r="B237" t="s">
        <v>2236</v>
      </c>
      <c r="C237" t="s">
        <v>2237</v>
      </c>
      <c r="H237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37" s="49" t="str">
        <f>IFERROR(WEEKNUM(CRC_Severe_Weather_SIMs[[#This Row],[Ops Date]]), "N/A")</f>
        <v>N/A</v>
      </c>
      <c r="J23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3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3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37" s="50">
        <f>IF(AND(CRC_Severe_Weather_SIMs[[#This Row],[CI]] = 0, CRC_Severe_Weather_SIMs[[#This Row],[Miss]] = 1), 1, 0)</f>
        <v>0</v>
      </c>
      <c r="N23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3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3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38" spans="1:16" x14ac:dyDescent="0.25">
      <c r="A238" t="s">
        <v>2238</v>
      </c>
      <c r="B238" t="s">
        <v>2239</v>
      </c>
      <c r="C238" t="s">
        <v>2237</v>
      </c>
      <c r="H238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38" s="49" t="str">
        <f>IFERROR(WEEKNUM(CRC_Severe_Weather_SIMs[[#This Row],[Ops Date]]), "N/A")</f>
        <v>N/A</v>
      </c>
      <c r="J23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3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3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38" s="50">
        <f>IF(AND(CRC_Severe_Weather_SIMs[[#This Row],[CI]] = 0, CRC_Severe_Weather_SIMs[[#This Row],[Miss]] = 1), 1, 0)</f>
        <v>0</v>
      </c>
      <c r="N23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3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3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39" spans="1:16" x14ac:dyDescent="0.25">
      <c r="A239" t="s">
        <v>2240</v>
      </c>
      <c r="B239" t="s">
        <v>2241</v>
      </c>
      <c r="C239" t="s">
        <v>2237</v>
      </c>
      <c r="H239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39" s="49" t="str">
        <f>IFERROR(WEEKNUM(CRC_Severe_Weather_SIMs[[#This Row],[Ops Date]]), "N/A")</f>
        <v>N/A</v>
      </c>
      <c r="J23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3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3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39" s="50">
        <f>IF(AND(CRC_Severe_Weather_SIMs[[#This Row],[CI]] = 0, CRC_Severe_Weather_SIMs[[#This Row],[Miss]] = 1), 1, 0)</f>
        <v>0</v>
      </c>
      <c r="N23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3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3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40" spans="1:16" x14ac:dyDescent="0.25">
      <c r="A240" t="s">
        <v>2242</v>
      </c>
      <c r="B240" t="s">
        <v>2243</v>
      </c>
      <c r="C240" t="s">
        <v>2237</v>
      </c>
      <c r="H240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40" s="49" t="str">
        <f>IFERROR(WEEKNUM(CRC_Severe_Weather_SIMs[[#This Row],[Ops Date]]), "N/A")</f>
        <v>N/A</v>
      </c>
      <c r="J24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4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4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40" s="50">
        <f>IF(AND(CRC_Severe_Weather_SIMs[[#This Row],[CI]] = 0, CRC_Severe_Weather_SIMs[[#This Row],[Miss]] = 1), 1, 0)</f>
        <v>0</v>
      </c>
      <c r="N24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4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4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41" spans="1:16" x14ac:dyDescent="0.25">
      <c r="A241" t="s">
        <v>2244</v>
      </c>
      <c r="B241" t="s">
        <v>2245</v>
      </c>
      <c r="C241" t="s">
        <v>2237</v>
      </c>
      <c r="H241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41" s="49" t="str">
        <f>IFERROR(WEEKNUM(CRC_Severe_Weather_SIMs[[#This Row],[Ops Date]]), "N/A")</f>
        <v>N/A</v>
      </c>
      <c r="J24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4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4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41" s="50">
        <f>IF(AND(CRC_Severe_Weather_SIMs[[#This Row],[CI]] = 0, CRC_Severe_Weather_SIMs[[#This Row],[Miss]] = 1), 1, 0)</f>
        <v>0</v>
      </c>
      <c r="N24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4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4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42" spans="1:16" x14ac:dyDescent="0.25">
      <c r="A242" t="s">
        <v>2246</v>
      </c>
      <c r="B242" t="s">
        <v>2247</v>
      </c>
      <c r="C242" t="s">
        <v>2237</v>
      </c>
      <c r="H242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42" s="49" t="str">
        <f>IFERROR(WEEKNUM(CRC_Severe_Weather_SIMs[[#This Row],[Ops Date]]), "N/A")</f>
        <v>N/A</v>
      </c>
      <c r="J24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4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4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42" s="50">
        <f>IF(AND(CRC_Severe_Weather_SIMs[[#This Row],[CI]] = 0, CRC_Severe_Weather_SIMs[[#This Row],[Miss]] = 1), 1, 0)</f>
        <v>0</v>
      </c>
      <c r="N24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4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4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43" spans="1:16" x14ac:dyDescent="0.25">
      <c r="A243" t="s">
        <v>2248</v>
      </c>
      <c r="B243" t="s">
        <v>2249</v>
      </c>
      <c r="C243" t="s">
        <v>2250</v>
      </c>
      <c r="E243" t="s">
        <v>2098</v>
      </c>
      <c r="H243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43" s="49" t="str">
        <f>IFERROR(WEEKNUM(CRC_Severe_Weather_SIMs[[#This Row],[Ops Date]]), "N/A")</f>
        <v>N/A</v>
      </c>
      <c r="J24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4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1</v>
      </c>
      <c r="L24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1</v>
      </c>
      <c r="M243" s="50">
        <f>IF(AND(CRC_Severe_Weather_SIMs[[#This Row],[CI]] = 0, CRC_Severe_Weather_SIMs[[#This Row],[Miss]] = 1), 1, 0)</f>
        <v>0</v>
      </c>
      <c r="N243" s="49">
        <f>IF(AND(CRC_Severe_Weather_SIMs[[#This Row],[Excluded]] = 0, OR(CRC_Severe_Weather_SIMs[[#This Row],[Operator Follow-up Miss]] &lt;&gt; "", ISNUMBER(SEARCH("Operator Follow Up", CRC_Severe_Weather_SIMs[[#This Row],[Labels]])))), 1, 0)</f>
        <v>1</v>
      </c>
      <c r="O24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4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44" spans="1:16" x14ac:dyDescent="0.25">
      <c r="A244" t="s">
        <v>2251</v>
      </c>
      <c r="B244" t="s">
        <v>2252</v>
      </c>
      <c r="C244" t="s">
        <v>2237</v>
      </c>
      <c r="H244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44" s="49" t="str">
        <f>IFERROR(WEEKNUM(CRC_Severe_Weather_SIMs[[#This Row],[Ops Date]]), "N/A")</f>
        <v>N/A</v>
      </c>
      <c r="J24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4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4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44" s="50">
        <f>IF(AND(CRC_Severe_Weather_SIMs[[#This Row],[CI]] = 0, CRC_Severe_Weather_SIMs[[#This Row],[Miss]] = 1), 1, 0)</f>
        <v>0</v>
      </c>
      <c r="N24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4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4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45" spans="1:16" x14ac:dyDescent="0.25">
      <c r="A245" t="s">
        <v>2253</v>
      </c>
      <c r="B245" t="s">
        <v>2254</v>
      </c>
      <c r="C245" t="s">
        <v>2237</v>
      </c>
      <c r="H245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45" s="49" t="str">
        <f>IFERROR(WEEKNUM(CRC_Severe_Weather_SIMs[[#This Row],[Ops Date]]), "N/A")</f>
        <v>N/A</v>
      </c>
      <c r="J24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4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4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45" s="50">
        <f>IF(AND(CRC_Severe_Weather_SIMs[[#This Row],[CI]] = 0, CRC_Severe_Weather_SIMs[[#This Row],[Miss]] = 1), 1, 0)</f>
        <v>0</v>
      </c>
      <c r="N24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4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4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46" spans="1:16" x14ac:dyDescent="0.25">
      <c r="A246" t="s">
        <v>2255</v>
      </c>
      <c r="B246" t="s">
        <v>2256</v>
      </c>
      <c r="C246" t="s">
        <v>2237</v>
      </c>
      <c r="H246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46" s="49" t="str">
        <f>IFERROR(WEEKNUM(CRC_Severe_Weather_SIMs[[#This Row],[Ops Date]]), "N/A")</f>
        <v>N/A</v>
      </c>
      <c r="J24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4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4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46" s="50">
        <f>IF(AND(CRC_Severe_Weather_SIMs[[#This Row],[CI]] = 0, CRC_Severe_Weather_SIMs[[#This Row],[Miss]] = 1), 1, 0)</f>
        <v>0</v>
      </c>
      <c r="N24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4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4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47" spans="1:16" x14ac:dyDescent="0.25">
      <c r="A247" t="s">
        <v>2257</v>
      </c>
      <c r="B247" t="s">
        <v>2258</v>
      </c>
      <c r="C247" t="s">
        <v>2237</v>
      </c>
      <c r="H247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47" s="49" t="str">
        <f>IFERROR(WEEKNUM(CRC_Severe_Weather_SIMs[[#This Row],[Ops Date]]), "N/A")</f>
        <v>N/A</v>
      </c>
      <c r="J24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4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4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47" s="50">
        <f>IF(AND(CRC_Severe_Weather_SIMs[[#This Row],[CI]] = 0, CRC_Severe_Weather_SIMs[[#This Row],[Miss]] = 1), 1, 0)</f>
        <v>0</v>
      </c>
      <c r="N24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4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4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48" spans="1:16" x14ac:dyDescent="0.25">
      <c r="A248" t="s">
        <v>2259</v>
      </c>
      <c r="B248" t="s">
        <v>2260</v>
      </c>
      <c r="C248" t="s">
        <v>2237</v>
      </c>
      <c r="H248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48" s="49" t="str">
        <f>IFERROR(WEEKNUM(CRC_Severe_Weather_SIMs[[#This Row],[Ops Date]]), "N/A")</f>
        <v>N/A</v>
      </c>
      <c r="J24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4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4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48" s="50">
        <f>IF(AND(CRC_Severe_Weather_SIMs[[#This Row],[CI]] = 0, CRC_Severe_Weather_SIMs[[#This Row],[Miss]] = 1), 1, 0)</f>
        <v>0</v>
      </c>
      <c r="N24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4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4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49" spans="1:16" x14ac:dyDescent="0.25">
      <c r="A249" t="s">
        <v>2261</v>
      </c>
      <c r="B249" t="s">
        <v>2254</v>
      </c>
      <c r="C249" t="s">
        <v>2237</v>
      </c>
      <c r="H249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49" s="49" t="str">
        <f>IFERROR(WEEKNUM(CRC_Severe_Weather_SIMs[[#This Row],[Ops Date]]), "N/A")</f>
        <v>N/A</v>
      </c>
      <c r="J24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4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4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49" s="50">
        <f>IF(AND(CRC_Severe_Weather_SIMs[[#This Row],[CI]] = 0, CRC_Severe_Weather_SIMs[[#This Row],[Miss]] = 1), 1, 0)</f>
        <v>0</v>
      </c>
      <c r="N24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4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4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50" spans="1:16" x14ac:dyDescent="0.25">
      <c r="A250" t="s">
        <v>2262</v>
      </c>
      <c r="B250" t="s">
        <v>2256</v>
      </c>
      <c r="C250" t="s">
        <v>2237</v>
      </c>
      <c r="H250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50" s="49" t="str">
        <f>IFERROR(WEEKNUM(CRC_Severe_Weather_SIMs[[#This Row],[Ops Date]]), "N/A")</f>
        <v>N/A</v>
      </c>
      <c r="J25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5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5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50" s="50">
        <f>IF(AND(CRC_Severe_Weather_SIMs[[#This Row],[CI]] = 0, CRC_Severe_Weather_SIMs[[#This Row],[Miss]] = 1), 1, 0)</f>
        <v>0</v>
      </c>
      <c r="N25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5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5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51" spans="1:16" x14ac:dyDescent="0.25">
      <c r="A251" t="s">
        <v>2263</v>
      </c>
      <c r="B251" t="s">
        <v>2252</v>
      </c>
      <c r="C251" t="s">
        <v>2237</v>
      </c>
      <c r="H251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51" s="49" t="str">
        <f>IFERROR(WEEKNUM(CRC_Severe_Weather_SIMs[[#This Row],[Ops Date]]), "N/A")</f>
        <v>N/A</v>
      </c>
      <c r="J25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5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5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51" s="50">
        <f>IF(AND(CRC_Severe_Weather_SIMs[[#This Row],[CI]] = 0, CRC_Severe_Weather_SIMs[[#This Row],[Miss]] = 1), 1, 0)</f>
        <v>0</v>
      </c>
      <c r="N25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5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5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52" spans="1:16" x14ac:dyDescent="0.25">
      <c r="A252" t="s">
        <v>2264</v>
      </c>
      <c r="B252" t="s">
        <v>2265</v>
      </c>
      <c r="C252" t="s">
        <v>2237</v>
      </c>
      <c r="H252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52" s="49" t="str">
        <f>IFERROR(WEEKNUM(CRC_Severe_Weather_SIMs[[#This Row],[Ops Date]]), "N/A")</f>
        <v>N/A</v>
      </c>
      <c r="J25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5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5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52" s="50">
        <f>IF(AND(CRC_Severe_Weather_SIMs[[#This Row],[CI]] = 0, CRC_Severe_Weather_SIMs[[#This Row],[Miss]] = 1), 1, 0)</f>
        <v>0</v>
      </c>
      <c r="N25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5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5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53" spans="1:16" x14ac:dyDescent="0.25">
      <c r="A253" t="s">
        <v>2266</v>
      </c>
      <c r="B253" t="s">
        <v>2260</v>
      </c>
      <c r="C253" t="s">
        <v>2237</v>
      </c>
      <c r="H253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53" s="49" t="str">
        <f>IFERROR(WEEKNUM(CRC_Severe_Weather_SIMs[[#This Row],[Ops Date]]), "N/A")</f>
        <v>N/A</v>
      </c>
      <c r="J25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5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5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53" s="50">
        <f>IF(AND(CRC_Severe_Weather_SIMs[[#This Row],[CI]] = 0, CRC_Severe_Weather_SIMs[[#This Row],[Miss]] = 1), 1, 0)</f>
        <v>0</v>
      </c>
      <c r="N25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5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5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54" spans="1:16" x14ac:dyDescent="0.25">
      <c r="A254" t="s">
        <v>2267</v>
      </c>
      <c r="B254" t="s">
        <v>2268</v>
      </c>
      <c r="C254" t="s">
        <v>2269</v>
      </c>
      <c r="H254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54" s="49" t="str">
        <f>IFERROR(WEEKNUM(CRC_Severe_Weather_SIMs[[#This Row],[Ops Date]]), "N/A")</f>
        <v>N/A</v>
      </c>
      <c r="J25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5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5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54" s="50">
        <f>IF(AND(CRC_Severe_Weather_SIMs[[#This Row],[CI]] = 0, CRC_Severe_Weather_SIMs[[#This Row],[Miss]] = 1), 1, 0)</f>
        <v>0</v>
      </c>
      <c r="N25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5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5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55" spans="1:16" x14ac:dyDescent="0.25">
      <c r="A255" t="s">
        <v>2270</v>
      </c>
      <c r="B255" t="s">
        <v>2271</v>
      </c>
      <c r="C255" t="s">
        <v>2269</v>
      </c>
      <c r="H255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55" s="49" t="str">
        <f>IFERROR(WEEKNUM(CRC_Severe_Weather_SIMs[[#This Row],[Ops Date]]), "N/A")</f>
        <v>N/A</v>
      </c>
      <c r="J25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5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5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55" s="50">
        <f>IF(AND(CRC_Severe_Weather_SIMs[[#This Row],[CI]] = 0, CRC_Severe_Weather_SIMs[[#This Row],[Miss]] = 1), 1, 0)</f>
        <v>0</v>
      </c>
      <c r="N25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5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5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56" spans="1:16" x14ac:dyDescent="0.25">
      <c r="A256" t="s">
        <v>2272</v>
      </c>
      <c r="B256" t="s">
        <v>2249</v>
      </c>
      <c r="C256" t="s">
        <v>2269</v>
      </c>
      <c r="H256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56" s="49" t="str">
        <f>IFERROR(WEEKNUM(CRC_Severe_Weather_SIMs[[#This Row],[Ops Date]]), "N/A")</f>
        <v>N/A</v>
      </c>
      <c r="J25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5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5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56" s="50">
        <f>IF(AND(CRC_Severe_Weather_SIMs[[#This Row],[CI]] = 0, CRC_Severe_Weather_SIMs[[#This Row],[Miss]] = 1), 1, 0)</f>
        <v>0</v>
      </c>
      <c r="N25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5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5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57" spans="1:16" x14ac:dyDescent="0.25">
      <c r="A257" t="s">
        <v>2273</v>
      </c>
      <c r="B257" t="s">
        <v>2274</v>
      </c>
      <c r="C257" t="s">
        <v>2269</v>
      </c>
      <c r="H257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57" s="49" t="str">
        <f>IFERROR(WEEKNUM(CRC_Severe_Weather_SIMs[[#This Row],[Ops Date]]), "N/A")</f>
        <v>N/A</v>
      </c>
      <c r="J25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5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5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57" s="50">
        <f>IF(AND(CRC_Severe_Weather_SIMs[[#This Row],[CI]] = 0, CRC_Severe_Weather_SIMs[[#This Row],[Miss]] = 1), 1, 0)</f>
        <v>0</v>
      </c>
      <c r="N25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5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5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58" spans="1:16" x14ac:dyDescent="0.25">
      <c r="A258" t="s">
        <v>2275</v>
      </c>
      <c r="B258" t="s">
        <v>2271</v>
      </c>
      <c r="C258" t="s">
        <v>2269</v>
      </c>
      <c r="H258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58" s="49" t="str">
        <f>IFERROR(WEEKNUM(CRC_Severe_Weather_SIMs[[#This Row],[Ops Date]]), "N/A")</f>
        <v>N/A</v>
      </c>
      <c r="J25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5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5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58" s="50">
        <f>IF(AND(CRC_Severe_Weather_SIMs[[#This Row],[CI]] = 0, CRC_Severe_Weather_SIMs[[#This Row],[Miss]] = 1), 1, 0)</f>
        <v>0</v>
      </c>
      <c r="N25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5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5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59" spans="1:16" x14ac:dyDescent="0.25">
      <c r="A259" t="s">
        <v>2276</v>
      </c>
      <c r="B259" t="s">
        <v>2268</v>
      </c>
      <c r="C259" t="s">
        <v>2269</v>
      </c>
      <c r="H259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59" s="49" t="str">
        <f>IFERROR(WEEKNUM(CRC_Severe_Weather_SIMs[[#This Row],[Ops Date]]), "N/A")</f>
        <v>N/A</v>
      </c>
      <c r="J25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5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5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59" s="50">
        <f>IF(AND(CRC_Severe_Weather_SIMs[[#This Row],[CI]] = 0, CRC_Severe_Weather_SIMs[[#This Row],[Miss]] = 1), 1, 0)</f>
        <v>0</v>
      </c>
      <c r="N25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5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5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60" spans="1:16" x14ac:dyDescent="0.25">
      <c r="A260" t="s">
        <v>2277</v>
      </c>
      <c r="B260" t="s">
        <v>2278</v>
      </c>
      <c r="C260" t="s">
        <v>2279</v>
      </c>
      <c r="H260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60" s="49" t="str">
        <f>IFERROR(WEEKNUM(CRC_Severe_Weather_SIMs[[#This Row],[Ops Date]]), "N/A")</f>
        <v>N/A</v>
      </c>
      <c r="J26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6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6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60" s="50">
        <f>IF(AND(CRC_Severe_Weather_SIMs[[#This Row],[CI]] = 0, CRC_Severe_Weather_SIMs[[#This Row],[Miss]] = 1), 1, 0)</f>
        <v>0</v>
      </c>
      <c r="N26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6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6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61" spans="1:16" x14ac:dyDescent="0.25">
      <c r="A261" t="s">
        <v>2280</v>
      </c>
      <c r="B261" t="s">
        <v>2281</v>
      </c>
      <c r="C261" t="s">
        <v>2279</v>
      </c>
      <c r="H261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61" s="49" t="str">
        <f>IFERROR(WEEKNUM(CRC_Severe_Weather_SIMs[[#This Row],[Ops Date]]), "N/A")</f>
        <v>N/A</v>
      </c>
      <c r="J26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6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6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61" s="50">
        <f>IF(AND(CRC_Severe_Weather_SIMs[[#This Row],[CI]] = 0, CRC_Severe_Weather_SIMs[[#This Row],[Miss]] = 1), 1, 0)</f>
        <v>0</v>
      </c>
      <c r="N26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6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6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62" spans="1:16" x14ac:dyDescent="0.25">
      <c r="A262" t="s">
        <v>2282</v>
      </c>
      <c r="B262" t="s">
        <v>2283</v>
      </c>
      <c r="C262" t="s">
        <v>2279</v>
      </c>
      <c r="H262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62" s="49" t="str">
        <f>IFERROR(WEEKNUM(CRC_Severe_Weather_SIMs[[#This Row],[Ops Date]]), "N/A")</f>
        <v>N/A</v>
      </c>
      <c r="J26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6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6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62" s="50">
        <f>IF(AND(CRC_Severe_Weather_SIMs[[#This Row],[CI]] = 0, CRC_Severe_Weather_SIMs[[#This Row],[Miss]] = 1), 1, 0)</f>
        <v>0</v>
      </c>
      <c r="N26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6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6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63" spans="1:16" x14ac:dyDescent="0.25">
      <c r="A263" t="s">
        <v>2284</v>
      </c>
      <c r="B263" t="s">
        <v>2285</v>
      </c>
      <c r="C263" t="s">
        <v>2279</v>
      </c>
      <c r="H263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63" s="49" t="str">
        <f>IFERROR(WEEKNUM(CRC_Severe_Weather_SIMs[[#This Row],[Ops Date]]), "N/A")</f>
        <v>N/A</v>
      </c>
      <c r="J26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6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6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63" s="50">
        <f>IF(AND(CRC_Severe_Weather_SIMs[[#This Row],[CI]] = 0, CRC_Severe_Weather_SIMs[[#This Row],[Miss]] = 1), 1, 0)</f>
        <v>0</v>
      </c>
      <c r="N26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6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6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64" spans="1:16" x14ac:dyDescent="0.25">
      <c r="A264" t="s">
        <v>2286</v>
      </c>
      <c r="B264" t="s">
        <v>2287</v>
      </c>
      <c r="C264" t="s">
        <v>2288</v>
      </c>
      <c r="H264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64" s="49" t="str">
        <f>IFERROR(WEEKNUM(CRC_Severe_Weather_SIMs[[#This Row],[Ops Date]]), "N/A")</f>
        <v>N/A</v>
      </c>
      <c r="J26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6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6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64" s="50">
        <f>IF(AND(CRC_Severe_Weather_SIMs[[#This Row],[CI]] = 0, CRC_Severe_Weather_SIMs[[#This Row],[Miss]] = 1), 1, 0)</f>
        <v>0</v>
      </c>
      <c r="N26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6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6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65" spans="1:16" x14ac:dyDescent="0.25">
      <c r="A265" t="s">
        <v>2289</v>
      </c>
      <c r="B265" t="s">
        <v>2290</v>
      </c>
      <c r="C265" t="s">
        <v>2288</v>
      </c>
      <c r="H265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65" s="49" t="str">
        <f>IFERROR(WEEKNUM(CRC_Severe_Weather_SIMs[[#This Row],[Ops Date]]), "N/A")</f>
        <v>N/A</v>
      </c>
      <c r="J26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6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6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65" s="50">
        <f>IF(AND(CRC_Severe_Weather_SIMs[[#This Row],[CI]] = 0, CRC_Severe_Weather_SIMs[[#This Row],[Miss]] = 1), 1, 0)</f>
        <v>0</v>
      </c>
      <c r="N26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6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6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66" spans="1:16" x14ac:dyDescent="0.25">
      <c r="A266" t="s">
        <v>2291</v>
      </c>
      <c r="B266" t="s">
        <v>2292</v>
      </c>
      <c r="C266" t="s">
        <v>2288</v>
      </c>
      <c r="H266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66" s="49" t="str">
        <f>IFERROR(WEEKNUM(CRC_Severe_Weather_SIMs[[#This Row],[Ops Date]]), "N/A")</f>
        <v>N/A</v>
      </c>
      <c r="J26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6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6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66" s="50">
        <f>IF(AND(CRC_Severe_Weather_SIMs[[#This Row],[CI]] = 0, CRC_Severe_Weather_SIMs[[#This Row],[Miss]] = 1), 1, 0)</f>
        <v>0</v>
      </c>
      <c r="N26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6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6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67" spans="1:16" x14ac:dyDescent="0.25">
      <c r="A267" t="s">
        <v>2293</v>
      </c>
      <c r="B267" t="s">
        <v>2294</v>
      </c>
      <c r="C267" t="s">
        <v>2288</v>
      </c>
      <c r="H267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67" s="49" t="str">
        <f>IFERROR(WEEKNUM(CRC_Severe_Weather_SIMs[[#This Row],[Ops Date]]), "N/A")</f>
        <v>N/A</v>
      </c>
      <c r="J26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6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6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67" s="50">
        <f>IF(AND(CRC_Severe_Weather_SIMs[[#This Row],[CI]] = 0, CRC_Severe_Weather_SIMs[[#This Row],[Miss]] = 1), 1, 0)</f>
        <v>0</v>
      </c>
      <c r="N26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6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6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68" spans="1:16" x14ac:dyDescent="0.25">
      <c r="A268" t="s">
        <v>2295</v>
      </c>
      <c r="B268" t="s">
        <v>2296</v>
      </c>
      <c r="C268" t="s">
        <v>2288</v>
      </c>
      <c r="H268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68" s="49" t="str">
        <f>IFERROR(WEEKNUM(CRC_Severe_Weather_SIMs[[#This Row],[Ops Date]]), "N/A")</f>
        <v>N/A</v>
      </c>
      <c r="J26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6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6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68" s="50">
        <f>IF(AND(CRC_Severe_Weather_SIMs[[#This Row],[CI]] = 0, CRC_Severe_Weather_SIMs[[#This Row],[Miss]] = 1), 1, 0)</f>
        <v>0</v>
      </c>
      <c r="N26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6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6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69" spans="1:16" x14ac:dyDescent="0.25">
      <c r="A269" t="s">
        <v>2297</v>
      </c>
      <c r="B269" t="s">
        <v>2298</v>
      </c>
      <c r="C269" t="s">
        <v>2299</v>
      </c>
      <c r="H269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69" s="49" t="str">
        <f>IFERROR(WEEKNUM(CRC_Severe_Weather_SIMs[[#This Row],[Ops Date]]), "N/A")</f>
        <v>N/A</v>
      </c>
      <c r="J26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6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6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69" s="50">
        <f>IF(AND(CRC_Severe_Weather_SIMs[[#This Row],[CI]] = 0, CRC_Severe_Weather_SIMs[[#This Row],[Miss]] = 1), 1, 0)</f>
        <v>0</v>
      </c>
      <c r="N26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6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6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70" spans="1:16" x14ac:dyDescent="0.25">
      <c r="A270" t="s">
        <v>2300</v>
      </c>
      <c r="B270" t="s">
        <v>2301</v>
      </c>
      <c r="C270" t="s">
        <v>2299</v>
      </c>
      <c r="H270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70" s="49" t="str">
        <f>IFERROR(WEEKNUM(CRC_Severe_Weather_SIMs[[#This Row],[Ops Date]]), "N/A")</f>
        <v>N/A</v>
      </c>
      <c r="J27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7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7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70" s="50">
        <f>IF(AND(CRC_Severe_Weather_SIMs[[#This Row],[CI]] = 0, CRC_Severe_Weather_SIMs[[#This Row],[Miss]] = 1), 1, 0)</f>
        <v>0</v>
      </c>
      <c r="N27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7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7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71" spans="1:16" x14ac:dyDescent="0.25">
      <c r="A271" t="s">
        <v>2302</v>
      </c>
      <c r="B271" t="s">
        <v>2303</v>
      </c>
      <c r="C271" t="s">
        <v>2299</v>
      </c>
      <c r="H271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71" s="49" t="str">
        <f>IFERROR(WEEKNUM(CRC_Severe_Weather_SIMs[[#This Row],[Ops Date]]), "N/A")</f>
        <v>N/A</v>
      </c>
      <c r="J27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7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7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71" s="50">
        <f>IF(AND(CRC_Severe_Weather_SIMs[[#This Row],[CI]] = 0, CRC_Severe_Weather_SIMs[[#This Row],[Miss]] = 1), 1, 0)</f>
        <v>0</v>
      </c>
      <c r="N27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7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7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72" spans="1:16" x14ac:dyDescent="0.25">
      <c r="A272" t="s">
        <v>2304</v>
      </c>
      <c r="B272" t="s">
        <v>2305</v>
      </c>
      <c r="C272" t="s">
        <v>2299</v>
      </c>
      <c r="H272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72" s="49" t="str">
        <f>IFERROR(WEEKNUM(CRC_Severe_Weather_SIMs[[#This Row],[Ops Date]]), "N/A")</f>
        <v>N/A</v>
      </c>
      <c r="J27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7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7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72" s="50">
        <f>IF(AND(CRC_Severe_Weather_SIMs[[#This Row],[CI]] = 0, CRC_Severe_Weather_SIMs[[#This Row],[Miss]] = 1), 1, 0)</f>
        <v>0</v>
      </c>
      <c r="N27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7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7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73" spans="1:16" x14ac:dyDescent="0.25">
      <c r="A273" t="s">
        <v>2306</v>
      </c>
      <c r="B273" t="s">
        <v>2307</v>
      </c>
      <c r="C273" t="s">
        <v>2299</v>
      </c>
      <c r="H273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73" s="49" t="str">
        <f>IFERROR(WEEKNUM(CRC_Severe_Weather_SIMs[[#This Row],[Ops Date]]), "N/A")</f>
        <v>N/A</v>
      </c>
      <c r="J27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7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7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73" s="50">
        <f>IF(AND(CRC_Severe_Weather_SIMs[[#This Row],[CI]] = 0, CRC_Severe_Weather_SIMs[[#This Row],[Miss]] = 1), 1, 0)</f>
        <v>0</v>
      </c>
      <c r="N27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7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7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74" spans="1:16" x14ac:dyDescent="0.25">
      <c r="A274" t="s">
        <v>2308</v>
      </c>
      <c r="B274" t="s">
        <v>2309</v>
      </c>
      <c r="C274" t="s">
        <v>2310</v>
      </c>
      <c r="H274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74" s="49" t="str">
        <f>IFERROR(WEEKNUM(CRC_Severe_Weather_SIMs[[#This Row],[Ops Date]]), "N/A")</f>
        <v>N/A</v>
      </c>
      <c r="J27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7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7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74" s="50">
        <f>IF(AND(CRC_Severe_Weather_SIMs[[#This Row],[CI]] = 0, CRC_Severe_Weather_SIMs[[#This Row],[Miss]] = 1), 1, 0)</f>
        <v>0</v>
      </c>
      <c r="N27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7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7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75" spans="1:16" x14ac:dyDescent="0.25">
      <c r="A275" t="s">
        <v>2311</v>
      </c>
      <c r="B275" t="s">
        <v>2312</v>
      </c>
      <c r="C275" t="s">
        <v>2313</v>
      </c>
      <c r="H275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75" s="49" t="str">
        <f>IFERROR(WEEKNUM(CRC_Severe_Weather_SIMs[[#This Row],[Ops Date]]), "N/A")</f>
        <v>N/A</v>
      </c>
      <c r="J27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7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7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75" s="50">
        <f>IF(AND(CRC_Severe_Weather_SIMs[[#This Row],[CI]] = 0, CRC_Severe_Weather_SIMs[[#This Row],[Miss]] = 1), 1, 0)</f>
        <v>0</v>
      </c>
      <c r="N27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7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7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76" spans="1:16" x14ac:dyDescent="0.25">
      <c r="A276" t="s">
        <v>2314</v>
      </c>
      <c r="B276" t="s">
        <v>2315</v>
      </c>
      <c r="C276" t="s">
        <v>2313</v>
      </c>
      <c r="H276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76" s="49" t="str">
        <f>IFERROR(WEEKNUM(CRC_Severe_Weather_SIMs[[#This Row],[Ops Date]]), "N/A")</f>
        <v>N/A</v>
      </c>
      <c r="J27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7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7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76" s="50">
        <f>IF(AND(CRC_Severe_Weather_SIMs[[#This Row],[CI]] = 0, CRC_Severe_Weather_SIMs[[#This Row],[Miss]] = 1), 1, 0)</f>
        <v>0</v>
      </c>
      <c r="N27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7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7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77" spans="1:16" x14ac:dyDescent="0.25">
      <c r="A277" t="s">
        <v>2316</v>
      </c>
      <c r="B277" t="s">
        <v>2317</v>
      </c>
      <c r="C277" t="s">
        <v>2313</v>
      </c>
      <c r="H277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77" s="49" t="str">
        <f>IFERROR(WEEKNUM(CRC_Severe_Weather_SIMs[[#This Row],[Ops Date]]), "N/A")</f>
        <v>N/A</v>
      </c>
      <c r="J27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7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7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77" s="50">
        <f>IF(AND(CRC_Severe_Weather_SIMs[[#This Row],[CI]] = 0, CRC_Severe_Weather_SIMs[[#This Row],[Miss]] = 1), 1, 0)</f>
        <v>0</v>
      </c>
      <c r="N27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7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7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78" spans="1:16" x14ac:dyDescent="0.25">
      <c r="A278" t="s">
        <v>2318</v>
      </c>
      <c r="B278" t="s">
        <v>2319</v>
      </c>
      <c r="C278" t="s">
        <v>2313</v>
      </c>
      <c r="H278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78" s="49" t="str">
        <f>IFERROR(WEEKNUM(CRC_Severe_Weather_SIMs[[#This Row],[Ops Date]]), "N/A")</f>
        <v>N/A</v>
      </c>
      <c r="J27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7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7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78" s="50">
        <f>IF(AND(CRC_Severe_Weather_SIMs[[#This Row],[CI]] = 0, CRC_Severe_Weather_SIMs[[#This Row],[Miss]] = 1), 1, 0)</f>
        <v>0</v>
      </c>
      <c r="N27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7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7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79" spans="1:16" x14ac:dyDescent="0.25">
      <c r="A279" t="s">
        <v>2320</v>
      </c>
      <c r="B279" t="s">
        <v>2321</v>
      </c>
      <c r="C279" t="s">
        <v>2313</v>
      </c>
      <c r="H279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79" s="49" t="str">
        <f>IFERROR(WEEKNUM(CRC_Severe_Weather_SIMs[[#This Row],[Ops Date]]), "N/A")</f>
        <v>N/A</v>
      </c>
      <c r="J27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7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7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79" s="50">
        <f>IF(AND(CRC_Severe_Weather_SIMs[[#This Row],[CI]] = 0, CRC_Severe_Weather_SIMs[[#This Row],[Miss]] = 1), 1, 0)</f>
        <v>0</v>
      </c>
      <c r="N27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7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7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80" spans="1:16" x14ac:dyDescent="0.25">
      <c r="A280" t="s">
        <v>2322</v>
      </c>
      <c r="B280" t="s">
        <v>2323</v>
      </c>
      <c r="C280" t="s">
        <v>2324</v>
      </c>
      <c r="D280" t="s">
        <v>1453</v>
      </c>
      <c r="E280" t="s">
        <v>1759</v>
      </c>
      <c r="H280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80" s="49" t="str">
        <f>IFERROR(WEEKNUM(CRC_Severe_Weather_SIMs[[#This Row],[Ops Date]]), "N/A")</f>
        <v>N/A</v>
      </c>
      <c r="J28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1</v>
      </c>
      <c r="K28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8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80" s="50">
        <f>IF(AND(CRC_Severe_Weather_SIMs[[#This Row],[CI]] = 0, CRC_Severe_Weather_SIMs[[#This Row],[Miss]] = 1), 1, 0)</f>
        <v>0</v>
      </c>
      <c r="N28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8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8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81" spans="1:16" x14ac:dyDescent="0.25">
      <c r="A281" t="s">
        <v>2325</v>
      </c>
      <c r="B281" t="s">
        <v>2326</v>
      </c>
      <c r="C281" t="s">
        <v>2327</v>
      </c>
      <c r="H281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81" s="49" t="str">
        <f>IFERROR(WEEKNUM(CRC_Severe_Weather_SIMs[[#This Row],[Ops Date]]), "N/A")</f>
        <v>N/A</v>
      </c>
      <c r="J28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8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8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81" s="50">
        <f>IF(AND(CRC_Severe_Weather_SIMs[[#This Row],[CI]] = 0, CRC_Severe_Weather_SIMs[[#This Row],[Miss]] = 1), 1, 0)</f>
        <v>0</v>
      </c>
      <c r="N28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8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8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82" spans="1:16" x14ac:dyDescent="0.25">
      <c r="A282" t="s">
        <v>2328</v>
      </c>
      <c r="B282" t="s">
        <v>2329</v>
      </c>
      <c r="C282" t="s">
        <v>2327</v>
      </c>
      <c r="H282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82" s="49" t="str">
        <f>IFERROR(WEEKNUM(CRC_Severe_Weather_SIMs[[#This Row],[Ops Date]]), "N/A")</f>
        <v>N/A</v>
      </c>
      <c r="J28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8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8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82" s="50">
        <f>IF(AND(CRC_Severe_Weather_SIMs[[#This Row],[CI]] = 0, CRC_Severe_Weather_SIMs[[#This Row],[Miss]] = 1), 1, 0)</f>
        <v>0</v>
      </c>
      <c r="N28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8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8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83" spans="1:16" x14ac:dyDescent="0.25">
      <c r="A283" t="s">
        <v>2330</v>
      </c>
      <c r="B283" t="s">
        <v>2331</v>
      </c>
      <c r="C283" t="s">
        <v>2327</v>
      </c>
      <c r="H283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83" s="49" t="str">
        <f>IFERROR(WEEKNUM(CRC_Severe_Weather_SIMs[[#This Row],[Ops Date]]), "N/A")</f>
        <v>N/A</v>
      </c>
      <c r="J28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8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8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83" s="50">
        <f>IF(AND(CRC_Severe_Weather_SIMs[[#This Row],[CI]] = 0, CRC_Severe_Weather_SIMs[[#This Row],[Miss]] = 1), 1, 0)</f>
        <v>0</v>
      </c>
      <c r="N28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8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8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84" spans="1:16" x14ac:dyDescent="0.25">
      <c r="A284" t="s">
        <v>2332</v>
      </c>
      <c r="B284" t="s">
        <v>2333</v>
      </c>
      <c r="C284" t="s">
        <v>2327</v>
      </c>
      <c r="H284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84" s="49" t="str">
        <f>IFERROR(WEEKNUM(CRC_Severe_Weather_SIMs[[#This Row],[Ops Date]]), "N/A")</f>
        <v>N/A</v>
      </c>
      <c r="J28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8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8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84" s="50">
        <f>IF(AND(CRC_Severe_Weather_SIMs[[#This Row],[CI]] = 0, CRC_Severe_Weather_SIMs[[#This Row],[Miss]] = 1), 1, 0)</f>
        <v>0</v>
      </c>
      <c r="N28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8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8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85" spans="1:16" x14ac:dyDescent="0.25">
      <c r="A285" t="s">
        <v>2334</v>
      </c>
      <c r="B285" t="s">
        <v>2335</v>
      </c>
      <c r="C285" t="s">
        <v>2310</v>
      </c>
      <c r="H285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85" s="49" t="str">
        <f>IFERROR(WEEKNUM(CRC_Severe_Weather_SIMs[[#This Row],[Ops Date]]), "N/A")</f>
        <v>N/A</v>
      </c>
      <c r="J28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8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8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85" s="50">
        <f>IF(AND(CRC_Severe_Weather_SIMs[[#This Row],[CI]] = 0, CRC_Severe_Weather_SIMs[[#This Row],[Miss]] = 1), 1, 0)</f>
        <v>0</v>
      </c>
      <c r="N28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8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8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86" spans="1:16" x14ac:dyDescent="0.25">
      <c r="A286" t="s">
        <v>2336</v>
      </c>
      <c r="B286" t="s">
        <v>2337</v>
      </c>
      <c r="C286" t="s">
        <v>2310</v>
      </c>
      <c r="H286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86" s="49" t="str">
        <f>IFERROR(WEEKNUM(CRC_Severe_Weather_SIMs[[#This Row],[Ops Date]]), "N/A")</f>
        <v>N/A</v>
      </c>
      <c r="J28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8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8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86" s="50">
        <f>IF(AND(CRC_Severe_Weather_SIMs[[#This Row],[CI]] = 0, CRC_Severe_Weather_SIMs[[#This Row],[Miss]] = 1), 1, 0)</f>
        <v>0</v>
      </c>
      <c r="N28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8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8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87" spans="1:16" x14ac:dyDescent="0.25">
      <c r="A287" t="s">
        <v>2338</v>
      </c>
      <c r="B287" t="s">
        <v>2339</v>
      </c>
      <c r="C287" t="s">
        <v>2310</v>
      </c>
      <c r="H287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87" s="49" t="str">
        <f>IFERROR(WEEKNUM(CRC_Severe_Weather_SIMs[[#This Row],[Ops Date]]), "N/A")</f>
        <v>N/A</v>
      </c>
      <c r="J28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8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8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87" s="50">
        <f>IF(AND(CRC_Severe_Weather_SIMs[[#This Row],[CI]] = 0, CRC_Severe_Weather_SIMs[[#This Row],[Miss]] = 1), 1, 0)</f>
        <v>0</v>
      </c>
      <c r="N28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8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8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88" spans="1:16" x14ac:dyDescent="0.25">
      <c r="A288" t="s">
        <v>2340</v>
      </c>
      <c r="B288" t="s">
        <v>2341</v>
      </c>
      <c r="C288" t="s">
        <v>2310</v>
      </c>
      <c r="H288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88" s="49" t="str">
        <f>IFERROR(WEEKNUM(CRC_Severe_Weather_SIMs[[#This Row],[Ops Date]]), "N/A")</f>
        <v>N/A</v>
      </c>
      <c r="J28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8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8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88" s="50">
        <f>IF(AND(CRC_Severe_Weather_SIMs[[#This Row],[CI]] = 0, CRC_Severe_Weather_SIMs[[#This Row],[Miss]] = 1), 1, 0)</f>
        <v>0</v>
      </c>
      <c r="N28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8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8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89" spans="1:16" x14ac:dyDescent="0.25">
      <c r="A289" t="s">
        <v>2342</v>
      </c>
      <c r="B289" t="s">
        <v>2343</v>
      </c>
      <c r="C289" t="s">
        <v>2310</v>
      </c>
      <c r="H289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89" s="49" t="str">
        <f>IFERROR(WEEKNUM(CRC_Severe_Weather_SIMs[[#This Row],[Ops Date]]), "N/A")</f>
        <v>N/A</v>
      </c>
      <c r="J28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8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8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89" s="50">
        <f>IF(AND(CRC_Severe_Weather_SIMs[[#This Row],[CI]] = 0, CRC_Severe_Weather_SIMs[[#This Row],[Miss]] = 1), 1, 0)</f>
        <v>0</v>
      </c>
      <c r="N28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8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8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90" spans="1:16" x14ac:dyDescent="0.25">
      <c r="A290" t="s">
        <v>2344</v>
      </c>
      <c r="B290" t="s">
        <v>2345</v>
      </c>
      <c r="C290" t="s">
        <v>2346</v>
      </c>
      <c r="H290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90" s="49" t="str">
        <f>IFERROR(WEEKNUM(CRC_Severe_Weather_SIMs[[#This Row],[Ops Date]]), "N/A")</f>
        <v>N/A</v>
      </c>
      <c r="J29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9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9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90" s="50">
        <f>IF(AND(CRC_Severe_Weather_SIMs[[#This Row],[CI]] = 0, CRC_Severe_Weather_SIMs[[#This Row],[Miss]] = 1), 1, 0)</f>
        <v>0</v>
      </c>
      <c r="N29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9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9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91" spans="1:16" x14ac:dyDescent="0.25">
      <c r="A291" t="s">
        <v>2347</v>
      </c>
      <c r="B291" t="s">
        <v>2348</v>
      </c>
      <c r="C291" t="s">
        <v>2346</v>
      </c>
      <c r="H291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91" s="49" t="str">
        <f>IFERROR(WEEKNUM(CRC_Severe_Weather_SIMs[[#This Row],[Ops Date]]), "N/A")</f>
        <v>N/A</v>
      </c>
      <c r="J29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9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9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91" s="50">
        <f>IF(AND(CRC_Severe_Weather_SIMs[[#This Row],[CI]] = 0, CRC_Severe_Weather_SIMs[[#This Row],[Miss]] = 1), 1, 0)</f>
        <v>0</v>
      </c>
      <c r="N29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9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9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92" spans="1:16" x14ac:dyDescent="0.25">
      <c r="A292" t="s">
        <v>2349</v>
      </c>
      <c r="B292" t="s">
        <v>2350</v>
      </c>
      <c r="C292" t="s">
        <v>2346</v>
      </c>
      <c r="H292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92" s="49" t="str">
        <f>IFERROR(WEEKNUM(CRC_Severe_Weather_SIMs[[#This Row],[Ops Date]]), "N/A")</f>
        <v>N/A</v>
      </c>
      <c r="J29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9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9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92" s="50">
        <f>IF(AND(CRC_Severe_Weather_SIMs[[#This Row],[CI]] = 0, CRC_Severe_Weather_SIMs[[#This Row],[Miss]] = 1), 1, 0)</f>
        <v>0</v>
      </c>
      <c r="N29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9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9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93" spans="1:16" x14ac:dyDescent="0.25">
      <c r="A293" t="s">
        <v>2351</v>
      </c>
      <c r="B293" t="s">
        <v>2352</v>
      </c>
      <c r="C293" t="s">
        <v>2346</v>
      </c>
      <c r="H293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93" s="49" t="str">
        <f>IFERROR(WEEKNUM(CRC_Severe_Weather_SIMs[[#This Row],[Ops Date]]), "N/A")</f>
        <v>N/A</v>
      </c>
      <c r="J29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9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9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93" s="50">
        <f>IF(AND(CRC_Severe_Weather_SIMs[[#This Row],[CI]] = 0, CRC_Severe_Weather_SIMs[[#This Row],[Miss]] = 1), 1, 0)</f>
        <v>0</v>
      </c>
      <c r="N29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9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9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94" spans="1:16" x14ac:dyDescent="0.25">
      <c r="A294" t="s">
        <v>2353</v>
      </c>
      <c r="B294" t="s">
        <v>2354</v>
      </c>
      <c r="C294" t="s">
        <v>2346</v>
      </c>
      <c r="H294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94" s="49" t="str">
        <f>IFERROR(WEEKNUM(CRC_Severe_Weather_SIMs[[#This Row],[Ops Date]]), "N/A")</f>
        <v>N/A</v>
      </c>
      <c r="J29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9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9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94" s="50">
        <f>IF(AND(CRC_Severe_Weather_SIMs[[#This Row],[CI]] = 0, CRC_Severe_Weather_SIMs[[#This Row],[Miss]] = 1), 1, 0)</f>
        <v>0</v>
      </c>
      <c r="N29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9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9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95" spans="1:16" x14ac:dyDescent="0.25">
      <c r="A295" t="s">
        <v>2355</v>
      </c>
      <c r="B295" t="s">
        <v>2356</v>
      </c>
      <c r="C295" t="s">
        <v>2346</v>
      </c>
      <c r="H295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95" s="49" t="str">
        <f>IFERROR(WEEKNUM(CRC_Severe_Weather_SIMs[[#This Row],[Ops Date]]), "N/A")</f>
        <v>N/A</v>
      </c>
      <c r="J29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9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9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95" s="50">
        <f>IF(AND(CRC_Severe_Weather_SIMs[[#This Row],[CI]] = 0, CRC_Severe_Weather_SIMs[[#This Row],[Miss]] = 1), 1, 0)</f>
        <v>0</v>
      </c>
      <c r="N29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9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9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96" spans="1:16" x14ac:dyDescent="0.25">
      <c r="A296" t="s">
        <v>2357</v>
      </c>
      <c r="B296" t="s">
        <v>2358</v>
      </c>
      <c r="C296" t="s">
        <v>2359</v>
      </c>
      <c r="H296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96" s="49" t="str">
        <f>IFERROR(WEEKNUM(CRC_Severe_Weather_SIMs[[#This Row],[Ops Date]]), "N/A")</f>
        <v>N/A</v>
      </c>
      <c r="J29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9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9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96" s="50">
        <f>IF(AND(CRC_Severe_Weather_SIMs[[#This Row],[CI]] = 0, CRC_Severe_Weather_SIMs[[#This Row],[Miss]] = 1), 1, 0)</f>
        <v>0</v>
      </c>
      <c r="N29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9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9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97" spans="1:16" x14ac:dyDescent="0.25">
      <c r="A297" t="s">
        <v>2360</v>
      </c>
      <c r="B297" t="s">
        <v>2361</v>
      </c>
      <c r="C297" t="s">
        <v>2359</v>
      </c>
      <c r="H297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97" s="49" t="str">
        <f>IFERROR(WEEKNUM(CRC_Severe_Weather_SIMs[[#This Row],[Ops Date]]), "N/A")</f>
        <v>N/A</v>
      </c>
      <c r="J29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9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9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97" s="50">
        <f>IF(AND(CRC_Severe_Weather_SIMs[[#This Row],[CI]] = 0, CRC_Severe_Weather_SIMs[[#This Row],[Miss]] = 1), 1, 0)</f>
        <v>0</v>
      </c>
      <c r="N29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9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9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98" spans="1:16" x14ac:dyDescent="0.25">
      <c r="A298" t="s">
        <v>2362</v>
      </c>
      <c r="B298" t="s">
        <v>2363</v>
      </c>
      <c r="C298" t="s">
        <v>2359</v>
      </c>
      <c r="H298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98" s="49" t="str">
        <f>IFERROR(WEEKNUM(CRC_Severe_Weather_SIMs[[#This Row],[Ops Date]]), "N/A")</f>
        <v>N/A</v>
      </c>
      <c r="J29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9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9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98" s="50">
        <f>IF(AND(CRC_Severe_Weather_SIMs[[#This Row],[CI]] = 0, CRC_Severe_Weather_SIMs[[#This Row],[Miss]] = 1), 1, 0)</f>
        <v>0</v>
      </c>
      <c r="N29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9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9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299" spans="1:16" x14ac:dyDescent="0.25">
      <c r="A299" t="s">
        <v>2364</v>
      </c>
      <c r="B299" t="s">
        <v>2365</v>
      </c>
      <c r="C299" t="s">
        <v>2359</v>
      </c>
      <c r="H299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299" s="49" t="str">
        <f>IFERROR(WEEKNUM(CRC_Severe_Weather_SIMs[[#This Row],[Ops Date]]), "N/A")</f>
        <v>N/A</v>
      </c>
      <c r="J29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29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29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299" s="50">
        <f>IF(AND(CRC_Severe_Weather_SIMs[[#This Row],[CI]] = 0, CRC_Severe_Weather_SIMs[[#This Row],[Miss]] = 1), 1, 0)</f>
        <v>0</v>
      </c>
      <c r="N29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29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299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300" spans="1:16" x14ac:dyDescent="0.25">
      <c r="A300" t="s">
        <v>2366</v>
      </c>
      <c r="B300" t="s">
        <v>2367</v>
      </c>
      <c r="C300" t="s">
        <v>2359</v>
      </c>
      <c r="H300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300" s="49" t="str">
        <f>IFERROR(WEEKNUM(CRC_Severe_Weather_SIMs[[#This Row],[Ops Date]]), "N/A")</f>
        <v>N/A</v>
      </c>
      <c r="J300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300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300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300" s="50">
        <f>IF(AND(CRC_Severe_Weather_SIMs[[#This Row],[CI]] = 0, CRC_Severe_Weather_SIMs[[#This Row],[Miss]] = 1), 1, 0)</f>
        <v>0</v>
      </c>
      <c r="N300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300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300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301" spans="1:16" x14ac:dyDescent="0.25">
      <c r="A301" t="s">
        <v>2368</v>
      </c>
      <c r="B301" t="s">
        <v>2369</v>
      </c>
      <c r="C301" t="s">
        <v>2370</v>
      </c>
      <c r="H301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301" s="49" t="str">
        <f>IFERROR(WEEKNUM(CRC_Severe_Weather_SIMs[[#This Row],[Ops Date]]), "N/A")</f>
        <v>N/A</v>
      </c>
      <c r="J301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301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301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301" s="50">
        <f>IF(AND(CRC_Severe_Weather_SIMs[[#This Row],[CI]] = 0, CRC_Severe_Weather_SIMs[[#This Row],[Miss]] = 1), 1, 0)</f>
        <v>0</v>
      </c>
      <c r="N301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301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301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302" spans="1:16" x14ac:dyDescent="0.25">
      <c r="A302" t="s">
        <v>2371</v>
      </c>
      <c r="B302" t="s">
        <v>2372</v>
      </c>
      <c r="C302" t="s">
        <v>2370</v>
      </c>
      <c r="H302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302" s="49" t="str">
        <f>IFERROR(WEEKNUM(CRC_Severe_Weather_SIMs[[#This Row],[Ops Date]]), "N/A")</f>
        <v>N/A</v>
      </c>
      <c r="J302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302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302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302" s="50">
        <f>IF(AND(CRC_Severe_Weather_SIMs[[#This Row],[CI]] = 0, CRC_Severe_Weather_SIMs[[#This Row],[Miss]] = 1), 1, 0)</f>
        <v>0</v>
      </c>
      <c r="N302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302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302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303" spans="1:16" x14ac:dyDescent="0.25">
      <c r="A303" t="s">
        <v>2373</v>
      </c>
      <c r="B303" t="s">
        <v>2374</v>
      </c>
      <c r="C303" t="s">
        <v>2370</v>
      </c>
      <c r="H303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303" s="49" t="str">
        <f>IFERROR(WEEKNUM(CRC_Severe_Weather_SIMs[[#This Row],[Ops Date]]), "N/A")</f>
        <v>N/A</v>
      </c>
      <c r="J303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303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303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303" s="50">
        <f>IF(AND(CRC_Severe_Weather_SIMs[[#This Row],[CI]] = 0, CRC_Severe_Weather_SIMs[[#This Row],[Miss]] = 1), 1, 0)</f>
        <v>0</v>
      </c>
      <c r="N303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303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303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304" spans="1:16" x14ac:dyDescent="0.25">
      <c r="A304" t="s">
        <v>2375</v>
      </c>
      <c r="B304" t="s">
        <v>2376</v>
      </c>
      <c r="C304" t="s">
        <v>2370</v>
      </c>
      <c r="H304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304" s="49" t="str">
        <f>IFERROR(WEEKNUM(CRC_Severe_Weather_SIMs[[#This Row],[Ops Date]]), "N/A")</f>
        <v>N/A</v>
      </c>
      <c r="J304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304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304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304" s="50">
        <f>IF(AND(CRC_Severe_Weather_SIMs[[#This Row],[CI]] = 0, CRC_Severe_Weather_SIMs[[#This Row],[Miss]] = 1), 1, 0)</f>
        <v>0</v>
      </c>
      <c r="N304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304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304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305" spans="1:16" x14ac:dyDescent="0.25">
      <c r="A305" t="s">
        <v>2377</v>
      </c>
      <c r="B305" t="s">
        <v>2378</v>
      </c>
      <c r="C305" t="s">
        <v>2379</v>
      </c>
      <c r="H305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305" s="49" t="str">
        <f>IFERROR(WEEKNUM(CRC_Severe_Weather_SIMs[[#This Row],[Ops Date]]), "N/A")</f>
        <v>N/A</v>
      </c>
      <c r="J305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305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305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305" s="50">
        <f>IF(AND(CRC_Severe_Weather_SIMs[[#This Row],[CI]] = 0, CRC_Severe_Weather_SIMs[[#This Row],[Miss]] = 1), 1, 0)</f>
        <v>0</v>
      </c>
      <c r="N305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305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305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306" spans="1:16" x14ac:dyDescent="0.25">
      <c r="A306" t="s">
        <v>2380</v>
      </c>
      <c r="B306" t="s">
        <v>2381</v>
      </c>
      <c r="C306" t="s">
        <v>2379</v>
      </c>
      <c r="H306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306" s="49" t="str">
        <f>IFERROR(WEEKNUM(CRC_Severe_Weather_SIMs[[#This Row],[Ops Date]]), "N/A")</f>
        <v>N/A</v>
      </c>
      <c r="J306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306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306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306" s="50">
        <f>IF(AND(CRC_Severe_Weather_SIMs[[#This Row],[CI]] = 0, CRC_Severe_Weather_SIMs[[#This Row],[Miss]] = 1), 1, 0)</f>
        <v>0</v>
      </c>
      <c r="N306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306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306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307" spans="1:16" x14ac:dyDescent="0.25">
      <c r="A307" t="s">
        <v>2382</v>
      </c>
      <c r="B307" t="s">
        <v>2383</v>
      </c>
      <c r="C307" t="s">
        <v>2379</v>
      </c>
      <c r="H307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307" s="49" t="str">
        <f>IFERROR(WEEKNUM(CRC_Severe_Weather_SIMs[[#This Row],[Ops Date]]), "N/A")</f>
        <v>N/A</v>
      </c>
      <c r="J307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307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307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307" s="50">
        <f>IF(AND(CRC_Severe_Weather_SIMs[[#This Row],[CI]] = 0, CRC_Severe_Weather_SIMs[[#This Row],[Miss]] = 1), 1, 0)</f>
        <v>0</v>
      </c>
      <c r="N307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307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307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308" spans="1:16" x14ac:dyDescent="0.25">
      <c r="A308" t="s">
        <v>2384</v>
      </c>
      <c r="B308" t="s">
        <v>2385</v>
      </c>
      <c r="C308" t="s">
        <v>2379</v>
      </c>
      <c r="H308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308" s="49" t="str">
        <f>IFERROR(WEEKNUM(CRC_Severe_Weather_SIMs[[#This Row],[Ops Date]]), "N/A")</f>
        <v>N/A</v>
      </c>
      <c r="J308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308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308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308" s="50">
        <f>IF(AND(CRC_Severe_Weather_SIMs[[#This Row],[CI]] = 0, CRC_Severe_Weather_SIMs[[#This Row],[Miss]] = 1), 1, 0)</f>
        <v>0</v>
      </c>
      <c r="N308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308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308" s="50">
        <f>IF(AND(CRC_Severe_Weather_SIMs[[#This Row],[Excluded]] = 0, OR(CRC_Severe_Weather_SIMs[[#This Row],[SLA Miss]] &lt;&gt; "", ISNUMBER(SEARCH("SLA", CRC_Severe_Weather_SIMs[[#This Row],[Labels]])))), 1, 0)</f>
        <v>0</v>
      </c>
    </row>
    <row r="309" spans="1:16" x14ac:dyDescent="0.25">
      <c r="A309" t="s">
        <v>2386</v>
      </c>
      <c r="B309" t="s">
        <v>2387</v>
      </c>
      <c r="C309" t="s">
        <v>2379</v>
      </c>
      <c r="H309" s="88" t="e">
        <f>DATEVALUE(MID(CRC_Severe_Weather_SIMs[[#This Row],[Title]], FIND("[", CRC_Severe_Weather_SIMs[[#This Row],[Title]], FIND("[", CRC_Severe_Weather_SIMs[[#This Row],[Title]], FIND("[", CRC_Severe_Weather_SIMs[[#This Row],[Title]]) + 1) + 1) + 1, FIND("]", CRC_Severe_Weather_SIMs[[#This Row],[Title]], FIND("[", CRC_Severe_Weather_SIMs[[#This Row],[Title]], FIND("[", CRC_Severe_Weather_SIMs[[#This Row],[Title]], FIND("[", CRC_Severe_Weather_SIMs[[#This Row],[Title]]) + 1) + 1) + 1) - FIND("[", CRC_Severe_Weather_SIMs[[#This Row],[Title]], FIND("[", CRC_Severe_Weather_SIMs[[#This Row],[Title]], FIND("[", CRC_Severe_Weather_SIMs[[#This Row],[Title]]) + 1) + 1) - 1))</f>
        <v>#VALUE!</v>
      </c>
      <c r="I309" s="49" t="str">
        <f>IFERROR(WEEKNUM(CRC_Severe_Weather_SIMs[[#This Row],[Ops Date]]), "N/A")</f>
        <v>N/A</v>
      </c>
      <c r="J309" s="49">
        <f>IF(OR(ISNUMBER(SEARCH("Excluded", CRC_Severe_Weather_SIMs[[#This Row],[Labels]])), ISNUMBER(SEARCH("Quality", CRC_Severe_Weather_SIMs[[#This Row],[Data Status]])), ISNUMBER(SEARCH("Exception", CRC_Severe_Weather_SIMs[[#This Row],[Data Status]]))), 1, 0)</f>
        <v>0</v>
      </c>
      <c r="K309" s="49">
        <f>IF(AND(CRC_Severe_Weather_SIMs[[#This Row],[Excluded]] = 0, OR(CRC_Severe_Weather_SIMs[[#This Row],[Operator Follow-up]] = 1, CRC_Severe_Weather_SIMs[[#This Row],[False Resolution]] = 1, CRC_Severe_Weather_SIMs[[#This Row],[SLA]] = 1, ISNUMBER( SEARCH("Miss", CRC_Severe_Weather_SIMs[[#This Row],[Labels]])))), 1, 0)</f>
        <v>0</v>
      </c>
      <c r="L309" s="49">
        <f>IF(AND(CRC_Severe_Weather_SIMs[[#This Row],[Miss]] = 1, CRC_Severe_Weather_SIMs[[#This Row],[Operator Follow-up]] = 0, CRC_Severe_Weather_SIMs[[#This Row],[False Resolution]] = 0), 1,
IF(AND(CRC_Severe_Weather_SIMs[[#This Row],[Operator Follow-up]] = 1,
 CRC_Severe_Weather_SIMs[[#This Row],[Operator Follow-up Miss]] &lt;&gt; "AA didn’t leave accurately complete the “Resolution Comments” in salesforce (“WKXX Reimbursements: $ _____ Fuel, $ _____ DEF, XX/XX/XXXX”),"), 1,
IF(AND(CRC_Severe_Weather_SIMs[[#This Row],[False Resolution]] = 1,
 CRC_Severe_Weather_SIMs[[#This Row],[False Resolution Miss]] &lt;&gt; "AA didn’t accurately update the case status in salesforce,"), 1,
0)))</f>
        <v>0</v>
      </c>
      <c r="M309" s="50">
        <f>IF(AND(CRC_Severe_Weather_SIMs[[#This Row],[CI]] = 0, CRC_Severe_Weather_SIMs[[#This Row],[Miss]] = 1), 1, 0)</f>
        <v>0</v>
      </c>
      <c r="N309" s="49">
        <f>IF(AND(CRC_Severe_Weather_SIMs[[#This Row],[Excluded]] = 0, OR(CRC_Severe_Weather_SIMs[[#This Row],[Operator Follow-up Miss]] &lt;&gt; "", ISNUMBER(SEARCH("Operator Follow Up", CRC_Severe_Weather_SIMs[[#This Row],[Labels]])))), 1, 0)</f>
        <v>0</v>
      </c>
      <c r="O309" s="49">
        <f>IF(AND(CRC_Severe_Weather_SIMs[[#This Row],[Excluded]] = 0, OR(CRC_Severe_Weather_SIMs[[#This Row],[False Resolution Miss]] &lt;&gt; "", ISNUMBER(SEARCH("False Resolution", CRC_Severe_Weather_SIMs[[#This Row],[Labels]])))), 1, 0)</f>
        <v>0</v>
      </c>
      <c r="P309" s="50">
        <f>IF(AND(CRC_Severe_Weather_SIMs[[#This Row],[Excluded]] = 0, OR(CRC_Severe_Weather_SIMs[[#This Row],[SLA Miss]] &lt;&gt; "", ISNUMBER(SEARCH("SLA", CRC_Severe_Weather_SIMs[[#This Row],[Labels]])))), 1, 0)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39</vt:i4>
      </vt:variant>
    </vt:vector>
  </HeadingPairs>
  <TitlesOfParts>
    <vt:vector size="60" baseType="lpstr">
      <vt:lpstr>CO Daily Flash Report</vt:lpstr>
      <vt:lpstr>AFS</vt:lpstr>
      <vt:lpstr>AFS_Backlog</vt:lpstr>
      <vt:lpstr>Ungrounding</vt:lpstr>
      <vt:lpstr>PM</vt:lpstr>
      <vt:lpstr>VFC</vt:lpstr>
      <vt:lpstr>Reimbursement</vt:lpstr>
      <vt:lpstr>FIF</vt:lpstr>
      <vt:lpstr>SWA_Paragon</vt:lpstr>
      <vt:lpstr>ORSA_Intervention</vt:lpstr>
      <vt:lpstr>ORSA_Valids</vt:lpstr>
      <vt:lpstr>ORSA_Invalids</vt:lpstr>
      <vt:lpstr>ORSA_Warnings_Miss</vt:lpstr>
      <vt:lpstr>MOPAR_Manual_Captures</vt:lpstr>
      <vt:lpstr>Py_Variables</vt:lpstr>
      <vt:lpstr>Template</vt:lpstr>
      <vt:lpstr>CI_NCI</vt:lpstr>
      <vt:lpstr>Notes</vt:lpstr>
      <vt:lpstr>Change Log</vt:lpstr>
      <vt:lpstr>CRC_War_Room</vt:lpstr>
      <vt:lpstr>CRC_Severe_Weather</vt:lpstr>
      <vt:lpstr>AFS_Backlog_Daily_Cell</vt:lpstr>
      <vt:lpstr>AFS_Backlog_Date</vt:lpstr>
      <vt:lpstr>AFS_Backlog_Weekly_Cell</vt:lpstr>
      <vt:lpstr>AFS_Daily_Cell</vt:lpstr>
      <vt:lpstr>AFS_Date</vt:lpstr>
      <vt:lpstr>AFS_Weekly_Cell</vt:lpstr>
      <vt:lpstr>end</vt:lpstr>
      <vt:lpstr>FIF_Daily_Cell</vt:lpstr>
      <vt:lpstr>FIF_Date</vt:lpstr>
      <vt:lpstr>FIF_Weekly_Cell</vt:lpstr>
      <vt:lpstr>MOPAR_Manual_Captures_Daily_Cell</vt:lpstr>
      <vt:lpstr>MOPAR_Manual_Captures_Date</vt:lpstr>
      <vt:lpstr>MOPAR_Manual_Captures_Weekly_Cell</vt:lpstr>
      <vt:lpstr>ORSA_Intervention_Daily_Cell</vt:lpstr>
      <vt:lpstr>ORSA_Intervention_Date</vt:lpstr>
      <vt:lpstr>ORSA_Intervention_Weekly_Cell</vt:lpstr>
      <vt:lpstr>ORSA_Invalids_Daily_Cell</vt:lpstr>
      <vt:lpstr>ORSA_Invalids_Date</vt:lpstr>
      <vt:lpstr>ORSA_Invalids_Weekly_Cell</vt:lpstr>
      <vt:lpstr>ORSA_Valids_Daily_Cell</vt:lpstr>
      <vt:lpstr>ORSA_Valids_Date</vt:lpstr>
      <vt:lpstr>ORSA_Valids_Weekly_Cell</vt:lpstr>
      <vt:lpstr>PM_Daily_Cell</vt:lpstr>
      <vt:lpstr>PM_Date</vt:lpstr>
      <vt:lpstr>PM_Weekly_Cell</vt:lpstr>
      <vt:lpstr>Reimbursement_Daily_Cell</vt:lpstr>
      <vt:lpstr>Reimbursement_Date</vt:lpstr>
      <vt:lpstr>Reimbursement_Weekly_Cell</vt:lpstr>
      <vt:lpstr>Report_Date</vt:lpstr>
      <vt:lpstr>start</vt:lpstr>
      <vt:lpstr>SWA_Paragon_Daily_Cell</vt:lpstr>
      <vt:lpstr>SWA_Paragon_Date</vt:lpstr>
      <vt:lpstr>SWA_Paragon_Weekly_Cell</vt:lpstr>
      <vt:lpstr>Ungrounding_Daily_Cell</vt:lpstr>
      <vt:lpstr>Ungrounding_Date</vt:lpstr>
      <vt:lpstr>Ungrounding_Weekly_Cell</vt:lpstr>
      <vt:lpstr>VFC_Daily_Cell</vt:lpstr>
      <vt:lpstr>VFC_Date</vt:lpstr>
      <vt:lpstr>VFC_Weekly_Cell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Moss, Jonathan</dc:creator>
  <cp:lastModifiedBy>Anduaga-Arias, Storm</cp:lastModifiedBy>
  <dcterms:created xsi:type="dcterms:W3CDTF">2023-11-02T20:03:19Z</dcterms:created>
  <dcterms:modified xsi:type="dcterms:W3CDTF">2024-12-11T23:55:28Z</dcterms:modified>
</cp:coreProperties>
</file>